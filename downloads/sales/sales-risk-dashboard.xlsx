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.xml" ContentType="application/vnd.openxmlformats-officedocument.spreadsheetml.pivot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slicers/slicer.xml" ContentType="application/vnd.ms-excel.slicer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slicerCaches/slicerCache.xml" ContentType="application/vnd.ms-excel.slicerCach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71385be3b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İ" sheetId="1" r:id="R6a1c3bef4ac140f0"/>
    <x:sheet xmlns:r="http://schemas.openxmlformats.org/officeDocument/2006/relationships" name="AYRINTILAR" sheetId="4" r:id="R87c8b08ff232406a"/>
    <x:sheet xmlns:r="http://schemas.openxmlformats.org/officeDocument/2006/relationships" name="ANALİZ" sheetId="2" r:id="Re25628ee39654408"/>
    <x:sheet xmlns:r="http://schemas.openxmlformats.org/officeDocument/2006/relationships" name="DASHBOARD" sheetId="3" r:id="R35b5a3e87d3b4e9b"/>
    <x:sheet xmlns:r="http://schemas.openxmlformats.org/officeDocument/2006/relationships" name="DASHBOARD (2)" sheetId="6" r:id="Ra804ea0a7b5540e6"/>
  </x:sheets>
  <x:definedNames>
    <x:definedName name="Dilimleyici_Urun_Ad">#N/A</x:definedName>
  </x:definedNames>
  <x:pivotCaches>
    <x:pivotCache xmlns:r="http://schemas.openxmlformats.org/officeDocument/2006/relationships" cacheId="0" r:id="R61faccbad5c1484f"/>
  </x:pivotCaches>
  <x:extLst>
    <x:ext uri="{BBE1A952-AA13-448e-AADC-164F8A28A991}">
      <x14:slicerCaches xmlns:x14="http://schemas.microsoft.com/office/spreadsheetml/2009/9/main">
        <x14:slicerCache xmlns:r="http://schemas.openxmlformats.org/officeDocument/2006/relationships" r:id="R42f055b3404548bd"/>
      </x14:slicerCaches>
    </x:ext>
  </x:extLst>
</x:workbook>
</file>

<file path=xl/sharedStrings.xml><?xml version="1.0" encoding="utf-8"?>
<x:sst xmlns:x="http://schemas.openxmlformats.org/spreadsheetml/2006/main">
  <x:si>
    <x:t xml:space="preserve">ID</x:t>
  </x:si>
  <x:si>
    <x:t xml:space="preserve">Personel Ad</x:t>
  </x:si>
  <x:si>
    <x:t xml:space="preserve">Urun Ad</x:t>
  </x:si>
  <x:si>
    <x:t xml:space="preserve">Satış Adet</x:t>
  </x:si>
  <x:si>
    <x:t xml:space="preserve">Birim Fiyat</x:t>
  </x:si>
  <x:si>
    <x:t xml:space="preserve">Toplam Sipariş Tutarı</x:t>
  </x:si>
  <x:si>
    <x:t xml:space="preserve">Ürün Kar Tutarı</x:t>
  </x:si>
  <x:si>
    <x:t xml:space="preserve">Ay</x:t>
  </x:si>
  <x:si>
    <x:t xml:space="preserve">Şehirler</x:t>
  </x:si>
  <x:si>
    <x:t xml:space="preserve">Özgür Ertekin</x:t>
  </x:si>
  <x:si>
    <x:t xml:space="preserve">Bulaşık Makinesi Beyaz</x:t>
  </x:si>
  <x:si>
    <x:t xml:space="preserve">Ocak</x:t>
  </x:si>
  <x:si>
    <x:t xml:space="preserve">Kocaeli</x:t>
  </x:si>
  <x:si>
    <x:t xml:space="preserve">Serdal Yücel</x:t>
  </x:si>
  <x:si>
    <x:t xml:space="preserve">Mikrodalga Fırın Beyaz</x:t>
  </x:si>
  <x:si>
    <x:t xml:space="preserve">Gaziantep</x:t>
  </x:si>
  <x:si>
    <x:t xml:space="preserve">Gülşah Akbulut</x:t>
  </x:si>
  <x:si>
    <x:t xml:space="preserve">Buzdolabı İki Kapaklı Beyaz</x:t>
  </x:si>
  <x:si>
    <x:t xml:space="preserve">Ankara</x:t>
  </x:si>
  <x:si>
    <x:t xml:space="preserve">Gamze Erkuran</x:t>
  </x:si>
  <x:si>
    <x:t xml:space="preserve">Ütü Siyah</x:t>
  </x:si>
  <x:si>
    <x:t xml:space="preserve">Konya</x:t>
  </x:si>
  <x:si>
    <x:t xml:space="preserve">Kahve Makinesi Y Marka</x:t>
  </x:si>
  <x:si>
    <x:t xml:space="preserve">Ali Kandemir</x:t>
  </x:si>
  <x:si>
    <x:t xml:space="preserve">Çamaşır Makinesi Gri</x:t>
  </x:si>
  <x:si>
    <x:t xml:space="preserve">Hatay</x:t>
  </x:si>
  <x:si>
    <x:t xml:space="preserve">Derin Dondurucu Gri</x:t>
  </x:si>
  <x:si>
    <x:t xml:space="preserve">Ocak Beyaz</x:t>
  </x:si>
  <x:si>
    <x:t xml:space="preserve">Antalya</x:t>
  </x:si>
  <x:si>
    <x:t xml:space="preserve">Mertcan Ülker</x:t>
  </x:si>
  <x:si>
    <x:t xml:space="preserve">Tost Makinesi Gri X Marka</x:t>
  </x:si>
  <x:si>
    <x:t xml:space="preserve">Adana</x:t>
  </x:si>
  <x:si>
    <x:t xml:space="preserve">Reyhan Uyanık</x:t>
  </x:si>
  <x:si>
    <x:t xml:space="preserve">Mikrodalga Fırın Gri</x:t>
  </x:si>
  <x:si>
    <x:t xml:space="preserve">Tost Makinesi Gri Y Marka</x:t>
  </x:si>
  <x:si>
    <x:t xml:space="preserve">Yücel Öztürk</x:t>
  </x:si>
  <x:si>
    <x:t xml:space="preserve">Çamaşır Makinesi Beyaz</x:t>
  </x:si>
  <x:si>
    <x:t xml:space="preserve">Şanlıurfa</x:t>
  </x:si>
  <x:si>
    <x:t xml:space="preserve">Bedriye Vural</x:t>
  </x:si>
  <x:si>
    <x:t xml:space="preserve">Buzdolabı Dört Kapılı Gri</x:t>
  </x:si>
  <x:si>
    <x:t xml:space="preserve">Miraç Tüten</x:t>
  </x:si>
  <x:si>
    <x:t xml:space="preserve">Bursa</x:t>
  </x:si>
  <x:si>
    <x:t xml:space="preserve">İzmir</x:t>
  </x:si>
  <x:si>
    <x:t xml:space="preserve">Davlumbaz Gri X Marka</x:t>
  </x:si>
  <x:si>
    <x:t xml:space="preserve">Diyarbakır</x:t>
  </x:si>
  <x:si>
    <x:t xml:space="preserve">Fırın Beyaz</x:t>
  </x:si>
  <x:si>
    <x:t xml:space="preserve">Mersin</x:t>
  </x:si>
  <x:si>
    <x:t xml:space="preserve">Derin Dondurucu Beyaz</x:t>
  </x:si>
  <x:si>
    <x:t xml:space="preserve">Ferdi Dede</x:t>
  </x:si>
  <x:si>
    <x:t xml:space="preserve">Şubat</x:t>
  </x:si>
  <x:si>
    <x:t xml:space="preserve">Zeynep Şen</x:t>
  </x:si>
  <x:si>
    <x:t xml:space="preserve">Kahve Makinesi X Marka</x:t>
  </x:si>
  <x:si>
    <x:t xml:space="preserve">Ocak Siyah</x:t>
  </x:si>
  <x:si>
    <x:t xml:space="preserve">Ütü Mor</x:t>
  </x:si>
  <x:si>
    <x:t xml:space="preserve">İstanbul</x:t>
  </x:si>
  <x:si>
    <x:t xml:space="preserve">Buzdolabı İki Kapılı Gri</x:t>
  </x:si>
  <x:si>
    <x:t xml:space="preserve">Bulaşık Makinesi Gri</x:t>
  </x:si>
  <x:si>
    <x:t xml:space="preserve">Davlumbaz Gri Y Marka</x:t>
  </x:si>
  <x:si>
    <x:t xml:space="preserve">Fırın Siyah</x:t>
  </x:si>
  <x:si>
    <x:t xml:space="preserve">Mart</x:t>
  </x:si>
  <x:si>
    <x:t xml:space="preserve">Nisan</x:t>
  </x:si>
  <x:si>
    <x:t xml:space="preserve">Mayıs</x:t>
  </x:si>
  <x:si>
    <x:t xml:space="preserve">Haziran</x:t>
  </x:si>
  <x:si>
    <x:t xml:space="preserve">Temmuz</x:t>
  </x:si>
  <x:si>
    <x:t xml:space="preserve">Ağustos</x:t>
  </x:si>
  <x:si>
    <x:t xml:space="preserve">Eylül</x:t>
  </x:si>
  <x:si>
    <x:t xml:space="preserve">Ekim</x:t>
  </x:si>
  <x:si>
    <x:t xml:space="preserve">Kasım</x:t>
  </x:si>
  <x:si>
    <x:t xml:space="preserve">Aralık</x:t>
  </x:si>
</x:sst>
</file>

<file path=xl/styles.xml><?xml version="1.0" encoding="utf-8"?>
<x:styleSheet xmlns:x="http://schemas.openxmlformats.org/spreadsheetml/2006/main">
  <x:numFmts count="10">
    <x:numFmt numFmtId="164" formatCode="_-[$₺-41F]* #,##0.00_-;\-[$₺-41F]* #,##0.00_-;_-[$₺-41F]* &quot;-&quot;??_-;_-@_-"/>
    <x:numFmt numFmtId="200" formatCode="₺#,##0"/>
    <x:numFmt numFmtId="201" formatCode="#,##0"/>
    <x:numFmt numFmtId="202" formatCode="0.0%"/>
    <x:numFmt numFmtId="203" formatCode="₺ #,##0"/>
    <x:numFmt numFmtId="204" formatCode="0"/>
    <x:numFmt numFmtId="205" formatCode="0.0"/>
    <x:numFmt numFmtId="206" formatCode="@"/>
    <x:numFmt numFmtId="207" formatCode="&quot;₺&quot;#,##0.00"/>
    <x:numFmt numFmtId="208" formatCode="&quot;₺&quot;#,##0"/>
  </x:numFmts>
  <x:fonts count="45">
    <x:font>
      <x:sz val="11"/>
      <x:color theme="1"/>
      <x:name val="Aptos Narrow"/>
    </x:font>
    <x:font>
      <x:b/>
      <x:sz val="12"/>
      <x:color theme="0"/>
      <x:name val="Aptos Narrow"/>
    </x:font>
    <x:font>
      <x:sz val="16"/>
      <x:color theme="0"/>
      <x:name val="Aptos Narrow"/>
    </x:font>
    <x:font>
      <x:sz val="16"/>
      <x:color theme="1"/>
      <x:name val="Aptos Narrow"/>
    </x:font>
    <x:font>
      <x:b/>
      <x:sz val="16"/>
      <x:color rgb="FF000000"/>
      <x:name val="Aptos Narrow"/>
    </x:font>
    <x:font>
      <x:sz val="12"/>
      <x:color theme="1"/>
      <x:name val="Aptos Narrow"/>
    </x:font>
    <x:font>
      <x:b/>
      <x:sz val="11"/>
      <x:color theme="1"/>
      <x:name val="Aptos Narrow"/>
    </x:font>
    <x:font>
      <x:b/>
      <x:sz val="22"/>
      <x:color rgb="FFFFFFFF"/>
      <x:name val="Aptos Narrow"/>
    </x:font>
    <x:font>
      <x:b/>
      <x:sz val="11"/>
      <x:color rgb="FF10233A"/>
      <x:name val="Aptos Narrow"/>
    </x:font>
    <x:font>
      <x:b/>
      <x:sz val="11"/>
      <x:color rgb="FF4B5563"/>
      <x:name val="Aptos Narrow"/>
    </x:font>
    <x:font>
      <x:b/>
      <x:sz val="10"/>
      <x:color rgb="FF10233A"/>
      <x:name val="Aptos Narrow"/>
    </x:font>
    <x:font>
      <x:b/>
      <x:sz val="18"/>
      <x:color rgb="FF10233A"/>
      <x:name val="Aptos Narrow"/>
    </x:font>
    <x:font>
      <x:b/>
      <x:sz val="11"/>
      <x:color rgb="FFFFFFFF"/>
      <x:name val="Aptos Narrow"/>
    </x:font>
    <x:font>
      <x:i/>
      <x:sz val="10"/>
      <x:color rgb="FF4B5563"/>
      <x:name val="Aptos Narrow"/>
    </x:font>
    <x:font>
      <x:sz val="9"/>
      <x:color rgb="FF334155"/>
      <x:name val="Aptos Narrow"/>
    </x:font>
    <x:font>
      <x:b/>
      <x:sz val="9"/>
      <x:color rgb="FFFFFFFF"/>
      <x:name val="Aptos Narrow"/>
    </x:font>
    <x:font>
      <x:b/>
      <x:sz val="12"/>
      <x:color rgb="FFFFFFFF"/>
      <x:name val="Aptos Narrow"/>
    </x:font>
    <x:font>
      <x:b/>
      <x:sz val="10"/>
      <x:color rgb="FFFFFFFF"/>
      <x:name val="Aptos Narrow"/>
    </x:font>
    <x:font>
      <x:sz val="9"/>
      <x:color rgb="FF7A8790"/>
      <x:name val="Aptos Narrow"/>
    </x:font>
    <x:font>
      <x:b/>
      <x:sz val="18"/>
      <x:color rgb="FFFFFFFF"/>
      <x:name val="Aptos Narrow"/>
    </x:font>
    <x:font>
      <x:b/>
      <x:sz val="11"/>
      <x:color rgb="FF183B56"/>
      <x:name val="Aptos Narrow"/>
    </x:font>
    <x:font>
      <x:sz val="10"/>
      <x:color rgb="FF273640"/>
      <x:name val="Aptos Narrow"/>
    </x:font>
    <x:font>
      <x:b/>
      <x:sz val="10"/>
      <x:color rgb="FF273640"/>
      <x:name val="Aptos Narrow"/>
    </x:font>
    <x:font>
      <x:b/>
      <x:sz val="10"/>
      <x:color rgb="FF183B56"/>
      <x:name val="Aptos Narrow"/>
    </x:font>
    <x:font>
      <x:b/>
      <x:sz val="18"/>
      <x:color rgb="FF183B56"/>
      <x:name val="Aptos Narrow"/>
    </x:font>
    <x:font>
      <x:sz val="11"/>
      <x:color rgb="FF5C6B73"/>
      <x:name val="Aptos Narrow"/>
    </x:font>
    <x:font>
      <x:b/>
      <x:sz val="10"/>
      <x:color rgb="FF273640"/>
      <x:name val="Aptos"/>
    </x:font>
    <x:font>
      <x:sz val="10"/>
      <x:color rgb="FF273640"/>
      <x:name val="Aptos"/>
    </x:font>
    <x:font>
      <x:b/>
      <x:sz val="11"/>
      <x:color rgb="FF183B56"/>
      <x:name val="Aptos"/>
    </x:font>
    <x:font>
      <x:b/>
      <x:sz val="10"/>
      <x:color rgb="FFFFFFFF"/>
      <x:name val="Aptos"/>
    </x:font>
    <x:font>
      <x:b/>
      <x:sz val="18"/>
      <x:color rgb="FFFFFFFF"/>
      <x:name val="Aptos"/>
    </x:font>
    <x:font>
      <x:b/>
      <x:sz val="10"/>
      <x:color rgb="FF183B56"/>
      <x:name val="Aptos"/>
    </x:font>
    <x:font>
      <x:b/>
      <x:sz val="18"/>
      <x:color rgb="FF183B56"/>
      <x:name val="Aptos"/>
    </x:font>
    <x:font>
      <x:sz val="10"/>
      <x:color rgb="FF24313A"/>
      <x:name val="Aptos Narrow"/>
    </x:font>
    <x:font>
      <x:b/>
      <x:sz val="20"/>
      <x:color rgb="FFFFFFFF"/>
      <x:name val="Aptos Narrow"/>
    </x:font>
    <x:font>
      <x:b/>
      <x:sz val="9"/>
      <x:color rgb="FF173D57"/>
      <x:name val="Aptos Narrow"/>
    </x:font>
    <x:font>
      <x:b/>
      <x:sz val="10"/>
      <x:color rgb="FF24536E"/>
      <x:name val="Aptos Narrow"/>
    </x:font>
    <x:font>
      <x:i/>
      <x:sz val="10"/>
      <x:color rgb="FF24536E"/>
      <x:name val="Aptos Narrow"/>
    </x:font>
    <x:font>
      <x:b/>
      <x:sz val="20"/>
      <x:color rgb="FF24536E"/>
      <x:name val="Aptos Narrow"/>
    </x:font>
    <x:font>
      <x:b/>
      <x:sz val="20"/>
      <x:color rgb="FF2A9D8F"/>
      <x:name val="Aptos Narrow"/>
    </x:font>
    <x:font>
      <x:b/>
      <x:sz val="20"/>
      <x:color rgb="FFE9A23B"/>
      <x:name val="Aptos Narrow"/>
    </x:font>
    <x:font>
      <x:b/>
      <x:sz val="20"/>
      <x:color rgb="FFD95D58"/>
      <x:name val="Aptos Narrow"/>
    </x:font>
    <x:font>
      <x:b/>
      <x:sz val="11"/>
      <x:color rgb="FF173D57"/>
      <x:name val="Aptos Narrow"/>
    </x:font>
    <x:font>
      <x:sz val="9"/>
      <x:color rgb="FF24313A"/>
      <x:name val="Aptos Narrow"/>
    </x:font>
    <x:font>
      <x:i/>
      <x:sz val="10"/>
      <x:color rgb="FF657681"/>
      <x:name val="Aptos Narrow"/>
    </x:font>
  </x:fonts>
  <x:fills count="31">
    <x:fill>
      <x:patternFill patternType="none"/>
    </x:fill>
    <x:fill>
      <x:patternFill patternType="gray125"/>
    </x:fill>
    <x:fill>
      <x:patternFill patternType="solid">
        <x:fgColor theme="3"/>
      </x:patternFill>
    </x:fill>
    <x:fill>
      <x:patternFill patternType="solid">
        <x:fgColor theme="4"/>
      </x:patternFill>
    </x:fill>
    <x:fill>
      <x:patternFill patternType="solid">
        <x:fgColor theme="0"/>
      </x:patternFill>
    </x:fill>
    <x:fill>
      <x:patternFill patternType="solid">
        <x:fgColor theme="9"/>
      </x:patternFill>
    </x:fill>
    <x:fill>
      <x:patternFill patternType="solid">
        <x:fgColor rgb="FFFFFF00"/>
      </x:patternFill>
    </x:fill>
    <x:fill>
      <x:patternFill patternType="solid">
        <x:fgColor theme="9" tint="0.59999"/>
      </x:patternFill>
    </x:fill>
    <x:fill>
      <x:patternFill patternType="solid">
        <x:fgColor rgb="FFF6F8FB"/>
      </x:patternFill>
    </x:fill>
    <x:fill>
      <x:patternFill patternType="solid">
        <x:fgColor rgb="FF10233A"/>
      </x:patternFill>
    </x:fill>
    <x:fill>
      <x:patternFill patternType="solid">
        <x:fgColor rgb="FFDDE7F0"/>
      </x:patternFill>
    </x:fill>
    <x:fill>
      <x:patternFill patternType="solid">
        <x:fgColor rgb="FFFFFFFF"/>
      </x:patternFill>
    </x:fill>
    <x:fill>
      <x:patternFill patternType="solid">
        <x:fgColor rgb="FFD9E7F2"/>
      </x:patternFill>
    </x:fill>
    <x:fill>
      <x:patternFill patternType="solid">
        <x:fgColor rgb="FFEAF0F5"/>
      </x:patternFill>
    </x:fill>
    <x:fill>
      <x:patternFill patternType="solid">
        <x:fgColor rgb="FFF3F6F9"/>
      </x:patternFill>
    </x:fill>
    <x:fill>
      <x:patternFill patternType="solid">
        <x:fgColor rgb="FFF7F9FB"/>
      </x:patternFill>
    </x:fill>
    <x:fill>
      <x:patternFill patternType="solid">
        <x:fgColor rgb="FF183B56"/>
      </x:patternFill>
    </x:fill>
    <x:fill>
      <x:patternFill patternType="solid">
        <x:fgColor rgb="FFFBF5E8"/>
      </x:patternFill>
    </x:fill>
    <x:fill>
      <x:patternFill patternType="solid">
        <x:fgColor rgb="FFEAF1F5"/>
      </x:patternFill>
    </x:fill>
    <x:fill>
      <x:patternFill patternType="solid">
        <x:fgColor rgb="FFFFFFFF"/>
      </x:patternFill>
    </x:fill>
    <x:fill>
      <x:patternFill patternType="solid">
        <x:fgColor rgb="FF263D4D"/>
      </x:patternFill>
    </x:fill>
    <x:fill>
      <x:patternFill patternType="solid">
        <x:fgColor rgb="FFF8ECEC"/>
      </x:patternFill>
    </x:fill>
    <x:fill>
      <x:patternFill patternType="solid">
        <x:fgColor rgb="FFF3F6F8"/>
      </x:patternFill>
    </x:fill>
    <x:fill>
      <x:patternFill patternType="solid">
        <x:fgColor rgb="FFF7FAFC"/>
      </x:patternFill>
    </x:fill>
    <x:fill>
      <x:patternFill patternType="solid">
        <x:fgColor rgb="FF173D57"/>
      </x:patternFill>
    </x:fill>
    <x:fill>
      <x:patternFill patternType="solid">
        <x:fgColor rgb="FFEAF2F6"/>
      </x:patternFill>
    </x:fill>
    <x:fill>
      <x:patternFill patternType="solid">
        <x:fgColor rgb="FFFFFFFF"/>
      </x:patternFill>
    </x:fill>
    <x:fill>
      <x:patternFill patternType="solid">
        <x:fgColor rgb="FF24536E"/>
      </x:patternFill>
    </x:fill>
    <x:fill>
      <x:patternFill patternType="solid">
        <x:fgColor rgb="FF2A9D8F"/>
      </x:patternFill>
    </x:fill>
    <x:fill>
      <x:patternFill patternType="solid">
        <x:fgColor rgb="FFE9A23B"/>
      </x:patternFill>
    </x:fill>
    <x:fill>
      <x:patternFill patternType="solid">
        <x:fgColor rgb="FFD95D58"/>
      </x:patternFill>
    </x:fill>
  </x:fills>
  <x:borders count="58">
    <x:border/>
    <x:border/>
    <x:border>
      <x:left style="medium">
        <x:color rgb="FF2A9D8F"/>
      </x:left>
      <x:right style="medium">
        <x:color rgb="FF2A9D8F"/>
      </x:right>
      <x:top style="medium">
        <x:color rgb="FF2A9D8F"/>
      </x:top>
      <x:bottom style="medium">
        <x:color rgb="FF2A9D8F"/>
      </x:bottom>
    </x:border>
    <x:border>
      <x:left style="medium">
        <x:color rgb="FF24536E"/>
      </x:left>
      <x:top style="medium">
        <x:color rgb="FF24536E"/>
      </x:top>
      <x:bottom style="medium">
        <x:color rgb="FF24536E"/>
      </x:bottom>
    </x:border>
    <x:border>
      <x:top style="medium">
        <x:color rgb="FF24536E"/>
      </x:top>
      <x:bottom style="medium">
        <x:color rgb="FF24536E"/>
      </x:bottom>
    </x:border>
    <x:border>
      <x:right style="medium">
        <x:color rgb="FF24536E"/>
      </x:right>
      <x:top style="medium">
        <x:color rgb="FF24536E"/>
      </x:top>
      <x:bottom style="medium">
        <x:color rgb="FF24536E"/>
      </x:bottom>
    </x:border>
    <x:border>
      <x:left style="medium">
        <x:color rgb="FF24536E"/>
      </x:left>
      <x:top style="medium">
        <x:color rgb="FF24536E"/>
      </x:top>
    </x:border>
    <x:border>
      <x:top style="medium">
        <x:color rgb="FF24536E"/>
      </x:top>
    </x:border>
    <x:border>
      <x:right style="medium">
        <x:color rgb="FF24536E"/>
      </x:right>
      <x:top style="medium">
        <x:color rgb="FF24536E"/>
      </x:top>
    </x:border>
    <x:border>
      <x:left style="medium">
        <x:color rgb="FF24536E"/>
      </x:left>
    </x:border>
    <x:border>
      <x:right style="medium">
        <x:color rgb="FF24536E"/>
      </x:right>
    </x:border>
    <x:border>
      <x:left style="medium">
        <x:color rgb="FF24536E"/>
      </x:left>
      <x:bottom style="medium">
        <x:color rgb="FF24536E"/>
      </x:bottom>
    </x:border>
    <x:border>
      <x:bottom style="medium">
        <x:color rgb="FF24536E"/>
      </x:bottom>
    </x:border>
    <x:border>
      <x:right style="medium">
        <x:color rgb="FF24536E"/>
      </x:right>
      <x:bottom style="medium">
        <x:color rgb="FF24536E"/>
      </x:bottom>
    </x:border>
    <x:border>
      <x:left style="medium">
        <x:color rgb="FF2A9D8F"/>
      </x:left>
      <x:top style="medium">
        <x:color rgb="FF2A9D8F"/>
      </x:top>
      <x:bottom style="medium">
        <x:color rgb="FF2A9D8F"/>
      </x:bottom>
    </x:border>
    <x:border>
      <x:top style="medium">
        <x:color rgb="FF2A9D8F"/>
      </x:top>
      <x:bottom style="medium">
        <x:color rgb="FF2A9D8F"/>
      </x:bottom>
    </x:border>
    <x:border>
      <x:right style="medium">
        <x:color rgb="FF2A9D8F"/>
      </x:right>
      <x:top style="medium">
        <x:color rgb="FF2A9D8F"/>
      </x:top>
      <x:bottom style="medium">
        <x:color rgb="FF2A9D8F"/>
      </x:bottom>
    </x:border>
    <x:border>
      <x:left style="medium">
        <x:color rgb="FF2A9D8F"/>
      </x:left>
      <x:top style="medium">
        <x:color rgb="FF2A9D8F"/>
      </x:top>
    </x:border>
    <x:border>
      <x:top style="medium">
        <x:color rgb="FF2A9D8F"/>
      </x:top>
    </x:border>
    <x:border>
      <x:right style="medium">
        <x:color rgb="FF2A9D8F"/>
      </x:right>
      <x:top style="medium">
        <x:color rgb="FF2A9D8F"/>
      </x:top>
    </x:border>
    <x:border>
      <x:left style="medium">
        <x:color rgb="FF2A9D8F"/>
      </x:left>
    </x:border>
    <x:border>
      <x:right style="medium">
        <x:color rgb="FF2A9D8F"/>
      </x:right>
    </x:border>
    <x:border>
      <x:left style="medium">
        <x:color rgb="FF2A9D8F"/>
      </x:left>
      <x:bottom style="medium">
        <x:color rgb="FF2A9D8F"/>
      </x:bottom>
    </x:border>
    <x:border>
      <x:bottom style="medium">
        <x:color rgb="FF2A9D8F"/>
      </x:bottom>
    </x:border>
    <x:border>
      <x:right style="medium">
        <x:color rgb="FF2A9D8F"/>
      </x:right>
      <x:bottom style="medium">
        <x:color rgb="FF2A9D8F"/>
      </x:bottom>
    </x:border>
    <x:border>
      <x:left style="medium">
        <x:color rgb="FFE9A23B"/>
      </x:left>
      <x:top style="medium">
        <x:color rgb="FFE9A23B"/>
      </x:top>
      <x:bottom style="medium">
        <x:color rgb="FFE9A23B"/>
      </x:bottom>
    </x:border>
    <x:border>
      <x:top style="medium">
        <x:color rgb="FFE9A23B"/>
      </x:top>
      <x:bottom style="medium">
        <x:color rgb="FFE9A23B"/>
      </x:bottom>
    </x:border>
    <x:border>
      <x:right style="medium">
        <x:color rgb="FFE9A23B"/>
      </x:right>
      <x:top style="medium">
        <x:color rgb="FFE9A23B"/>
      </x:top>
      <x:bottom style="medium">
        <x:color rgb="FFE9A23B"/>
      </x:bottom>
    </x:border>
    <x:border>
      <x:left style="medium">
        <x:color rgb="FFE9A23B"/>
      </x:left>
      <x:top style="medium">
        <x:color rgb="FFE9A23B"/>
      </x:top>
    </x:border>
    <x:border>
      <x:top style="medium">
        <x:color rgb="FFE9A23B"/>
      </x:top>
    </x:border>
    <x:border>
      <x:right style="medium">
        <x:color rgb="FFE9A23B"/>
      </x:right>
      <x:top style="medium">
        <x:color rgb="FFE9A23B"/>
      </x:top>
    </x:border>
    <x:border>
      <x:left style="medium">
        <x:color rgb="FFE9A23B"/>
      </x:left>
    </x:border>
    <x:border>
      <x:right style="medium">
        <x:color rgb="FFE9A23B"/>
      </x:right>
    </x:border>
    <x:border>
      <x:left style="medium">
        <x:color rgb="FFE9A23B"/>
      </x:left>
      <x:bottom style="medium">
        <x:color rgb="FFE9A23B"/>
      </x:bottom>
    </x:border>
    <x:border>
      <x:bottom style="medium">
        <x:color rgb="FFE9A23B"/>
      </x:bottom>
    </x:border>
    <x:border>
      <x:right style="medium">
        <x:color rgb="FFE9A23B"/>
      </x:right>
      <x:bottom style="medium">
        <x:color rgb="FFE9A23B"/>
      </x:bottom>
    </x:border>
    <x:border>
      <x:left style="medium">
        <x:color rgb="FFD95D58"/>
      </x:left>
      <x:top style="medium">
        <x:color rgb="FFD95D58"/>
      </x:top>
      <x:bottom style="medium">
        <x:color rgb="FFD95D58"/>
      </x:bottom>
    </x:border>
    <x:border>
      <x:top style="medium">
        <x:color rgb="FFD95D58"/>
      </x:top>
      <x:bottom style="medium">
        <x:color rgb="FFD95D58"/>
      </x:bottom>
    </x:border>
    <x:border>
      <x:right style="medium">
        <x:color rgb="FFD95D58"/>
      </x:right>
      <x:top style="medium">
        <x:color rgb="FFD95D58"/>
      </x:top>
      <x:bottom style="medium">
        <x:color rgb="FFD95D58"/>
      </x:bottom>
    </x:border>
    <x:border>
      <x:left style="medium">
        <x:color rgb="FFD95D58"/>
      </x:left>
      <x:top style="medium">
        <x:color rgb="FFD95D58"/>
      </x:top>
    </x:border>
    <x:border>
      <x:top style="medium">
        <x:color rgb="FFD95D58"/>
      </x:top>
    </x:border>
    <x:border>
      <x:right style="medium">
        <x:color rgb="FFD95D58"/>
      </x:right>
      <x:top style="medium">
        <x:color rgb="FFD95D58"/>
      </x:top>
    </x:border>
    <x:border>
      <x:left style="medium">
        <x:color rgb="FFD95D58"/>
      </x:left>
    </x:border>
    <x:border>
      <x:right style="medium">
        <x:color rgb="FFD95D58"/>
      </x:right>
    </x:border>
    <x:border>
      <x:left style="medium">
        <x:color rgb="FFD95D58"/>
      </x:left>
      <x:bottom style="medium">
        <x:color rgb="FFD95D58"/>
      </x:bottom>
    </x:border>
    <x:border>
      <x:bottom style="medium">
        <x:color rgb="FFD95D58"/>
      </x:bottom>
    </x:border>
    <x:border>
      <x:right style="medium">
        <x:color rgb="FFD95D58"/>
      </x:right>
      <x:bottom style="medium">
        <x:color rgb="FFD95D58"/>
      </x:bottom>
    </x:border>
    <x:border>
      <x:bottom style="medium">
        <x:color rgb="FF173D57"/>
      </x:bottom>
    </x:border>
    <x:border>
      <x:left style="thin">
        <x:color rgb="FF24536E"/>
      </x:left>
      <x:right style="thin">
        <x:color rgb="FF24536E"/>
      </x:right>
      <x:top style="thin">
        <x:color rgb="FF24536E"/>
      </x:top>
      <x:bottom style="thin">
        <x:color rgb="FF24536E"/>
      </x:bottom>
    </x:border>
    <x:border>
      <x:left style="thin">
        <x:color rgb="FFC9D7DF"/>
      </x:left>
      <x:bottom style="thin">
        <x:color rgb="FFC9D7DF"/>
      </x:bottom>
    </x:border>
    <x:border>
      <x:bottom style="thin">
        <x:color rgb="FFC9D7DF"/>
      </x:bottom>
    </x:border>
    <x:border>
      <x:right style="thin">
        <x:color rgb="FFC9D7DF"/>
      </x:right>
      <x:bottom style="thin">
        <x:color rgb="FFC9D7DF"/>
      </x:bottom>
    </x:border>
    <x:border>
      <x:left style="thin">
        <x:color rgb="FFC9D7DF"/>
      </x:left>
      <x:top style="thin">
        <x:color rgb="FFC9D7DF"/>
      </x:top>
      <x:bottom style="thin">
        <x:color rgb="FFC9D7DF"/>
      </x:bottom>
    </x:border>
    <x:border>
      <x:top style="thin">
        <x:color rgb="FFC9D7DF"/>
      </x:top>
      <x:bottom style="thin">
        <x:color rgb="FFC9D7DF"/>
      </x:bottom>
    </x:border>
    <x:border>
      <x:right style="thin">
        <x:color rgb="FFC9D7DF"/>
      </x:right>
      <x:top style="thin">
        <x:color rgb="FFC9D7DF"/>
      </x:top>
      <x:bottom style="thin">
        <x:color rgb="FFC9D7DF"/>
      </x:bottom>
    </x:border>
    <x:border>
      <x:left style="thin">
        <x:color rgb="FFC9D7DF"/>
      </x:left>
      <x:top style="thin">
        <x:color rgb="FFC9D7DF"/>
      </x:top>
    </x:border>
    <x:border>
      <x:top style="thin">
        <x:color rgb="FFC9D7DF"/>
      </x:top>
    </x:border>
    <x:border>
      <x:right style="thin">
        <x:color rgb="FFC9D7DF"/>
      </x:right>
      <x:top style="thin">
        <x:color rgb="FFC9D7DF"/>
      </x:top>
    </x:border>
  </x:borders>
  <x:cellStyleXfs count="1">
    <x:xf numFmtId="0" fontId="0" fillId="0" borderId="0"/>
  </x:cellStyleXfs>
  <x:cellXfs count="654">
    <x:xf numFmtId="0" fontId="0" fillId="0" borderId="0" xfId="0"/>
    <x:xf numFmtId="0" fontId="2" fillId="3" borderId="0" xfId="0" applyFont="1" applyFill="1"/>
    <x:xf numFmtId="0" fontId="2" fillId="3" borderId="0" xfId="0" applyFont="1" applyFill="1" applyAlignment="1">
      <x:alignment horizontal="left"/>
    </x:xf>
    <x:xf numFmtId="0" fontId="3" fillId="0" borderId="0" xfId="0" applyFont="1"/>
    <x:xf numFmtId="0" fontId="2" fillId="4" borderId="0" xfId="0" applyFont="1" applyFill="1"/>
    <x:xf numFmtId="0" fontId="2" fillId="4" borderId="0" xfId="0" applyFont="1" applyFill="1" applyAlignment="1">
      <x:alignment horizontal="left"/>
    </x:xf>
    <x:xf numFmtId="0" fontId="3" fillId="0" borderId="0" xfId="0" applyFont="1" applyAlignment="1">
      <x:alignment horizontal="center"/>
    </x:xf>
    <x:xf numFmtId="0" fontId="4" fillId="0" borderId="0" xfId="0" applyFont="1" applyAlignment="1">
      <x:alignment wrapText="1"/>
    </x:xf>
    <x:xf numFmtId="0" fontId="2" fillId="3" borderId="0" xfId="0" applyFont="1" applyFill="1" applyAlignment="1">
      <x:alignment wrapText="1"/>
    </x:xf>
    <x:xf numFmtId="0" fontId="2" fillId="5" borderId="0" xfId="0" applyFont="1" applyFill="1" applyAlignment="1">
      <x:alignment horizontal="center"/>
    </x:xf>
    <x:xf numFmtId="0" fontId="3" fillId="0" borderId="0" xfId="0" applyFont="1" applyAlignment="1">
      <x:alignment wrapText="1"/>
    </x:xf>
    <x:xf numFmtId="0" fontId="1" fillId="2" borderId="0" xfId="0" applyFont="1" applyFill="1" applyAlignment="1">
      <x:alignment horizontal="center"/>
    </x:xf>
    <x:xf numFmtId="0" fontId="5" fillId="0" borderId="0" xfId="0" applyFont="1" applyAlignment="1">
      <x:alignment horizontal="center"/>
    </x:xf>
    <x:xf numFmtId="0" fontId="0" fillId="0" borderId="0" xfId="0"/>
    <x:xf numFmtId="0" fontId="6" fillId="0" borderId="0" xfId="0" applyFont="1"/>
    <x:xf numFmtId="164" fontId="0" fillId="0" borderId="0" xfId="0" applyNumberFormat="1"/>
    <x:xf numFmtId="0" fontId="0" fillId="6" borderId="0" xfId="0" applyFill="1"/>
    <x:xf numFmtId="0" fontId="0" fillId="0" borderId="0" xfId="0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Font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0" fillId="0" borderId="0" xfId="0" applyNumberFormat="1"/>
    <x:xf numFmtId="1" fontId="0" fillId="0" borderId="0" xfId="0" applyNumberFormat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/>
    <x:xf numFmtId="0" fontId="3" fillId="6" borderId="0" xfId="0" applyFont="1" applyFill="1"/>
    <x:xf numFmtId="0" fontId="5" fillId="7" borderId="0" xfId="0" applyFont="1" applyFill="1" applyAlignment="1">
      <x:alignment horizontal="center"/>
    </x:xf>
    <x:xf numFmtId="0" fontId="0" fillId="0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164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0" fillId="0" borderId="1" xfId="0" applyNumberFormat="1" applyFont="1" applyFill="1" applyBorder="1"/>
    <x:xf numFmtId="1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horizontal="center"/>
    </x:xf>
    <x:xf numFmtId="0" fontId="7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8" fillId="10" borderId="1" xfId="0" applyNumberFormat="1" applyFont="1" applyFill="1" applyBorder="1"/>
    <x:xf numFmtId="0" fontId="8" fillId="10" borderId="1" xfId="0" applyNumberFormat="1" applyFont="1" applyFill="1" applyBorder="1" applyAlignment="1">
      <x:alignment horizontal="center"/>
    </x:xf>
    <x:xf numFmtId="0" fontId="8" fillId="10" borderId="1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/>
    <x:xf numFmtId="0" fontId="9" fillId="8" borderId="1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1" borderId="1" xfId="0" applyNumberFormat="1" applyFont="1" applyFill="1" applyBorder="1"/>
    <x:xf numFmtId="0" fontId="8" fillId="11" borderId="1" xfId="0" applyNumberFormat="1" applyFont="1" applyFill="1" applyBorder="1"/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horizontal="center"/>
    </x:xf>
    <x:xf numFmtId="0" fontId="10" fillId="12" borderId="0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/>
    <x:xf numFmtId="0" fontId="10" fillId="12" borderId="1" xfId="0" applyNumberFormat="1" applyFont="1" applyFill="1" applyBorder="1"/>
    <x:xf numFmtId="0" fontId="10" fillId="12" borderId="1" xfId="0" applyNumberFormat="1" applyFont="1" applyFill="1" applyBorder="1" applyAlignment="1">
      <x:alignment horizontal="center"/>
    </x:xf>
    <x:xf numFmtId="0" fontId="10" fillId="12" borderId="1" xfId="0" applyNumberFormat="1" applyFont="1" applyFill="1" applyBorder="1" applyAlignment="1">
      <x:alignment horizontal="center" vertical="center"/>
    </x:xf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horizontal="center"/>
    </x:xf>
    <x:xf numFmtId="0" fontId="11" fillId="11" borderId="0" xfId="0" applyNumberFormat="1" applyFont="1" applyFill="1" applyBorder="1" applyAlignment="1">
      <x:alignment horizontal="center" vertical="center"/>
    </x:xf>
    <x:xf numFmtId="0" fontId="11" fillId="11" borderId="1" xfId="0" applyNumberFormat="1" applyFont="1" applyFill="1" applyBorder="1"/>
    <x:xf numFmtId="0" fontId="11" fillId="11" borderId="1" xfId="0" applyNumberFormat="1" applyFont="1" applyFill="1" applyBorder="1" applyAlignment="1">
      <x:alignment horizontal="center"/>
    </x:xf>
    <x:xf numFmtId="0" fontId="11" fillId="11" borderId="1" xfId="0" applyNumberFormat="1" applyFont="1" applyFill="1" applyBorder="1" applyAlignment="1">
      <x:alignment horizontal="center" vertical="center"/>
    </x:xf>
    <x:xf numFmtId="200" fontId="11" fillId="11" borderId="0" xfId="0" applyNumberFormat="1" applyFont="1" applyFill="1" applyBorder="1" applyAlignment="1">
      <x:alignment horizontal="center" vertical="center"/>
    </x:xf>
    <x:xf numFmtId="200" fontId="11" fillId="11" borderId="1" xfId="0" applyNumberFormat="1" applyFont="1" applyFill="1" applyBorder="1" applyAlignment="1">
      <x:alignment horizontal="center" vertical="center"/>
    </x:xf>
    <x:xf numFmtId="201" fontId="11" fillId="11" borderId="0" xfId="0" applyNumberFormat="1" applyFont="1" applyFill="1" applyBorder="1" applyAlignment="1">
      <x:alignment horizontal="center" vertical="center"/>
    </x:xf>
    <x:xf numFmtId="201" fontId="11" fillId="11" borderId="1" xfId="0" applyNumberFormat="1" applyFont="1" applyFill="1" applyBorder="1" applyAlignment="1">
      <x:alignment horizontal="center" vertical="center"/>
    </x:xf>
    <x:xf numFmtId="202" fontId="11" fillId="11" borderId="0" xfId="0" applyNumberFormat="1" applyFont="1" applyFill="1" applyBorder="1" applyAlignment="1">
      <x:alignment horizontal="center" vertical="center"/>
    </x:xf>
    <x:xf numFmtId="202" fontId="11" fillId="11" borderId="1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horizontal="left"/>
    </x:xf>
    <x:xf numFmtId="0" fontId="12" fillId="9" borderId="0" xfId="0" applyNumberFormat="1" applyFont="1" applyFill="1" applyBorder="1" applyAlignment="1">
      <x:alignment horizontal="left" vertical="center"/>
    </x:xf>
    <x:xf numFmtId="0" fontId="12" fillId="9" borderId="1" xfId="0" applyNumberFormat="1" applyFont="1" applyFill="1" applyBorder="1"/>
    <x:xf numFmtId="0" fontId="12" fillId="9" borderId="1" xfId="0" applyNumberFormat="1" applyFont="1" applyFill="1" applyBorder="1" applyAlignment="1">
      <x:alignment horizontal="left"/>
    </x:xf>
    <x:xf numFmtId="0" fontId="12" fillId="9" borderId="1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horizontal="center"/>
    </x:xf>
    <x:xf numFmtId="0" fontId="13" fillId="13" borderId="0" xfId="0" applyNumberFormat="1" applyFont="1" applyFill="1" applyBorder="1" applyAlignment="1">
      <x:alignment horizontal="center" vertical="center"/>
    </x:xf>
    <x:xf numFmtId="0" fontId="0" fillId="13" borderId="1" xfId="0" applyNumberFormat="1" applyFont="1" applyFill="1" applyBorder="1"/>
    <x:xf numFmtId="0" fontId="13" fillId="13" borderId="1" xfId="0" applyNumberFormat="1" applyFont="1" applyFill="1" applyBorder="1"/>
    <x:xf numFmtId="0" fontId="13" fillId="13" borderId="1" xfId="0" applyNumberFormat="1" applyFont="1" applyFill="1" applyBorder="1" applyAlignment="1">
      <x:alignment horizontal="center"/>
    </x:xf>
    <x:xf numFmtId="0" fontId="13" fillId="13" borderId="1" xfId="0" applyNumberFormat="1" applyFont="1" applyFill="1" applyBorder="1" applyAlignment="1">
      <x:alignment horizontal="center" vertical="center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wrapText="1"/>
    </x:xf>
    <x:xf numFmtId="200" fontId="11" fillId="11" borderId="0" xfId="0" applyNumberFormat="1" applyFont="1" applyFill="1" applyBorder="1" applyAlignment="1">
      <x:alignment horizontal="center" vertical="center" wrapText="1"/>
    </x:xf>
    <x:xf numFmtId="201" fontId="11" fillId="11" borderId="0" xfId="0" applyNumberFormat="1" applyFont="1" applyFill="1" applyBorder="1" applyAlignment="1">
      <x:alignment horizontal="center" vertical="center" wrapText="1"/>
    </x:xf>
    <x:xf numFmtId="202" fontId="11" fillId="11" borderId="0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left" vertical="center" wrapText="1"/>
    </x:xf>
    <x:xf numFmtId="0" fontId="13" fillId="13" borderId="0" xfId="0" applyNumberFormat="1" applyFont="1" applyFill="1" applyBorder="1" applyAlignment="1">
      <x:alignment horizontal="center" vertical="center" wrapText="1"/>
    </x:xf>
    <x:xf numFmtId="0" fontId="7" fillId="9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horizontal="center" vertical="center" wrapText="1"/>
    </x:xf>
    <x:xf numFmtId="0" fontId="10" fillId="12" borderId="1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wrapText="1"/>
    </x:xf>
    <x:xf numFmtId="0" fontId="8" fillId="11" borderId="1" xfId="0" applyNumberFormat="1" applyFont="1" applyFill="1" applyBorder="1" applyAlignment="1">
      <x:alignment wrapText="1"/>
    </x:xf>
    <x:xf numFmtId="200" fontId="11" fillId="11" borderId="1" xfId="0" applyNumberFormat="1" applyFont="1" applyFill="1" applyBorder="1" applyAlignment="1">
      <x:alignment horizontal="center" vertical="center" wrapText="1"/>
    </x:xf>
    <x:xf numFmtId="201" fontId="11" fillId="11" borderId="1" xfId="0" applyNumberFormat="1" applyFont="1" applyFill="1" applyBorder="1" applyAlignment="1">
      <x:alignment horizontal="center" vertical="center" wrapText="1"/>
    </x:xf>
    <x:xf numFmtId="202" fontId="11" fillId="11" borderId="1" xfId="0" applyNumberFormat="1" applyFont="1" applyFill="1" applyBorder="1" applyAlignment="1">
      <x:alignment horizontal="center" vertical="center" wrapText="1"/>
    </x:xf>
    <x:xf numFmtId="0" fontId="12" fillId="9" borderId="1" xfId="0" applyNumberFormat="1" applyFont="1" applyFill="1" applyBorder="1" applyAlignment="1">
      <x:alignment horizontal="left" vertical="center" wrapText="1"/>
    </x:xf>
    <x:xf numFmtId="0" fontId="13" fillId="13" borderId="1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horizontal="left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horizontal="left"/>
    </x:xf>
    <x:xf numFmtId="0" fontId="14" fillId="14" borderId="0" xfId="0" applyNumberFormat="1" applyFont="1" applyFill="1" applyBorder="1" applyAlignment="1">
      <x:alignment horizontal="center"/>
    </x:xf>
    <x:xf numFmtId="0" fontId="2" fillId="14" borderId="1" xfId="0" applyNumberFormat="1" applyFont="1" applyFill="1" applyBorder="1"/>
    <x:xf numFmtId="0" fontId="2" fillId="14" borderId="1" xfId="0" applyNumberFormat="1" applyFont="1" applyFill="1" applyBorder="1" applyAlignment="1">
      <x:alignment horizontal="left"/>
    </x:xf>
    <x:xf numFmtId="0" fontId="0" fillId="14" borderId="1" xfId="0" applyNumberFormat="1" applyFont="1" applyFill="1" applyBorder="1"/>
    <x:xf numFmtId="0" fontId="3" fillId="14" borderId="1" xfId="0" applyNumberFormat="1" applyFont="1" applyFill="1" applyBorder="1" applyAlignment="1">
      <x:alignment horizontal="center"/>
    </x:xf>
    <x:xf numFmtId="0" fontId="14" fillId="14" borderId="1" xfId="0" applyNumberFormat="1" applyFont="1" applyFill="1" applyBorder="1"/>
    <x:xf numFmtId="0" fontId="14" fillId="14" borderId="1" xfId="0" applyNumberFormat="1" applyFont="1" applyFill="1" applyBorder="1" applyAlignment="1">
      <x:alignment horizontal="left"/>
    </x:xf>
    <x:xf numFmtId="0" fontId="14" fillId="14" borderId="1" xfId="0" applyNumberFormat="1" applyFont="1" applyFill="1" applyBorder="1" applyAlignment="1">
      <x:alignment horizontal="center"/>
    </x:xf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horizontal="left"/>
    </x:xf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horizontal="left"/>
    </x:xf>
    <x:xf numFmtId="0" fontId="14" fillId="9" borderId="1" xfId="0" applyNumberFormat="1" applyFont="1" applyFill="1" applyBorder="1"/>
    <x:xf numFmtId="0" fontId="14" fillId="9" borderId="1" xfId="0" applyNumberFormat="1" applyFont="1" applyFill="1" applyBorder="1" applyAlignment="1">
      <x:alignment horizontal="left"/>
    </x:xf>
    <x:xf numFmtId="0" fontId="15" fillId="9" borderId="1" xfId="0" applyNumberFormat="1" applyFont="1" applyFill="1" applyBorder="1"/>
    <x:xf numFmtId="0" fontId="15" fillId="9" borderId="1" xfId="0" applyNumberFormat="1" applyFont="1" applyFill="1" applyBorder="1" applyAlignment="1">
      <x:alignment horizontal="left"/>
    </x:xf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0" fillId="15" borderId="1" xfId="0" applyNumberFormat="1" applyFont="1" applyFill="1" applyBorder="1"/>
    <x:xf numFmtId="0" fontId="14" fillId="1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5" fillId="0" borderId="0" xfId="0" applyNumberFormat="1" applyFont="1" applyFill="1" applyBorder="1" applyAlignment="1">
      <x:alignment horizontal="center"/>
    </x:xf>
    <x:xf numFmtId="201" fontId="5" fillId="0" borderId="1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 applyAlignment="1">
      <x:alignment horizontal="center"/>
    </x:xf>
    <x:xf numFmtId="200" fontId="5" fillId="0" borderId="1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/>
    </x:xf>
    <x:xf numFmtId="0" fontId="16" fillId="9" borderId="0" xfId="0" applyNumberFormat="1" applyFont="1" applyFill="1" applyBorder="1" applyAlignment="1">
      <x:alignment horizontal="center"/>
    </x:xf>
    <x:xf numFmtId="0" fontId="1" fillId="9" borderId="1" xfId="0" applyNumberFormat="1" applyFont="1" applyFill="1" applyBorder="1" applyAlignment="1">
      <x:alignment horizontal="center"/>
    </x:xf>
    <x:xf numFmtId="0" fontId="16" fillId="9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164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0" fillId="0" borderId="0" xfId="0" applyNumberFormat="1" applyFont="1" applyFill="1" applyBorder="1"/>
    <x:xf numFmtId="1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16" fillId="16" borderId="0" xfId="0" applyNumberFormat="1" applyFont="1" applyFill="1" applyBorder="1" applyAlignment="1">
      <x:alignment horizontal="center"/>
    </x:xf>
    <x:xf numFmtId="0" fontId="17" fillId="16" borderId="0" xfId="0" applyNumberFormat="1" applyFont="1" applyFill="1" applyBorder="1" applyAlignment="1">
      <x:alignment horizontal="center"/>
    </x:xf>
    <x:xf numFmtId="0" fontId="17" fillId="16" borderId="0" xfId="0" applyNumberFormat="1" applyFont="1" applyFill="1" applyBorder="1" applyAlignment="1">
      <x:alignment horizontal="center" wrapText="1"/>
    </x:xf>
    <x:xf numFmtId="0" fontId="17" fillId="16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3" fontId="5" fillId="0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0" fontId="18" fillId="0" borderId="0" xfId="0" applyNumberFormat="1" applyFont="1" applyFill="1" applyBorder="1"/>
    <x:xf numFmtId="0" fontId="0" fillId="16" borderId="0" xfId="0" applyNumberFormat="1" applyFont="1" applyFill="1" applyBorder="1"/>
    <x:xf numFmtId="0" fontId="19" fillId="16" borderId="0" xfId="0" applyNumberFormat="1" applyFont="1" applyFill="1" applyBorder="1"/>
    <x:xf numFmtId="0" fontId="19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20" fillId="17" borderId="0" xfId="0" applyNumberFormat="1" applyFont="1" applyFill="1" applyBorder="1"/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17" fillId="16" borderId="0" xfId="0" applyNumberFormat="1" applyFont="1" applyFill="1" applyBorder="1"/>
    <x:xf numFmtId="0" fontId="17" fillId="16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21" fillId="19" borderId="0" xfId="0" applyNumberFormat="1" applyFont="1" applyFill="1" applyBorder="1"/>
    <x:xf numFmtId="0" fontId="21" fillId="19" xfId="0" applyNumberFormat="1" applyFont="1" applyFill="1" applyBorder="0"/>
    <x:xf numFmtId="0" fontId="21" fillId="19" xfId="0" applyNumberFormat="1" applyFont="1" applyFill="1" applyBorder="0" applyAlignment="1">
      <x:alignment vertical="center"/>
    </x:xf>
    <x:xf numFmtId="203" fontId="21" fillId="19" xfId="0" applyNumberFormat="1" applyFont="1" applyFill="1" applyBorder="0" applyAlignment="1">
      <x:alignment vertical="center"/>
    </x:xf>
    <x:xf numFmtId="202" fontId="21" fillId="19" xfId="0" applyNumberFormat="1" applyFont="1" applyFill="1" applyBorder="0" applyAlignment="1">
      <x:alignment vertical="center"/>
    </x:xf>
    <x:xf numFmtId="0" fontId="17" fillId="19" borderId="0" xfId="0" applyNumberFormat="1" applyFont="1" applyFill="1" applyBorder="1" applyAlignment="1">
      <x:alignment horizontal="center" vertical="center" wrapText="1"/>
    </x:xf>
    <x:xf numFmtId="0" fontId="22" fillId="19" borderId="0" xfId="0" applyNumberFormat="1" applyFont="1" applyFill="1" applyBorder="1" applyAlignment="1">
      <x:alignment horizontal="center" vertical="center" wrapText="1"/>
    </x:xf>
    <x:xf numFmtId="0" fontId="22" fillId="19" xfId="0" applyNumberFormat="1" applyFont="1" applyFill="1" applyBorder="0" applyAlignment="1">
      <x:alignment horizontal="center" vertical="center" wrapText="1"/>
    </x:xf>
    <x:xf numFmtId="203" fontId="22" fillId="19" xfId="0" applyNumberFormat="1" applyFont="1" applyFill="1" applyBorder="0" applyAlignment="1">
      <x:alignment horizontal="center" vertical="center" wrapText="1"/>
    </x:xf>
    <x:xf numFmtId="202" fontId="0" fillId="19" borderId="0" xfId="0" applyNumberFormat="1" applyFont="1" applyFill="1" applyBorder="1"/>
    <x:xf numFmtId="202" fontId="21" fillId="19" borderId="0" xfId="0" applyNumberFormat="1" applyFont="1" applyFill="1" applyBorder="1"/>
    <x:xf numFmtId="202" fontId="21" fillId="19" xfId="0" applyNumberFormat="1" applyFont="1" applyFill="1" applyBorder="0"/>
    <x:xf numFmtId="0" fontId="21" fillId="18" xfId="0" applyNumberFormat="1" applyFont="1" applyFill="1" applyBorder="0" applyAlignment="1">
      <x:alignment vertical="center"/>
    </x:xf>
    <x:xf numFmtId="203" fontId="21" fillId="18" xfId="0" applyNumberFormat="1" applyFont="1" applyFill="1" applyBorder="0" applyAlignment="1">
      <x:alignment vertical="center"/>
    </x:xf>
    <x:xf numFmtId="202" fontId="21" fillId="18" xfId="0" applyNumberFormat="1" applyFont="1" applyFill="1" applyBorder="0" applyAlignment="1">
      <x:alignment vertical="center"/>
    </x:xf>
    <x:xf numFmtId="0" fontId="20" fillId="18" xfId="0" applyNumberFormat="1" applyFont="1" applyFill="1" applyBorder="0" applyAlignment="1">
      <x:alignment vertical="center"/>
    </x:xf>
    <x:xf numFmtId="203" fontId="20" fillId="18" xfId="0" applyNumberFormat="1" applyFont="1" applyFill="1" applyBorder="0" applyAlignment="1">
      <x:alignment vertical="center"/>
    </x:xf>
    <x:xf numFmtId="202" fontId="20" fillId="18" xfId="0" applyNumberFormat="1" applyFont="1" applyFill="1" applyBorder="0" applyAlignment="1">
      <x:alignment vertical="center"/>
    </x:xf>
    <x:xf numFmtId="0" fontId="21" fillId="16" xfId="0" applyNumberFormat="1" applyFont="1" applyFill="1" applyBorder="0" applyAlignment="1">
      <x:alignment vertical="center"/>
    </x:xf>
    <x:xf numFmtId="203" fontId="21" fillId="16" xfId="0" applyNumberFormat="1" applyFont="1" applyFill="1" applyBorder="0" applyAlignment="1">
      <x:alignment vertical="center"/>
    </x:xf>
    <x:xf numFmtId="202" fontId="21" fillId="16" xfId="0" applyNumberFormat="1" applyFont="1" applyFill="1" applyBorder="0" applyAlignment="1">
      <x:alignment vertical="center"/>
    </x:xf>
    <x:xf numFmtId="0" fontId="17" fillId="16" xfId="0" applyNumberFormat="1" applyFont="1" applyFill="1" applyBorder="0" applyAlignment="1">
      <x:alignment vertical="center"/>
    </x:xf>
    <x:xf numFmtId="203" fontId="17" fillId="16" xfId="0" applyNumberFormat="1" applyFont="1" applyFill="1" applyBorder="0" applyAlignment="1">
      <x:alignment vertical="center"/>
    </x:xf>
    <x:xf numFmtId="202" fontId="17" fillId="16" xfId="0" applyNumberFormat="1" applyFont="1" applyFill="1" applyBorder="0" applyAlignment="1">
      <x:alignment vertical="center"/>
    </x:xf>
    <x:xf numFmtId="0" fontId="17" fillId="16" xfId="0" applyNumberFormat="1" applyFont="1" applyFill="1" applyBorder="0" applyAlignment="1">
      <x:alignment vertical="center" wrapText="1"/>
    </x:xf>
    <x:xf numFmtId="203" fontId="17" fillId="16" xfId="0" applyNumberFormat="1" applyFont="1" applyFill="1" applyBorder="0" applyAlignment="1">
      <x:alignment vertical="center" wrapText="1"/>
    </x:xf>
    <x:xf numFmtId="202" fontId="17" fillId="16" xfId="0" applyNumberFormat="1" applyFont="1" applyFill="1" applyBorder="0" applyAlignment="1">
      <x:alignment vertical="center" wrapText="1"/>
    </x:xf>
    <x:xf numFmtId="0" fontId="17" fillId="16" xfId="0" applyNumberFormat="1" applyFont="1" applyFill="1" applyBorder="0" applyAlignment="1">
      <x:alignment horizontal="center" vertical="center" wrapText="1"/>
    </x:xf>
    <x:xf numFmtId="203" fontId="17" fillId="16" xfId="0" applyNumberFormat="1" applyFont="1" applyFill="1" applyBorder="0" applyAlignment="1">
      <x:alignment horizontal="center" vertical="center" wrapText="1"/>
    </x:xf>
    <x:xf numFmtId="202" fontId="17" fillId="16" xfId="0" applyNumberFormat="1" applyFont="1" applyFill="1" applyBorder="0" applyAlignment="1">
      <x:alignment horizontal="center" vertical="center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horizontal="center"/>
    </x:xf>
    <x:xf numFmtId="0" fontId="20" fillId="19" borderId="0" xfId="0" applyNumberFormat="1" applyFont="1" applyFill="1" applyBorder="1"/>
    <x:xf numFmtId="0" fontId="23" fillId="18" borderId="0" xfId="0" applyNumberFormat="1" applyFont="1" applyFill="1" applyBorder="1"/>
    <x:xf numFmtId="0" fontId="23" fillId="18" borderId="0" xfId="0" applyNumberFormat="1" applyFont="1" applyFill="1" applyBorder="1" applyAlignment="1">
      <x:alignment horizontal="center"/>
    </x:xf>
    <x:xf numFmtId="0" fontId="24" fillId="18" borderId="0" xfId="0" applyNumberFormat="1" applyFont="1" applyFill="1" applyBorder="1" applyAlignment="1">
      <x:alignment horizontal="center"/>
    </x:xf>
    <x:xf numFmtId="203" fontId="24" fillId="18" borderId="0" xfId="0" applyNumberFormat="1" applyFont="1" applyFill="1" applyBorder="1" applyAlignment="1">
      <x:alignment horizontal="center"/>
    </x:xf>
    <x:xf numFmtId="204" fontId="24" fillId="18" borderId="0" xfId="0" applyNumberFormat="1" applyFont="1" applyFill="1" applyBorder="1" applyAlignment="1">
      <x:alignment horizontal="center"/>
    </x:xf>
    <x:xf numFmtId="202" fontId="24" fillId="18" borderId="0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23" fillId="21" borderId="0" xfId="0" applyNumberFormat="1" applyFont="1" applyFill="1" applyBorder="1"/>
    <x:xf numFmtId="0" fontId="23" fillId="21" borderId="0" xfId="0" applyNumberFormat="1" applyFont="1" applyFill="1" applyBorder="1" applyAlignment="1">
      <x:alignment horizontal="center"/>
    </x:xf>
    <x:xf numFmtId="0" fontId="24" fillId="21" borderId="0" xfId="0" applyNumberFormat="1" applyFont="1" applyFill="1" applyBorder="1" applyAlignment="1">
      <x:alignment horizontal="center"/>
    </x:xf>
    <x:xf numFmtId="204" fontId="24" fillId="21" borderId="0" xfId="0" applyNumberFormat="1" applyFont="1" applyFill="1" applyBorder="1" applyAlignment="1">
      <x:alignment horizontal="center"/>
    </x:xf>
    <x:xf numFmtId="205" fontId="24" fillId="21" borderId="0" xfId="0" applyNumberFormat="1" applyFont="1" applyFill="1" applyBorder="1" applyAlignment="1">
      <x:alignment horizontal="center"/>
    </x:xf>
    <x:xf numFmtId="206" fontId="24" fillId="21" borderId="0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25" fillId="22" borderId="0" xfId="0" applyNumberFormat="1" applyFont="1" applyFill="1" applyBorder="1"/>
    <x:xf numFmtId="0" fontId="25" fillId="22" borderId="0" xfId="0" applyNumberFormat="1" applyFont="1" applyFill="1" applyBorder="1" applyAlignment="1">
      <x:alignment wrapText="1"/>
    </x:xf>
    <x:xf numFmtId="0" fontId="26" fillId="16" borderId="0" xfId="0" applyNumberFormat="1" applyFont="1" applyFill="1" applyBorder="1" applyAlignment="1">
      <x:alignment vertical="center"/>
    </x:xf>
    <x:xf numFmtId="0" fontId="27" fillId="0" borderId="0" xfId="0" applyNumberFormat="1" applyFont="1" applyFill="1" applyBorder="1"/>
    <x:xf numFmtId="0" fontId="26" fillId="17" borderId="0" xfId="0" applyNumberFormat="1" applyFont="1" applyFill="1" applyBorder="1"/>
    <x:xf numFmtId="0" fontId="26" fillId="18" borderId="0" xfId="0" applyNumberFormat="1" applyFont="1" applyFill="1" applyBorder="1"/>
    <x:xf numFmtId="0" fontId="26" fillId="16" borderId="0" xfId="0" applyNumberFormat="1" applyFont="1" applyFill="1" applyBorder="1" applyAlignment="1">
      <x:alignment horizontal="center" vertical="center" wrapText="1"/>
    </x:xf>
    <x:xf numFmtId="0" fontId="27" fillId="19" xfId="0" applyNumberFormat="1" applyFont="1" applyFill="1" applyBorder="0" applyAlignment="1">
      <x:alignment vertical="center"/>
    </x:xf>
    <x:xf numFmtId="203" fontId="27" fillId="19" xfId="0" applyNumberFormat="1" applyFont="1" applyFill="1" applyBorder="0" applyAlignment="1">
      <x:alignment vertical="center"/>
    </x:xf>
    <x:xf numFmtId="202" fontId="27" fillId="19" xfId="0" applyNumberFormat="1" applyFont="1" applyFill="1" applyBorder="0" applyAlignment="1">
      <x:alignment vertical="center"/>
    </x:xf>
    <x:xf numFmtId="0" fontId="26" fillId="19" xfId="0" applyNumberFormat="1" applyFont="1" applyFill="1" applyBorder="0" applyAlignment="1">
      <x:alignment horizontal="center" vertical="center" wrapText="1"/>
    </x:xf>
    <x:xf numFmtId="203" fontId="26" fillId="19" xfId="0" applyNumberFormat="1" applyFont="1" applyFill="1" applyBorder="0" applyAlignment="1">
      <x:alignment horizontal="center" vertical="center" wrapText="1"/>
    </x:xf>
    <x:xf numFmtId="0" fontId="26" fillId="18" xfId="0" applyNumberFormat="1" applyFont="1" applyFill="1" applyBorder="0" applyAlignment="1">
      <x:alignment vertical="center"/>
    </x:xf>
    <x:xf numFmtId="203" fontId="26" fillId="18" xfId="0" applyNumberFormat="1" applyFont="1" applyFill="1" applyBorder="0" applyAlignment="1">
      <x:alignment vertical="center"/>
    </x:xf>
    <x:xf numFmtId="202" fontId="26" fillId="18" xfId="0" applyNumberFormat="1" applyFont="1" applyFill="1" applyBorder="0" applyAlignment="1">
      <x:alignment vertical="center"/>
    </x:xf>
    <x:xf numFmtId="0" fontId="26" fillId="16" xfId="0" applyNumberFormat="1" applyFont="1" applyFill="1" applyBorder="0" applyAlignment="1">
      <x:alignment horizontal="center" vertical="center" wrapText="1"/>
    </x:xf>
    <x:xf numFmtId="203" fontId="26" fillId="16" xfId="0" applyNumberFormat="1" applyFont="1" applyFill="1" applyBorder="0" applyAlignment="1">
      <x:alignment horizontal="center" vertical="center" wrapText="1"/>
    </x:xf>
    <x:xf numFmtId="202" fontId="26" fillId="16" xfId="0" applyNumberFormat="1" applyFont="1" applyFill="1" applyBorder="0" applyAlignment="1">
      <x:alignment horizontal="center" vertical="center" wrapText="1"/>
    </x:xf>
    <x:xf numFmtId="0" fontId="26" fillId="20" borderId="0" xfId="0" applyNumberFormat="1" applyFont="1" applyFill="1" applyBorder="1" applyAlignment="1">
      <x:alignment horizontal="center"/>
    </x:xf>
    <x:xf numFmtId="0" fontId="26" fillId="19" borderId="0" xfId="0" applyNumberFormat="1" applyFont="1" applyFill="1" applyBorder="1"/>
    <x:xf numFmtId="0" fontId="26" fillId="18" borderId="0" xfId="0" applyNumberFormat="1" applyFont="1" applyFill="1" applyBorder="1" applyAlignment="1">
      <x:alignment horizontal="center"/>
    </x:xf>
    <x:xf numFmtId="203" fontId="26" fillId="18" borderId="0" xfId="0" applyNumberFormat="1" applyFont="1" applyFill="1" applyBorder="1" applyAlignment="1">
      <x:alignment horizontal="center"/>
    </x:xf>
    <x:xf numFmtId="204" fontId="26" fillId="18" borderId="0" xfId="0" applyNumberFormat="1" applyFont="1" applyFill="1" applyBorder="1" applyAlignment="1">
      <x:alignment horizontal="center"/>
    </x:xf>
    <x:xf numFmtId="202" fontId="26" fillId="18" borderId="0" xfId="0" applyNumberFormat="1" applyFont="1" applyFill="1" applyBorder="1" applyAlignment="1">
      <x:alignment horizontal="center"/>
    </x:xf>
    <x:xf numFmtId="0" fontId="26" fillId="21" borderId="0" xfId="0" applyNumberFormat="1" applyFont="1" applyFill="1" applyBorder="1" applyAlignment="1">
      <x:alignment horizontal="center"/>
    </x:xf>
    <x:xf numFmtId="204" fontId="26" fillId="21" borderId="0" xfId="0" applyNumberFormat="1" applyFont="1" applyFill="1" applyBorder="1" applyAlignment="1">
      <x:alignment horizontal="center"/>
    </x:xf>
    <x:xf numFmtId="205" fontId="26" fillId="21" borderId="0" xfId="0" applyNumberFormat="1" applyFont="1" applyFill="1" applyBorder="1" applyAlignment="1">
      <x:alignment horizontal="center"/>
    </x:xf>
    <x:xf numFmtId="206" fontId="26" fillId="21" borderId="0" xfId="0" applyNumberFormat="1" applyFont="1" applyFill="1" applyBorder="1" applyAlignment="1">
      <x:alignment horizontal="center"/>
    </x:xf>
    <x:xf numFmtId="0" fontId="27" fillId="22" borderId="0" xfId="0" applyNumberFormat="1" applyFont="1" applyFill="1" applyBorder="1" applyAlignment="1">
      <x:alignment wrapText="1"/>
    </x:xf>
    <x:xf numFmtId="0" fontId="27" fillId="18" borderId="0" xfId="0" applyNumberFormat="1" applyFont="1" applyFill="1" applyBorder="1"/>
    <x:xf numFmtId="0" fontId="28" fillId="18" borderId="0" xfId="0" applyNumberFormat="1" applyFont="1" applyFill="1" applyBorder="1"/>
    <x:xf numFmtId="0" fontId="27" fillId="16" borderId="0" xfId="0" applyNumberFormat="1" applyFont="1" applyFill="1" applyBorder="1"/>
    <x:xf numFmtId="0" fontId="29" fillId="16" borderId="0" xfId="0" applyNumberFormat="1" applyFont="1" applyFill="1" applyBorder="1"/>
    <x:xf numFmtId="0" fontId="29" fillId="16" borderId="0" xfId="0" applyNumberFormat="1" applyFont="1" applyFill="1" applyBorder="1" applyAlignment="1">
      <x:alignment wrapText="1"/>
    </x:xf>
    <x:xf numFmtId="0" fontId="29" fillId="16" borderId="0" xfId="0" applyNumberFormat="1" applyFont="1" applyFill="1" applyBorder="1" applyAlignment="1">
      <x:alignment horizontal="center" wrapText="1"/>
    </x:xf>
    <x:xf numFmtId="0" fontId="29" fillId="16" borderId="0" xfId="0" applyNumberFormat="1" applyFont="1" applyFill="1" applyBorder="1" applyAlignment="1">
      <x:alignment horizontal="center" vertical="center" wrapText="1"/>
    </x:xf>
    <x:xf numFmtId="0" fontId="27" fillId="19" borderId="0" xfId="0" applyNumberFormat="1" applyFont="1" applyFill="1" applyBorder="1"/>
    <x:xf numFmtId="0" fontId="27" fillId="19" xfId="0" applyNumberFormat="1" applyFont="1" applyFill="1" applyBorder="0"/>
    <x:xf numFmtId="0" fontId="30" fillId="16" borderId="0" xfId="0" applyNumberFormat="1" applyFont="1" applyFill="1" applyBorder="1" applyAlignment="1">
      <x:alignment vertical="center"/>
    </x:xf>
    <x:xf numFmtId="0" fontId="29" fillId="20" borderId="0" xfId="0" applyNumberFormat="1" applyFont="1" applyFill="1" applyBorder="1" applyAlignment="1">
      <x:alignment horizontal="center"/>
    </x:xf>
    <x:xf numFmtId="0" fontId="31" fillId="18" borderId="0" xfId="0" applyNumberFormat="1" applyFont="1" applyFill="1" applyBorder="1" applyAlignment="1">
      <x:alignment horizontal="center"/>
    </x:xf>
    <x:xf numFmtId="203" fontId="31" fillId="18" borderId="0" xfId="0" applyNumberFormat="1" applyFont="1" applyFill="1" applyBorder="1" applyAlignment="1">
      <x:alignment horizontal="center"/>
    </x:xf>
    <x:xf numFmtId="204" fontId="31" fillId="18" borderId="0" xfId="0" applyNumberFormat="1" applyFont="1" applyFill="1" applyBorder="1" applyAlignment="1">
      <x:alignment horizontal="center"/>
    </x:xf>
    <x:xf numFmtId="202" fontId="31" fillId="18" borderId="0" xfId="0" applyNumberFormat="1" applyFont="1" applyFill="1" applyBorder="1" applyAlignment="1">
      <x:alignment horizontal="center"/>
    </x:xf>
    <x:xf numFmtId="203" fontId="32" fillId="18" borderId="0" xfId="0" applyNumberFormat="1" applyFont="1" applyFill="1" applyBorder="1" applyAlignment="1">
      <x:alignment horizontal="center"/>
    </x:xf>
    <x:xf numFmtId="204" fontId="32" fillId="18" borderId="0" xfId="0" applyNumberFormat="1" applyFont="1" applyFill="1" applyBorder="1" applyAlignment="1">
      <x:alignment horizontal="center"/>
    </x:xf>
    <x:xf numFmtId="202" fontId="32" fillId="18" borderId="0" xfId="0" applyNumberFormat="1" applyFont="1" applyFill="1" applyBorder="1" applyAlignment="1">
      <x:alignment horizontal="center"/>
    </x:xf>
    <x:xf numFmtId="0" fontId="31" fillId="21" borderId="0" xfId="0" applyNumberFormat="1" applyFont="1" applyFill="1" applyBorder="1" applyAlignment="1">
      <x:alignment horizontal="center"/>
    </x:xf>
    <x:xf numFmtId="204" fontId="31" fillId="21" borderId="0" xfId="0" applyNumberFormat="1" applyFont="1" applyFill="1" applyBorder="1" applyAlignment="1">
      <x:alignment horizontal="center"/>
    </x:xf>
    <x:xf numFmtId="205" fontId="31" fillId="21" borderId="0" xfId="0" applyNumberFormat="1" applyFont="1" applyFill="1" applyBorder="1" applyAlignment="1">
      <x:alignment horizontal="center"/>
    </x:xf>
    <x:xf numFmtId="206" fontId="31" fillId="21" borderId="0" xfId="0" applyNumberFormat="1" applyFont="1" applyFill="1" applyBorder="1" applyAlignment="1">
      <x:alignment horizontal="center"/>
    </x:xf>
    <x:xf numFmtId="204" fontId="32" fillId="21" borderId="0" xfId="0" applyNumberFormat="1" applyFont="1" applyFill="1" applyBorder="1" applyAlignment="1">
      <x:alignment horizontal="center"/>
    </x:xf>
    <x:xf numFmtId="205" fontId="32" fillId="21" borderId="0" xfId="0" applyNumberFormat="1" applyFont="1" applyFill="1" applyBorder="1" applyAlignment="1">
      <x:alignment horizontal="center"/>
    </x:xf>
    <x:xf numFmtId="206" fontId="32" fillId="21" borderId="0" xfId="0" applyNumberFormat="1" applyFont="1" applyFill="1" applyBorder="1" applyAlignment="1">
      <x:alignment horizontal="center"/>
    </x:xf>
    <x:xf numFmtId="0" fontId="28" fillId="18" xfId="0" applyNumberFormat="1" applyFont="1" applyFill="1" applyBorder="0" applyAlignment="1">
      <x:alignment vertical="center"/>
    </x:xf>
    <x:xf numFmtId="203" fontId="28" fillId="18" xfId="0" applyNumberFormat="1" applyFont="1" applyFill="1" applyBorder="0" applyAlignment="1">
      <x:alignment vertical="center"/>
    </x:xf>
    <x:xf numFmtId="202" fontId="28" fillId="18" xfId="0" applyNumberFormat="1" applyFont="1" applyFill="1" applyBorder="0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 vertical="center"/>
    </x:xf>
    <x:xf numFmtId="203" fontId="5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7" fontId="5" fillId="0" borderId="0" xfId="0" applyNumberFormat="1" applyFont="1" applyFill="1" applyBorder="1" applyAlignment="1">
      <x:alignment horizontal="center" vertical="center"/>
    </x:xf>
    <x:xf numFmtId="207" fontId="0" fillId="0" borderId="0" xfId="0" applyNumberFormat="1" applyFont="1" applyFill="1" applyBorder="1" applyAlignment="1">
      <x:alignment vertical="center"/>
    </x:xf>
    <x:xf numFmtId="208" fontId="27" fillId="11" xfId="0" applyNumberFormat="1" applyFont="1" applyFill="1" applyBorder="0" applyAlignment="1">
      <x:alignment vertical="center"/>
    </x:xf>
    <x:xf numFmtId="202" fontId="27" fillId="11" xfId="0" applyNumberFormat="1" applyFont="1" applyFill="1" applyBorder="0" applyAlignment="1">
      <x:alignment vertical="center"/>
    </x:xf>
    <x:xf numFmtId="201" fontId="27" fillId="11" xfId="0" applyNumberFormat="1" applyFont="1" applyFill="1" applyBorder="0" applyAlignment="1">
      <x:alignment vertical="center"/>
    </x:xf>
    <x:xf numFmtId="208" fontId="26" fillId="11" xfId="0" applyNumberFormat="1" applyFont="1" applyFill="1" applyBorder="0" applyAlignment="1">
      <x:alignment horizontal="center" vertical="center" wrapText="1"/>
    </x:xf>
    <x:xf numFmtId="0" fontId="18" fillId="0" borderId="0" xfId="0" applyNumberFormat="1" applyFont="1" applyFill="1" applyBorder="1" applyAlignment="1">
      <x:alignment vertical="center"/>
    </x:xf>
    <x:xf numFmtId="0" fontId="27" fillId="0" borderId="0" xfId="0" applyNumberFormat="1" applyFont="1" applyFill="1" applyBorder="1" applyAlignment="1">
      <x:alignment vertical="center"/>
    </x:xf>
    <x:xf numFmtId="0" fontId="26" fillId="18" borderId="0" xfId="0" applyNumberFormat="1" applyFont="1" applyFill="1" applyBorder="1" applyAlignment="1">
      <x:alignment vertical="center"/>
    </x:xf>
    <x:xf numFmtId="0" fontId="28" fillId="18" borderId="0" xfId="0" applyNumberFormat="1" applyFont="1" applyFill="1" applyBorder="1" applyAlignment="1">
      <x:alignment vertical="center"/>
    </x:xf>
    <x:xf numFmtId="0" fontId="27" fillId="11" xfId="0" applyNumberFormat="1" applyFont="1" applyFill="1" applyBorder="0" applyAlignment="1">
      <x:alignment vertical="center"/>
    </x:xf>
    <x:xf numFmtId="203" fontId="27" fillId="11" xfId="0" applyNumberFormat="1" applyFont="1" applyFill="1" applyBorder="0" applyAlignment="1">
      <x:alignment vertical="center"/>
    </x:xf>
    <x:xf numFmtId="0" fontId="21" fillId="11" xfId="0" applyNumberFormat="1" applyFont="1" applyFill="1" applyBorder="0" applyAlignment="1">
      <x:alignment vertical="center"/>
    </x:xf>
    <x:xf numFmtId="203" fontId="21" fillId="11" xfId="0" applyNumberFormat="1" applyFont="1" applyFill="1" applyBorder="0" applyAlignment="1">
      <x:alignment vertical="center"/>
    </x:xf>
    <x:xf numFmtId="202" fontId="21" fillId="11" xfId="0" applyNumberFormat="1" applyFont="1" applyFill="1" applyBorder="0" applyAlignment="1">
      <x:alignment vertical="center"/>
    </x:xf>
    <x:xf numFmtId="208" fontId="28" fillId="18" xfId="0" applyNumberFormat="1" applyFont="1" applyFill="1" applyBorder="0" applyAlignment="1">
      <x:alignment vertical="center"/>
    </x:xf>
    <x:xf numFmtId="208" fontId="17" fillId="16" borderId="0" xfId="0" applyNumberFormat="1" applyFont="1" applyFill="1" applyBorder="1" applyAlignment="1">
      <x:alignment horizontal="center" vertical="center" wrapText="1"/>
    </x:xf>
    <x:xf numFmtId="208" fontId="21" fillId="11" xfId="0" applyNumberFormat="1" applyFont="1" applyFill="1" applyBorder="0" applyAlignment="1">
      <x:alignment vertical="center"/>
    </x:xf>
    <x:xf numFmtId="202" fontId="17" fillId="16" borderId="0" xfId="0" applyNumberFormat="1" applyFont="1" applyFill="1" applyBorder="1" applyAlignment="1">
      <x:alignment horizontal="center" vertical="center" wrapText="1"/>
    </x:xf>
    <x:xf numFmtId="201" fontId="28" fillId="18" xfId="0" applyNumberFormat="1" applyFont="1" applyFill="1" applyBorder="0" applyAlignment="1">
      <x:alignment vertical="center"/>
    </x:xf>
    <x:xf numFmtId="201" fontId="17" fillId="16" borderId="0" xfId="0" applyNumberFormat="1" applyFont="1" applyFill="1" applyBorder="1" applyAlignment="1">
      <x:alignment horizontal="center" vertical="center" wrapText="1"/>
    </x:xf>
    <x:xf numFmtId="201" fontId="21" fillId="11" xfId="0" applyNumberFormat="1" applyFont="1" applyFill="1" applyBorder="0" applyAlignment="1">
      <x:alignment vertical="center"/>
    </x:xf>
    <x:xf numFmtId="207" fontId="21" fillId="11" xfId="0" applyNumberFormat="1" applyFont="1" applyFill="1" applyBorder="0" applyAlignment="1">
      <x:alignment vertical="center"/>
    </x:xf>
    <x:xf numFmtId="208" fontId="0" fillId="0" borderId="0" xfId="0" applyNumberFormat="1" applyFont="1" applyFill="1" applyBorder="1"/>
    <x:xf numFmtId="0" fontId="0" fillId="23" borderId="0" xfId="0" applyNumberFormat="1" applyFont="1" applyFill="1" applyBorder="1"/>
    <x:xf numFmtId="0" fontId="33" fillId="23" borderId="0" xfId="0" applyNumberFormat="1" applyFont="1" applyFill="1" applyBorder="1"/>
    <x:xf numFmtId="0" fontId="33" fillId="23" borderId="0" xfId="0" applyNumberFormat="1" applyFont="1" applyFill="1" applyBorder="1" applyAlignment="1">
      <x:alignment vertical="center"/>
    </x:xf>
    <x:xf numFmtId="0" fontId="33" fillId="24" borderId="0" xfId="0" applyNumberFormat="1" applyFont="1" applyFill="1" applyBorder="1" applyAlignment="1">
      <x:alignment vertical="center"/>
    </x:xf>
    <x:xf numFmtId="0" fontId="34" fillId="24" borderId="0" xfId="0" applyNumberFormat="1" applyFont="1" applyFill="1" applyBorder="1" applyAlignment="1">
      <x:alignment vertical="center"/>
    </x:xf>
    <x:xf numFmtId="0" fontId="34" fillId="24" borderId="0" xfId="0" applyNumberFormat="1" applyFont="1" applyFill="1" applyBorder="1" applyAlignment="1">
      <x:alignment horizontal="left" vertical="center"/>
    </x:xf>
    <x:xf numFmtId="0" fontId="33" fillId="25" borderId="0" xfId="0" applyNumberFormat="1" applyFont="1" applyFill="1" applyBorder="1" applyAlignment="1">
      <x:alignment vertical="center"/>
    </x:xf>
    <x:xf numFmtId="0" fontId="35" fillId="25" borderId="0" xfId="0" applyNumberFormat="1" applyFont="1" applyFill="1" applyBorder="1" applyAlignment="1">
      <x:alignment vertical="center"/>
    </x:xf>
    <x:xf numFmtId="0" fontId="35" fillId="25" borderId="0" xfId="0" applyNumberFormat="1" applyFont="1" applyFill="1" applyBorder="1" applyAlignment="1">
      <x:alignment horizontal="left" vertical="center"/>
    </x:xf>
    <x:xf numFmtId="0" fontId="33" fillId="26" borderId="0" xfId="0" applyNumberFormat="1" applyFont="1" applyFill="1" applyBorder="1" applyAlignment="1">
      <x:alignment vertical="center"/>
    </x:xf>
    <x:xf numFmtId="0" fontId="36" fillId="26" borderId="0" xfId="0" applyNumberFormat="1" applyFont="1" applyFill="1" applyBorder="1" applyAlignment="1">
      <x:alignment vertical="center"/>
    </x:xf>
    <x:xf numFmtId="0" fontId="36" fillId="26" borderId="2" xfId="0" applyNumberFormat="1" applyFont="1" applyFill="1" applyBorder="1" applyAlignment="1">
      <x:alignment vertical="center"/>
    </x:xf>
    <x:xf numFmtId="0" fontId="36" fillId="26" borderId="2" xfId="0" applyNumberFormat="1" applyFont="1" applyFill="1" applyBorder="1" applyAlignment="1">
      <x:alignment horizontal="center" vertical="center"/>
    </x:xf>
    <x:xf numFmtId="0" fontId="37" fillId="25" borderId="0" xfId="0" applyNumberFormat="1" applyFont="1" applyFill="1" applyBorder="1" applyAlignment="1">
      <x:alignment vertical="center"/>
    </x:xf>
    <x:xf numFmtId="0" fontId="37" fillId="25" borderId="0" xfId="0" applyNumberFormat="1" applyFont="1" applyFill="1" applyBorder="1" applyAlignment="1">
      <x:alignment horizontal="left" vertical="center"/>
    </x:xf>
    <x:xf numFmtId="0" fontId="33" fillId="27" borderId="0" xfId="0" applyNumberFormat="1" applyFont="1" applyFill="1" applyBorder="1" applyAlignment="1">
      <x:alignment vertical="center"/>
    </x:xf>
    <x:xf numFmtId="0" fontId="17" fillId="27" borderId="0" xfId="0" applyNumberFormat="1" applyFont="1" applyFill="1" applyBorder="1" applyAlignment="1">
      <x:alignment vertical="center"/>
    </x:xf>
    <x:xf numFmtId="0" fontId="17" fillId="27" borderId="3" xfId="0" applyNumberFormat="1" applyFont="1" applyFill="1" applyBorder="1" applyAlignment="1">
      <x:alignment vertical="center"/>
    </x:xf>
    <x:xf numFmtId="0" fontId="17" fillId="27" borderId="4" xfId="0" applyNumberFormat="1" applyFont="1" applyFill="1" applyBorder="1" applyAlignment="1">
      <x:alignment vertical="center"/>
    </x:xf>
    <x:xf numFmtId="0" fontId="17" fillId="27" borderId="5" xfId="0" applyNumberFormat="1" applyFont="1" applyFill="1" applyBorder="1" applyAlignment="1">
      <x:alignment vertical="center"/>
    </x:xf>
    <x:xf numFmtId="0" fontId="17" fillId="27" borderId="3" xfId="0" applyNumberFormat="1" applyFont="1" applyFill="1" applyBorder="1" applyAlignment="1">
      <x:alignment horizontal="center" vertical="center"/>
    </x:xf>
    <x:xf numFmtId="0" fontId="17" fillId="27" borderId="4" xfId="0" applyNumberFormat="1" applyFont="1" applyFill="1" applyBorder="1" applyAlignment="1">
      <x:alignment horizontal="center" vertical="center"/>
    </x:xf>
    <x:xf numFmtId="0" fontId="17" fillId="27" borderId="5" xfId="0" applyNumberFormat="1" applyFont="1" applyFill="1" applyBorder="1" applyAlignment="1">
      <x:alignment horizontal="center" vertical="center"/>
    </x:xf>
    <x:xf numFmtId="0" fontId="38" fillId="26" borderId="0" xfId="0" applyNumberFormat="1" applyFont="1" applyFill="1" applyBorder="1" applyAlignment="1">
      <x:alignment vertical="center"/>
    </x:xf>
    <x:xf numFmtId="0" fontId="38" fillId="26" borderId="6" xfId="0" applyNumberFormat="1" applyFont="1" applyFill="1" applyBorder="1" applyAlignment="1">
      <x:alignment vertical="center"/>
    </x:xf>
    <x:xf numFmtId="0" fontId="38" fillId="26" borderId="7" xfId="0" applyNumberFormat="1" applyFont="1" applyFill="1" applyBorder="1" applyAlignment="1">
      <x:alignment vertical="center"/>
    </x:xf>
    <x:xf numFmtId="0" fontId="38" fillId="26" borderId="8" xfId="0" applyNumberFormat="1" applyFont="1" applyFill="1" applyBorder="1" applyAlignment="1">
      <x:alignment vertical="center"/>
    </x:xf>
    <x:xf numFmtId="0" fontId="38" fillId="26" borderId="9" xfId="0" applyNumberFormat="1" applyFont="1" applyFill="1" applyBorder="1" applyAlignment="1">
      <x:alignment vertical="center"/>
    </x:xf>
    <x:xf numFmtId="0" fontId="38" fillId="26" xfId="0" applyNumberFormat="1" applyFont="1" applyFill="1" applyBorder="0" applyAlignment="1">
      <x:alignment vertical="center"/>
    </x:xf>
    <x:xf numFmtId="0" fontId="38" fillId="26" borderId="10" xfId="0" applyNumberFormat="1" applyFont="1" applyFill="1" applyBorder="1" applyAlignment="1">
      <x:alignment vertical="center"/>
    </x:xf>
    <x:xf numFmtId="0" fontId="38" fillId="26" borderId="11" xfId="0" applyNumberFormat="1" applyFont="1" applyFill="1" applyBorder="1" applyAlignment="1">
      <x:alignment vertical="center"/>
    </x:xf>
    <x:xf numFmtId="0" fontId="38" fillId="26" borderId="12" xfId="0" applyNumberFormat="1" applyFont="1" applyFill="1" applyBorder="1" applyAlignment="1">
      <x:alignment vertical="center"/>
    </x:xf>
    <x:xf numFmtId="0" fontId="38" fillId="26" borderId="13" xfId="0" applyNumberFormat="1" applyFont="1" applyFill="1" applyBorder="1" applyAlignment="1">
      <x:alignment vertical="center"/>
    </x:xf>
    <x:xf numFmtId="208" fontId="38" fillId="26" borderId="6" xfId="0" applyNumberFormat="1" applyFont="1" applyFill="1" applyBorder="1" applyAlignment="1">
      <x:alignment vertical="center"/>
    </x:xf>
    <x:xf numFmtId="208" fontId="38" fillId="26" borderId="7" xfId="0" applyNumberFormat="1" applyFont="1" applyFill="1" applyBorder="1" applyAlignment="1">
      <x:alignment vertical="center"/>
    </x:xf>
    <x:xf numFmtId="208" fontId="38" fillId="26" borderId="8" xfId="0" applyNumberFormat="1" applyFont="1" applyFill="1" applyBorder="1" applyAlignment="1">
      <x:alignment vertical="center"/>
    </x:xf>
    <x:xf numFmtId="208" fontId="38" fillId="26" borderId="9" xfId="0" applyNumberFormat="1" applyFont="1" applyFill="1" applyBorder="1" applyAlignment="1">
      <x:alignment vertical="center"/>
    </x:xf>
    <x:xf numFmtId="208" fontId="38" fillId="26" xfId="0" applyNumberFormat="1" applyFont="1" applyFill="1" applyBorder="0" applyAlignment="1">
      <x:alignment vertical="center"/>
    </x:xf>
    <x:xf numFmtId="208" fontId="38" fillId="26" borderId="10" xfId="0" applyNumberFormat="1" applyFont="1" applyFill="1" applyBorder="1" applyAlignment="1">
      <x:alignment vertical="center"/>
    </x:xf>
    <x:xf numFmtId="208" fontId="38" fillId="26" borderId="11" xfId="0" applyNumberFormat="1" applyFont="1" applyFill="1" applyBorder="1" applyAlignment="1">
      <x:alignment vertical="center"/>
    </x:xf>
    <x:xf numFmtId="208" fontId="38" fillId="26" borderId="12" xfId="0" applyNumberFormat="1" applyFont="1" applyFill="1" applyBorder="1" applyAlignment="1">
      <x:alignment vertical="center"/>
    </x:xf>
    <x:xf numFmtId="208" fontId="38" fillId="26" borderId="13" xfId="0" applyNumberFormat="1" applyFont="1" applyFill="1" applyBorder="1" applyAlignment="1">
      <x:alignment vertical="center"/>
    </x:xf>
    <x:xf numFmtId="208" fontId="38" fillId="26" borderId="6" xfId="0" applyNumberFormat="1" applyFont="1" applyFill="1" applyBorder="1" applyAlignment="1">
      <x:alignment horizontal="center" vertical="center"/>
    </x:xf>
    <x:xf numFmtId="208" fontId="38" fillId="26" borderId="7" xfId="0" applyNumberFormat="1" applyFont="1" applyFill="1" applyBorder="1" applyAlignment="1">
      <x:alignment horizontal="center" vertical="center"/>
    </x:xf>
    <x:xf numFmtId="208" fontId="38" fillId="26" borderId="8" xfId="0" applyNumberFormat="1" applyFont="1" applyFill="1" applyBorder="1" applyAlignment="1">
      <x:alignment horizontal="center" vertical="center"/>
    </x:xf>
    <x:xf numFmtId="208" fontId="38" fillId="26" borderId="9" xfId="0" applyNumberFormat="1" applyFont="1" applyFill="1" applyBorder="1" applyAlignment="1">
      <x:alignment horizontal="center" vertical="center"/>
    </x:xf>
    <x:xf numFmtId="208" fontId="38" fillId="26" xfId="0" applyNumberFormat="1" applyFont="1" applyFill="1" applyBorder="0" applyAlignment="1">
      <x:alignment horizontal="center" vertical="center"/>
    </x:xf>
    <x:xf numFmtId="208" fontId="38" fillId="26" borderId="10" xfId="0" applyNumberFormat="1" applyFont="1" applyFill="1" applyBorder="1" applyAlignment="1">
      <x:alignment horizontal="center" vertical="center"/>
    </x:xf>
    <x:xf numFmtId="208" fontId="38" fillId="26" borderId="11" xfId="0" applyNumberFormat="1" applyFont="1" applyFill="1" applyBorder="1" applyAlignment="1">
      <x:alignment horizontal="center" vertical="center"/>
    </x:xf>
    <x:xf numFmtId="208" fontId="38" fillId="26" borderId="12" xfId="0" applyNumberFormat="1" applyFont="1" applyFill="1" applyBorder="1" applyAlignment="1">
      <x:alignment horizontal="center" vertical="center"/>
    </x:xf>
    <x:xf numFmtId="208" fontId="38" fillId="26" borderId="13" xfId="0" applyNumberFormat="1" applyFont="1" applyFill="1" applyBorder="1" applyAlignment="1">
      <x:alignment horizontal="center" vertical="center"/>
    </x:xf>
    <x:xf numFmtId="0" fontId="33" fillId="28" borderId="0" xfId="0" applyNumberFormat="1" applyFont="1" applyFill="1" applyBorder="1" applyAlignment="1">
      <x:alignment vertical="center"/>
    </x:xf>
    <x:xf numFmtId="0" fontId="17" fillId="28" borderId="0" xfId="0" applyNumberFormat="1" applyFont="1" applyFill="1" applyBorder="1" applyAlignment="1">
      <x:alignment vertical="center"/>
    </x:xf>
    <x:xf numFmtId="0" fontId="17" fillId="28" borderId="14" xfId="0" applyNumberFormat="1" applyFont="1" applyFill="1" applyBorder="1" applyAlignment="1">
      <x:alignment vertical="center"/>
    </x:xf>
    <x:xf numFmtId="0" fontId="17" fillId="28" borderId="15" xfId="0" applyNumberFormat="1" applyFont="1" applyFill="1" applyBorder="1" applyAlignment="1">
      <x:alignment vertical="center"/>
    </x:xf>
    <x:xf numFmtId="0" fontId="17" fillId="28" borderId="16" xfId="0" applyNumberFormat="1" applyFont="1" applyFill="1" applyBorder="1" applyAlignment="1">
      <x:alignment vertical="center"/>
    </x:xf>
    <x:xf numFmtId="0" fontId="17" fillId="28" borderId="14" xfId="0" applyNumberFormat="1" applyFont="1" applyFill="1" applyBorder="1" applyAlignment="1">
      <x:alignment horizontal="center" vertical="center"/>
    </x:xf>
    <x:xf numFmtId="0" fontId="17" fillId="28" borderId="15" xfId="0" applyNumberFormat="1" applyFont="1" applyFill="1" applyBorder="1" applyAlignment="1">
      <x:alignment horizontal="center" vertical="center"/>
    </x:xf>
    <x:xf numFmtId="0" fontId="17" fillId="28" borderId="16" xfId="0" applyNumberFormat="1" applyFont="1" applyFill="1" applyBorder="1" applyAlignment="1">
      <x:alignment horizontal="center" vertical="center"/>
    </x:xf>
    <x:xf numFmtId="0" fontId="39" fillId="26" borderId="0" xfId="0" applyNumberFormat="1" applyFont="1" applyFill="1" applyBorder="1" applyAlignment="1">
      <x:alignment vertical="center"/>
    </x:xf>
    <x:xf numFmtId="0" fontId="39" fillId="26" borderId="17" xfId="0" applyNumberFormat="1" applyFont="1" applyFill="1" applyBorder="1" applyAlignment="1">
      <x:alignment vertical="center"/>
    </x:xf>
    <x:xf numFmtId="0" fontId="39" fillId="26" borderId="18" xfId="0" applyNumberFormat="1" applyFont="1" applyFill="1" applyBorder="1" applyAlignment="1">
      <x:alignment vertical="center"/>
    </x:xf>
    <x:xf numFmtId="0" fontId="39" fillId="26" borderId="19" xfId="0" applyNumberFormat="1" applyFont="1" applyFill="1" applyBorder="1" applyAlignment="1">
      <x:alignment vertical="center"/>
    </x:xf>
    <x:xf numFmtId="0" fontId="39" fillId="26" borderId="20" xfId="0" applyNumberFormat="1" applyFont="1" applyFill="1" applyBorder="1" applyAlignment="1">
      <x:alignment vertical="center"/>
    </x:xf>
    <x:xf numFmtId="0" fontId="39" fillId="26" xfId="0" applyNumberFormat="1" applyFont="1" applyFill="1" applyBorder="0" applyAlignment="1">
      <x:alignment vertical="center"/>
    </x:xf>
    <x:xf numFmtId="0" fontId="39" fillId="26" borderId="21" xfId="0" applyNumberFormat="1" applyFont="1" applyFill="1" applyBorder="1" applyAlignment="1">
      <x:alignment vertical="center"/>
    </x:xf>
    <x:xf numFmtId="0" fontId="39" fillId="26" borderId="22" xfId="0" applyNumberFormat="1" applyFont="1" applyFill="1" applyBorder="1" applyAlignment="1">
      <x:alignment vertical="center"/>
    </x:xf>
    <x:xf numFmtId="0" fontId="39" fillId="26" borderId="23" xfId="0" applyNumberFormat="1" applyFont="1" applyFill="1" applyBorder="1" applyAlignment="1">
      <x:alignment vertical="center"/>
    </x:xf>
    <x:xf numFmtId="0" fontId="39" fillId="26" borderId="24" xfId="0" applyNumberFormat="1" applyFont="1" applyFill="1" applyBorder="1" applyAlignment="1">
      <x:alignment vertical="center"/>
    </x:xf>
    <x:xf numFmtId="208" fontId="39" fillId="26" borderId="17" xfId="0" applyNumberFormat="1" applyFont="1" applyFill="1" applyBorder="1" applyAlignment="1">
      <x:alignment vertical="center"/>
    </x:xf>
    <x:xf numFmtId="208" fontId="39" fillId="26" borderId="18" xfId="0" applyNumberFormat="1" applyFont="1" applyFill="1" applyBorder="1" applyAlignment="1">
      <x:alignment vertical="center"/>
    </x:xf>
    <x:xf numFmtId="208" fontId="39" fillId="26" borderId="19" xfId="0" applyNumberFormat="1" applyFont="1" applyFill="1" applyBorder="1" applyAlignment="1">
      <x:alignment vertical="center"/>
    </x:xf>
    <x:xf numFmtId="208" fontId="39" fillId="26" borderId="20" xfId="0" applyNumberFormat="1" applyFont="1" applyFill="1" applyBorder="1" applyAlignment="1">
      <x:alignment vertical="center"/>
    </x:xf>
    <x:xf numFmtId="208" fontId="39" fillId="26" xfId="0" applyNumberFormat="1" applyFont="1" applyFill="1" applyBorder="0" applyAlignment="1">
      <x:alignment vertical="center"/>
    </x:xf>
    <x:xf numFmtId="208" fontId="39" fillId="26" borderId="21" xfId="0" applyNumberFormat="1" applyFont="1" applyFill="1" applyBorder="1" applyAlignment="1">
      <x:alignment vertical="center"/>
    </x:xf>
    <x:xf numFmtId="208" fontId="39" fillId="26" borderId="22" xfId="0" applyNumberFormat="1" applyFont="1" applyFill="1" applyBorder="1" applyAlignment="1">
      <x:alignment vertical="center"/>
    </x:xf>
    <x:xf numFmtId="208" fontId="39" fillId="26" borderId="23" xfId="0" applyNumberFormat="1" applyFont="1" applyFill="1" applyBorder="1" applyAlignment="1">
      <x:alignment vertical="center"/>
    </x:xf>
    <x:xf numFmtId="208" fontId="39" fillId="26" borderId="24" xfId="0" applyNumberFormat="1" applyFont="1" applyFill="1" applyBorder="1" applyAlignment="1">
      <x:alignment vertical="center"/>
    </x:xf>
    <x:xf numFmtId="208" fontId="39" fillId="26" borderId="17" xfId="0" applyNumberFormat="1" applyFont="1" applyFill="1" applyBorder="1" applyAlignment="1">
      <x:alignment horizontal="center" vertical="center"/>
    </x:xf>
    <x:xf numFmtId="208" fontId="39" fillId="26" borderId="18" xfId="0" applyNumberFormat="1" applyFont="1" applyFill="1" applyBorder="1" applyAlignment="1">
      <x:alignment horizontal="center" vertical="center"/>
    </x:xf>
    <x:xf numFmtId="208" fontId="39" fillId="26" borderId="19" xfId="0" applyNumberFormat="1" applyFont="1" applyFill="1" applyBorder="1" applyAlignment="1">
      <x:alignment horizontal="center" vertical="center"/>
    </x:xf>
    <x:xf numFmtId="208" fontId="39" fillId="26" borderId="20" xfId="0" applyNumberFormat="1" applyFont="1" applyFill="1" applyBorder="1" applyAlignment="1">
      <x:alignment horizontal="center" vertical="center"/>
    </x:xf>
    <x:xf numFmtId="208" fontId="39" fillId="26" xfId="0" applyNumberFormat="1" applyFont="1" applyFill="1" applyBorder="0" applyAlignment="1">
      <x:alignment horizontal="center" vertical="center"/>
    </x:xf>
    <x:xf numFmtId="208" fontId="39" fillId="26" borderId="21" xfId="0" applyNumberFormat="1" applyFont="1" applyFill="1" applyBorder="1" applyAlignment="1">
      <x:alignment horizontal="center" vertical="center"/>
    </x:xf>
    <x:xf numFmtId="208" fontId="39" fillId="26" borderId="22" xfId="0" applyNumberFormat="1" applyFont="1" applyFill="1" applyBorder="1" applyAlignment="1">
      <x:alignment horizontal="center" vertical="center"/>
    </x:xf>
    <x:xf numFmtId="208" fontId="39" fillId="26" borderId="23" xfId="0" applyNumberFormat="1" applyFont="1" applyFill="1" applyBorder="1" applyAlignment="1">
      <x:alignment horizontal="center" vertical="center"/>
    </x:xf>
    <x:xf numFmtId="208" fontId="39" fillId="26" borderId="24" xfId="0" applyNumberFormat="1" applyFont="1" applyFill="1" applyBorder="1" applyAlignment="1">
      <x:alignment horizontal="center" vertical="center"/>
    </x:xf>
    <x:xf numFmtId="0" fontId="33" fillId="29" borderId="0" xfId="0" applyNumberFormat="1" applyFont="1" applyFill="1" applyBorder="1" applyAlignment="1">
      <x:alignment vertical="center"/>
    </x:xf>
    <x:xf numFmtId="0" fontId="17" fillId="29" borderId="0" xfId="0" applyNumberFormat="1" applyFont="1" applyFill="1" applyBorder="1" applyAlignment="1">
      <x:alignment vertical="center"/>
    </x:xf>
    <x:xf numFmtId="0" fontId="17" fillId="29" borderId="25" xfId="0" applyNumberFormat="1" applyFont="1" applyFill="1" applyBorder="1" applyAlignment="1">
      <x:alignment vertical="center"/>
    </x:xf>
    <x:xf numFmtId="0" fontId="17" fillId="29" borderId="26" xfId="0" applyNumberFormat="1" applyFont="1" applyFill="1" applyBorder="1" applyAlignment="1">
      <x:alignment vertical="center"/>
    </x:xf>
    <x:xf numFmtId="0" fontId="17" fillId="29" borderId="27" xfId="0" applyNumberFormat="1" applyFont="1" applyFill="1" applyBorder="1" applyAlignment="1">
      <x:alignment vertical="center"/>
    </x:xf>
    <x:xf numFmtId="0" fontId="17" fillId="29" borderId="25" xfId="0" applyNumberFormat="1" applyFont="1" applyFill="1" applyBorder="1" applyAlignment="1">
      <x:alignment horizontal="center" vertical="center"/>
    </x:xf>
    <x:xf numFmtId="0" fontId="17" fillId="29" borderId="26" xfId="0" applyNumberFormat="1" applyFont="1" applyFill="1" applyBorder="1" applyAlignment="1">
      <x:alignment horizontal="center" vertical="center"/>
    </x:xf>
    <x:xf numFmtId="0" fontId="17" fillId="29" borderId="27" xfId="0" applyNumberFormat="1" applyFont="1" applyFill="1" applyBorder="1" applyAlignment="1">
      <x:alignment horizontal="center" vertical="center"/>
    </x:xf>
    <x:xf numFmtId="0" fontId="40" fillId="26" borderId="0" xfId="0" applyNumberFormat="1" applyFont="1" applyFill="1" applyBorder="1" applyAlignment="1">
      <x:alignment vertical="center"/>
    </x:xf>
    <x:xf numFmtId="0" fontId="40" fillId="26" borderId="28" xfId="0" applyNumberFormat="1" applyFont="1" applyFill="1" applyBorder="1" applyAlignment="1">
      <x:alignment vertical="center"/>
    </x:xf>
    <x:xf numFmtId="0" fontId="40" fillId="26" borderId="29" xfId="0" applyNumberFormat="1" applyFont="1" applyFill="1" applyBorder="1" applyAlignment="1">
      <x:alignment vertical="center"/>
    </x:xf>
    <x:xf numFmtId="0" fontId="40" fillId="26" borderId="30" xfId="0" applyNumberFormat="1" applyFont="1" applyFill="1" applyBorder="1" applyAlignment="1">
      <x:alignment vertical="center"/>
    </x:xf>
    <x:xf numFmtId="0" fontId="40" fillId="26" borderId="31" xfId="0" applyNumberFormat="1" applyFont="1" applyFill="1" applyBorder="1" applyAlignment="1">
      <x:alignment vertical="center"/>
    </x:xf>
    <x:xf numFmtId="0" fontId="40" fillId="26" xfId="0" applyNumberFormat="1" applyFont="1" applyFill="1" applyBorder="0" applyAlignment="1">
      <x:alignment vertical="center"/>
    </x:xf>
    <x:xf numFmtId="0" fontId="40" fillId="26" borderId="32" xfId="0" applyNumberFormat="1" applyFont="1" applyFill="1" applyBorder="1" applyAlignment="1">
      <x:alignment vertical="center"/>
    </x:xf>
    <x:xf numFmtId="0" fontId="40" fillId="26" borderId="33" xfId="0" applyNumberFormat="1" applyFont="1" applyFill="1" applyBorder="1" applyAlignment="1">
      <x:alignment vertical="center"/>
    </x:xf>
    <x:xf numFmtId="0" fontId="40" fillId="26" borderId="34" xfId="0" applyNumberFormat="1" applyFont="1" applyFill="1" applyBorder="1" applyAlignment="1">
      <x:alignment vertical="center"/>
    </x:xf>
    <x:xf numFmtId="0" fontId="40" fillId="26" borderId="35" xfId="0" applyNumberFormat="1" applyFont="1" applyFill="1" applyBorder="1" applyAlignment="1">
      <x:alignment vertical="center"/>
    </x:xf>
    <x:xf numFmtId="202" fontId="40" fillId="26" borderId="28" xfId="0" applyNumberFormat="1" applyFont="1" applyFill="1" applyBorder="1" applyAlignment="1">
      <x:alignment vertical="center"/>
    </x:xf>
    <x:xf numFmtId="202" fontId="40" fillId="26" borderId="29" xfId="0" applyNumberFormat="1" applyFont="1" applyFill="1" applyBorder="1" applyAlignment="1">
      <x:alignment vertical="center"/>
    </x:xf>
    <x:xf numFmtId="202" fontId="40" fillId="26" borderId="30" xfId="0" applyNumberFormat="1" applyFont="1" applyFill="1" applyBorder="1" applyAlignment="1">
      <x:alignment vertical="center"/>
    </x:xf>
    <x:xf numFmtId="202" fontId="40" fillId="26" borderId="31" xfId="0" applyNumberFormat="1" applyFont="1" applyFill="1" applyBorder="1" applyAlignment="1">
      <x:alignment vertical="center"/>
    </x:xf>
    <x:xf numFmtId="202" fontId="40" fillId="26" xfId="0" applyNumberFormat="1" applyFont="1" applyFill="1" applyBorder="0" applyAlignment="1">
      <x:alignment vertical="center"/>
    </x:xf>
    <x:xf numFmtId="202" fontId="40" fillId="26" borderId="32" xfId="0" applyNumberFormat="1" applyFont="1" applyFill="1" applyBorder="1" applyAlignment="1">
      <x:alignment vertical="center"/>
    </x:xf>
    <x:xf numFmtId="202" fontId="40" fillId="26" borderId="33" xfId="0" applyNumberFormat="1" applyFont="1" applyFill="1" applyBorder="1" applyAlignment="1">
      <x:alignment vertical="center"/>
    </x:xf>
    <x:xf numFmtId="202" fontId="40" fillId="26" borderId="34" xfId="0" applyNumberFormat="1" applyFont="1" applyFill="1" applyBorder="1" applyAlignment="1">
      <x:alignment vertical="center"/>
    </x:xf>
    <x:xf numFmtId="202" fontId="40" fillId="26" borderId="35" xfId="0" applyNumberFormat="1" applyFont="1" applyFill="1" applyBorder="1" applyAlignment="1">
      <x:alignment vertical="center"/>
    </x:xf>
    <x:xf numFmtId="202" fontId="40" fillId="26" borderId="28" xfId="0" applyNumberFormat="1" applyFont="1" applyFill="1" applyBorder="1" applyAlignment="1">
      <x:alignment horizontal="center" vertical="center"/>
    </x:xf>
    <x:xf numFmtId="202" fontId="40" fillId="26" borderId="29" xfId="0" applyNumberFormat="1" applyFont="1" applyFill="1" applyBorder="1" applyAlignment="1">
      <x:alignment horizontal="center" vertical="center"/>
    </x:xf>
    <x:xf numFmtId="202" fontId="40" fillId="26" borderId="30" xfId="0" applyNumberFormat="1" applyFont="1" applyFill="1" applyBorder="1" applyAlignment="1">
      <x:alignment horizontal="center" vertical="center"/>
    </x:xf>
    <x:xf numFmtId="202" fontId="40" fillId="26" borderId="31" xfId="0" applyNumberFormat="1" applyFont="1" applyFill="1" applyBorder="1" applyAlignment="1">
      <x:alignment horizontal="center" vertical="center"/>
    </x:xf>
    <x:xf numFmtId="202" fontId="40" fillId="26" xfId="0" applyNumberFormat="1" applyFont="1" applyFill="1" applyBorder="0" applyAlignment="1">
      <x:alignment horizontal="center" vertical="center"/>
    </x:xf>
    <x:xf numFmtId="202" fontId="40" fillId="26" borderId="32" xfId="0" applyNumberFormat="1" applyFont="1" applyFill="1" applyBorder="1" applyAlignment="1">
      <x:alignment horizontal="center" vertical="center"/>
    </x:xf>
    <x:xf numFmtId="202" fontId="40" fillId="26" borderId="33" xfId="0" applyNumberFormat="1" applyFont="1" applyFill="1" applyBorder="1" applyAlignment="1">
      <x:alignment horizontal="center" vertical="center"/>
    </x:xf>
    <x:xf numFmtId="202" fontId="40" fillId="26" borderId="34" xfId="0" applyNumberFormat="1" applyFont="1" applyFill="1" applyBorder="1" applyAlignment="1">
      <x:alignment horizontal="center" vertical="center"/>
    </x:xf>
    <x:xf numFmtId="202" fontId="40" fillId="26" borderId="35" xfId="0" applyNumberFormat="1" applyFont="1" applyFill="1" applyBorder="1" applyAlignment="1">
      <x:alignment horizontal="center" vertical="center"/>
    </x:xf>
    <x:xf numFmtId="0" fontId="33" fillId="30" borderId="0" xfId="0" applyNumberFormat="1" applyFont="1" applyFill="1" applyBorder="1" applyAlignment="1">
      <x:alignment vertical="center"/>
    </x:xf>
    <x:xf numFmtId="0" fontId="17" fillId="30" borderId="0" xfId="0" applyNumberFormat="1" applyFont="1" applyFill="1" applyBorder="1" applyAlignment="1">
      <x:alignment vertical="center"/>
    </x:xf>
    <x:xf numFmtId="0" fontId="17" fillId="30" borderId="36" xfId="0" applyNumberFormat="1" applyFont="1" applyFill="1" applyBorder="1" applyAlignment="1">
      <x:alignment vertical="center"/>
    </x:xf>
    <x:xf numFmtId="0" fontId="17" fillId="30" borderId="37" xfId="0" applyNumberFormat="1" applyFont="1" applyFill="1" applyBorder="1" applyAlignment="1">
      <x:alignment vertical="center"/>
    </x:xf>
    <x:xf numFmtId="0" fontId="17" fillId="30" borderId="38" xfId="0" applyNumberFormat="1" applyFont="1" applyFill="1" applyBorder="1" applyAlignment="1">
      <x:alignment vertical="center"/>
    </x:xf>
    <x:xf numFmtId="0" fontId="17" fillId="30" borderId="36" xfId="0" applyNumberFormat="1" applyFont="1" applyFill="1" applyBorder="1" applyAlignment="1">
      <x:alignment horizontal="center" vertical="center"/>
    </x:xf>
    <x:xf numFmtId="0" fontId="17" fillId="30" borderId="37" xfId="0" applyNumberFormat="1" applyFont="1" applyFill="1" applyBorder="1" applyAlignment="1">
      <x:alignment horizontal="center" vertical="center"/>
    </x:xf>
    <x:xf numFmtId="0" fontId="17" fillId="30" borderId="38" xfId="0" applyNumberFormat="1" applyFont="1" applyFill="1" applyBorder="1" applyAlignment="1">
      <x:alignment horizontal="center" vertical="center"/>
    </x:xf>
    <x:xf numFmtId="0" fontId="41" fillId="26" borderId="0" xfId="0" applyNumberFormat="1" applyFont="1" applyFill="1" applyBorder="1" applyAlignment="1">
      <x:alignment vertical="center"/>
    </x:xf>
    <x:xf numFmtId="0" fontId="41" fillId="26" borderId="39" xfId="0" applyNumberFormat="1" applyFont="1" applyFill="1" applyBorder="1" applyAlignment="1">
      <x:alignment vertical="center"/>
    </x:xf>
    <x:xf numFmtId="0" fontId="41" fillId="26" borderId="40" xfId="0" applyNumberFormat="1" applyFont="1" applyFill="1" applyBorder="1" applyAlignment="1">
      <x:alignment vertical="center"/>
    </x:xf>
    <x:xf numFmtId="0" fontId="41" fillId="26" borderId="41" xfId="0" applyNumberFormat="1" applyFont="1" applyFill="1" applyBorder="1" applyAlignment="1">
      <x:alignment vertical="center"/>
    </x:xf>
    <x:xf numFmtId="0" fontId="41" fillId="26" borderId="42" xfId="0" applyNumberFormat="1" applyFont="1" applyFill="1" applyBorder="1" applyAlignment="1">
      <x:alignment vertical="center"/>
    </x:xf>
    <x:xf numFmtId="0" fontId="41" fillId="26" xfId="0" applyNumberFormat="1" applyFont="1" applyFill="1" applyBorder="0" applyAlignment="1">
      <x:alignment vertical="center"/>
    </x:xf>
    <x:xf numFmtId="0" fontId="41" fillId="26" borderId="43" xfId="0" applyNumberFormat="1" applyFont="1" applyFill="1" applyBorder="1" applyAlignment="1">
      <x:alignment vertical="center"/>
    </x:xf>
    <x:xf numFmtId="0" fontId="41" fillId="26" borderId="44" xfId="0" applyNumberFormat="1" applyFont="1" applyFill="1" applyBorder="1" applyAlignment="1">
      <x:alignment vertical="center"/>
    </x:xf>
    <x:xf numFmtId="0" fontId="41" fillId="26" borderId="45" xfId="0" applyNumberFormat="1" applyFont="1" applyFill="1" applyBorder="1" applyAlignment="1">
      <x:alignment vertical="center"/>
    </x:xf>
    <x:xf numFmtId="0" fontId="41" fillId="26" borderId="46" xfId="0" applyNumberFormat="1" applyFont="1" applyFill="1" applyBorder="1" applyAlignment="1">
      <x:alignment vertical="center"/>
    </x:xf>
    <x:xf numFmtId="201" fontId="41" fillId="26" borderId="39" xfId="0" applyNumberFormat="1" applyFont="1" applyFill="1" applyBorder="1" applyAlignment="1">
      <x:alignment vertical="center"/>
    </x:xf>
    <x:xf numFmtId="201" fontId="41" fillId="26" borderId="40" xfId="0" applyNumberFormat="1" applyFont="1" applyFill="1" applyBorder="1" applyAlignment="1">
      <x:alignment vertical="center"/>
    </x:xf>
    <x:xf numFmtId="201" fontId="41" fillId="26" borderId="41" xfId="0" applyNumberFormat="1" applyFont="1" applyFill="1" applyBorder="1" applyAlignment="1">
      <x:alignment vertical="center"/>
    </x:xf>
    <x:xf numFmtId="201" fontId="41" fillId="26" borderId="42" xfId="0" applyNumberFormat="1" applyFont="1" applyFill="1" applyBorder="1" applyAlignment="1">
      <x:alignment vertical="center"/>
    </x:xf>
    <x:xf numFmtId="201" fontId="41" fillId="26" xfId="0" applyNumberFormat="1" applyFont="1" applyFill="1" applyBorder="0" applyAlignment="1">
      <x:alignment vertical="center"/>
    </x:xf>
    <x:xf numFmtId="201" fontId="41" fillId="26" borderId="43" xfId="0" applyNumberFormat="1" applyFont="1" applyFill="1" applyBorder="1" applyAlignment="1">
      <x:alignment vertical="center"/>
    </x:xf>
    <x:xf numFmtId="201" fontId="41" fillId="26" borderId="44" xfId="0" applyNumberFormat="1" applyFont="1" applyFill="1" applyBorder="1" applyAlignment="1">
      <x:alignment vertical="center"/>
    </x:xf>
    <x:xf numFmtId="201" fontId="41" fillId="26" borderId="45" xfId="0" applyNumberFormat="1" applyFont="1" applyFill="1" applyBorder="1" applyAlignment="1">
      <x:alignment vertical="center"/>
    </x:xf>
    <x:xf numFmtId="201" fontId="41" fillId="26" borderId="46" xfId="0" applyNumberFormat="1" applyFont="1" applyFill="1" applyBorder="1" applyAlignment="1">
      <x:alignment vertical="center"/>
    </x:xf>
    <x:xf numFmtId="201" fontId="41" fillId="26" borderId="39" xfId="0" applyNumberFormat="1" applyFont="1" applyFill="1" applyBorder="1" applyAlignment="1">
      <x:alignment horizontal="center" vertical="center"/>
    </x:xf>
    <x:xf numFmtId="201" fontId="41" fillId="26" borderId="40" xfId="0" applyNumberFormat="1" applyFont="1" applyFill="1" applyBorder="1" applyAlignment="1">
      <x:alignment horizontal="center" vertical="center"/>
    </x:xf>
    <x:xf numFmtId="201" fontId="41" fillId="26" borderId="41" xfId="0" applyNumberFormat="1" applyFont="1" applyFill="1" applyBorder="1" applyAlignment="1">
      <x:alignment horizontal="center" vertical="center"/>
    </x:xf>
    <x:xf numFmtId="201" fontId="41" fillId="26" borderId="42" xfId="0" applyNumberFormat="1" applyFont="1" applyFill="1" applyBorder="1" applyAlignment="1">
      <x:alignment horizontal="center" vertical="center"/>
    </x:xf>
    <x:xf numFmtId="201" fontId="41" fillId="26" xfId="0" applyNumberFormat="1" applyFont="1" applyFill="1" applyBorder="0" applyAlignment="1">
      <x:alignment horizontal="center" vertical="center"/>
    </x:xf>
    <x:xf numFmtId="201" fontId="41" fillId="26" borderId="43" xfId="0" applyNumberFormat="1" applyFont="1" applyFill="1" applyBorder="1" applyAlignment="1">
      <x:alignment horizontal="center" vertical="center"/>
    </x:xf>
    <x:xf numFmtId="201" fontId="41" fillId="26" borderId="44" xfId="0" applyNumberFormat="1" applyFont="1" applyFill="1" applyBorder="1" applyAlignment="1">
      <x:alignment horizontal="center" vertical="center"/>
    </x:xf>
    <x:xf numFmtId="201" fontId="41" fillId="26" borderId="45" xfId="0" applyNumberFormat="1" applyFont="1" applyFill="1" applyBorder="1" applyAlignment="1">
      <x:alignment horizontal="center" vertical="center"/>
    </x:xf>
    <x:xf numFmtId="201" fontId="41" fillId="26" borderId="46" xfId="0" applyNumberFormat="1" applyFont="1" applyFill="1" applyBorder="1" applyAlignment="1">
      <x:alignment horizontal="center" vertical="center"/>
    </x:xf>
    <x:xf numFmtId="0" fontId="42" fillId="25" borderId="0" xfId="0" applyNumberFormat="1" applyFont="1" applyFill="1" applyBorder="1" applyAlignment="1">
      <x:alignment vertical="center"/>
    </x:xf>
    <x:xf numFmtId="0" fontId="42" fillId="25" borderId="47" xfId="0" applyNumberFormat="1" applyFont="1" applyFill="1" applyBorder="1" applyAlignment="1">
      <x:alignment vertical="center"/>
    </x:xf>
    <x:xf numFmtId="0" fontId="42" fillId="25" borderId="47" xfId="0" applyNumberFormat="1" applyFont="1" applyFill="1" applyBorder="1" applyAlignment="1">
      <x:alignment horizontal="left" vertical="center"/>
    </x:xf>
    <x:xf numFmtId="0" fontId="17" fillId="24" borderId="0" xfId="0" applyNumberFormat="1" applyFont="1" applyFill="1" applyBorder="1" applyAlignment="1">
      <x:alignment vertical="center"/>
    </x:xf>
    <x:xf numFmtId="0" fontId="17" fillId="24" borderId="48" xfId="0" applyNumberFormat="1" applyFont="1" applyFill="1" applyBorder="1" applyAlignment="1">
      <x:alignment vertical="center"/>
    </x:xf>
    <x:xf numFmtId="0" fontId="17" fillId="24" borderId="48" xfId="0" applyNumberFormat="1" applyFont="1" applyFill="1" applyBorder="1" applyAlignment="1">
      <x:alignment vertical="center" wrapText="1"/>
    </x:xf>
    <x:xf numFmtId="0" fontId="17" fillId="24" borderId="48" xfId="0" applyNumberFormat="1" applyFont="1" applyFill="1" applyBorder="1" applyAlignment="1">
      <x:alignment horizontal="center" vertical="center" wrapText="1"/>
    </x:xf>
    <x:xf numFmtId="0" fontId="43" fillId="26" borderId="0" xfId="0" applyNumberFormat="1" applyFont="1" applyFill="1" applyBorder="1" applyAlignment="1">
      <x:alignment vertical="center"/>
    </x:xf>
    <x:xf numFmtId="0" fontId="43" fillId="26" borderId="49" xfId="0" applyNumberFormat="1" applyFont="1" applyFill="1" applyBorder="1" applyAlignment="1">
      <x:alignment vertical="center"/>
    </x:xf>
    <x:xf numFmtId="0" fontId="43" fillId="26" borderId="50" xfId="0" applyNumberFormat="1" applyFont="1" applyFill="1" applyBorder="1" applyAlignment="1">
      <x:alignment vertical="center"/>
    </x:xf>
    <x:xf numFmtId="0" fontId="43" fillId="26" borderId="51" xfId="0" applyNumberFormat="1" applyFont="1" applyFill="1" applyBorder="1" applyAlignment="1">
      <x:alignment vertical="center"/>
    </x:xf>
    <x:xf numFmtId="0" fontId="43" fillId="26" borderId="52" xfId="0" applyNumberFormat="1" applyFont="1" applyFill="1" applyBorder="1" applyAlignment="1">
      <x:alignment vertical="center"/>
    </x:xf>
    <x:xf numFmtId="0" fontId="43" fillId="26" borderId="53" xfId="0" applyNumberFormat="1" applyFont="1" applyFill="1" applyBorder="1" applyAlignment="1">
      <x:alignment vertical="center"/>
    </x:xf>
    <x:xf numFmtId="0" fontId="43" fillId="26" borderId="54" xfId="0" applyNumberFormat="1" applyFont="1" applyFill="1" applyBorder="1" applyAlignment="1">
      <x:alignment vertical="center"/>
    </x:xf>
    <x:xf numFmtId="0" fontId="43" fillId="26" borderId="49" xfId="0" applyNumberFormat="1" applyFont="1" applyFill="1" applyBorder="1" applyAlignment="1">
      <x:alignment horizontal="center" vertical="center"/>
    </x:xf>
    <x:xf numFmtId="0" fontId="43" fillId="26" borderId="52" xfId="0" applyNumberFormat="1" applyFont="1" applyFill="1" applyBorder="1" applyAlignment="1">
      <x:alignment horizontal="center" vertical="center"/>
    </x:xf>
    <x:xf numFmtId="201" fontId="43" fillId="26" borderId="50" xfId="0" applyNumberFormat="1" applyFont="1" applyFill="1" applyBorder="1" applyAlignment="1">
      <x:alignment vertical="center"/>
    </x:xf>
    <x:xf numFmtId="201" fontId="43" fillId="26" borderId="53" xfId="0" applyNumberFormat="1" applyFont="1" applyFill="1" applyBorder="1" applyAlignment="1">
      <x:alignment vertical="center"/>
    </x:xf>
    <x:xf numFmtId="208" fontId="43" fillId="26" borderId="50" xfId="0" applyNumberFormat="1" applyFont="1" applyFill="1" applyBorder="1" applyAlignment="1">
      <x:alignment vertical="center"/>
    </x:xf>
    <x:xf numFmtId="208" fontId="43" fillId="26" borderId="53" xfId="0" applyNumberFormat="1" applyFont="1" applyFill="1" applyBorder="1" applyAlignment="1">
      <x:alignment vertical="center"/>
    </x:xf>
    <x:xf numFmtId="202" fontId="43" fillId="26" borderId="51" xfId="0" applyNumberFormat="1" applyFont="1" applyFill="1" applyBorder="1" applyAlignment="1">
      <x:alignment vertical="center"/>
    </x:xf>
    <x:xf numFmtId="202" fontId="43" fillId="26" borderId="54" xfId="0" applyNumberFormat="1" applyFont="1" applyFill="1" applyBorder="1" applyAlignment="1">
      <x:alignment vertical="center"/>
    </x:xf>
    <x:xf numFmtId="202" fontId="43" fillId="26" borderId="50" xfId="0" applyNumberFormat="1" applyFont="1" applyFill="1" applyBorder="1" applyAlignment="1">
      <x:alignment vertical="center"/>
    </x:xf>
    <x:xf numFmtId="202" fontId="43" fillId="26" borderId="53" xfId="0" applyNumberFormat="1" applyFont="1" applyFill="1" applyBorder="1" applyAlignment="1">
      <x:alignment vertical="center"/>
    </x:xf>
    <x:xf numFmtId="0" fontId="34" fillId="24" borderId="0" xfId="0" applyNumberFormat="1" applyFont="1" applyFill="1" applyBorder="1" applyAlignment="1">
      <x:alignment horizontal="left" vertical="center" wrapText="0"/>
    </x:xf>
    <x:xf numFmtId="0" fontId="35" fillId="25" borderId="0" xfId="0" applyNumberFormat="1" applyFont="1" applyFill="1" applyBorder="1" applyAlignment="1">
      <x:alignment horizontal="left" vertical="center" wrapText="0"/>
    </x:xf>
    <x:xf numFmtId="0" fontId="36" fillId="26" borderId="2" xfId="0" applyNumberFormat="1" applyFont="1" applyFill="1" applyBorder="1" applyAlignment="1">
      <x:alignment horizontal="center" vertical="center" wrapText="0"/>
    </x:xf>
    <x:xf numFmtId="0" fontId="33" fillId="23" borderId="0" xfId="0" applyNumberFormat="1" applyFont="1" applyFill="1" applyBorder="1" applyAlignment="1">
      <x:alignment vertical="center" wrapText="0"/>
    </x:xf>
    <x:xf numFmtId="0" fontId="37" fillId="25" borderId="0" xfId="0" applyNumberFormat="1" applyFont="1" applyFill="1" applyBorder="1" applyAlignment="1">
      <x:alignment horizontal="left" vertical="center" wrapText="0"/>
    </x:xf>
    <x:xf numFmtId="0" fontId="17" fillId="27" borderId="3" xfId="0" applyNumberFormat="1" applyFont="1" applyFill="1" applyBorder="1" applyAlignment="1">
      <x:alignment horizontal="center" vertical="center" wrapText="0"/>
    </x:xf>
    <x:xf numFmtId="0" fontId="17" fillId="27" borderId="4" xfId="0" applyNumberFormat="1" applyFont="1" applyFill="1" applyBorder="1" applyAlignment="1">
      <x:alignment horizontal="center" vertical="center" wrapText="0"/>
    </x:xf>
    <x:xf numFmtId="0" fontId="17" fillId="27" borderId="5" xfId="0" applyNumberFormat="1" applyFont="1" applyFill="1" applyBorder="1" applyAlignment="1">
      <x:alignment horizontal="center" vertical="center" wrapText="0"/>
    </x:xf>
    <x:xf numFmtId="0" fontId="17" fillId="28" borderId="14" xfId="0" applyNumberFormat="1" applyFont="1" applyFill="1" applyBorder="1" applyAlignment="1">
      <x:alignment horizontal="center" vertical="center" wrapText="0"/>
    </x:xf>
    <x:xf numFmtId="0" fontId="17" fillId="28" borderId="15" xfId="0" applyNumberFormat="1" applyFont="1" applyFill="1" applyBorder="1" applyAlignment="1">
      <x:alignment horizontal="center" vertical="center" wrapText="0"/>
    </x:xf>
    <x:xf numFmtId="0" fontId="17" fillId="28" borderId="16" xfId="0" applyNumberFormat="1" applyFont="1" applyFill="1" applyBorder="1" applyAlignment="1">
      <x:alignment horizontal="center" vertical="center" wrapText="0"/>
    </x:xf>
    <x:xf numFmtId="0" fontId="17" fillId="29" borderId="25" xfId="0" applyNumberFormat="1" applyFont="1" applyFill="1" applyBorder="1" applyAlignment="1">
      <x:alignment horizontal="center" vertical="center" wrapText="0"/>
    </x:xf>
    <x:xf numFmtId="0" fontId="17" fillId="29" borderId="26" xfId="0" applyNumberFormat="1" applyFont="1" applyFill="1" applyBorder="1" applyAlignment="1">
      <x:alignment horizontal="center" vertical="center" wrapText="0"/>
    </x:xf>
    <x:xf numFmtId="0" fontId="17" fillId="29" borderId="27" xfId="0" applyNumberFormat="1" applyFont="1" applyFill="1" applyBorder="1" applyAlignment="1">
      <x:alignment horizontal="center" vertical="center" wrapText="0"/>
    </x:xf>
    <x:xf numFmtId="0" fontId="17" fillId="30" borderId="36" xfId="0" applyNumberFormat="1" applyFont="1" applyFill="1" applyBorder="1" applyAlignment="1">
      <x:alignment horizontal="center" vertical="center" wrapText="0"/>
    </x:xf>
    <x:xf numFmtId="0" fontId="17" fillId="30" borderId="37" xfId="0" applyNumberFormat="1" applyFont="1" applyFill="1" applyBorder="1" applyAlignment="1">
      <x:alignment horizontal="center" vertical="center" wrapText="0"/>
    </x:xf>
    <x:xf numFmtId="0" fontId="17" fillId="30" borderId="38" xfId="0" applyNumberFormat="1" applyFont="1" applyFill="1" applyBorder="1" applyAlignment="1">
      <x:alignment horizontal="center" vertical="center" wrapText="0"/>
    </x:xf>
    <x:xf numFmtId="208" fontId="38" fillId="26" borderId="6" xfId="0" applyNumberFormat="1" applyFont="1" applyFill="1" applyBorder="1" applyAlignment="1">
      <x:alignment horizontal="center" vertical="center" wrapText="0"/>
    </x:xf>
    <x:xf numFmtId="208" fontId="38" fillId="26" borderId="7" xfId="0" applyNumberFormat="1" applyFont="1" applyFill="1" applyBorder="1" applyAlignment="1">
      <x:alignment horizontal="center" vertical="center" wrapText="0"/>
    </x:xf>
    <x:xf numFmtId="208" fontId="38" fillId="26" borderId="8" xfId="0" applyNumberFormat="1" applyFont="1" applyFill="1" applyBorder="1" applyAlignment="1">
      <x:alignment horizontal="center" vertical="center" wrapText="0"/>
    </x:xf>
    <x:xf numFmtId="208" fontId="39" fillId="26" borderId="17" xfId="0" applyNumberFormat="1" applyFont="1" applyFill="1" applyBorder="1" applyAlignment="1">
      <x:alignment horizontal="center" vertical="center" wrapText="0"/>
    </x:xf>
    <x:xf numFmtId="208" fontId="39" fillId="26" borderId="18" xfId="0" applyNumberFormat="1" applyFont="1" applyFill="1" applyBorder="1" applyAlignment="1">
      <x:alignment horizontal="center" vertical="center" wrapText="0"/>
    </x:xf>
    <x:xf numFmtId="208" fontId="39" fillId="26" borderId="19" xfId="0" applyNumberFormat="1" applyFont="1" applyFill="1" applyBorder="1" applyAlignment="1">
      <x:alignment horizontal="center" vertical="center" wrapText="0"/>
    </x:xf>
    <x:xf numFmtId="202" fontId="40" fillId="26" borderId="28" xfId="0" applyNumberFormat="1" applyFont="1" applyFill="1" applyBorder="1" applyAlignment="1">
      <x:alignment horizontal="center" vertical="center" wrapText="0"/>
    </x:xf>
    <x:xf numFmtId="202" fontId="40" fillId="26" borderId="29" xfId="0" applyNumberFormat="1" applyFont="1" applyFill="1" applyBorder="1" applyAlignment="1">
      <x:alignment horizontal="center" vertical="center" wrapText="0"/>
    </x:xf>
    <x:xf numFmtId="202" fontId="40" fillId="26" borderId="30" xfId="0" applyNumberFormat="1" applyFont="1" applyFill="1" applyBorder="1" applyAlignment="1">
      <x:alignment horizontal="center" vertical="center" wrapText="0"/>
    </x:xf>
    <x:xf numFmtId="201" fontId="41" fillId="26" borderId="39" xfId="0" applyNumberFormat="1" applyFont="1" applyFill="1" applyBorder="1" applyAlignment="1">
      <x:alignment horizontal="center" vertical="center" wrapText="0"/>
    </x:xf>
    <x:xf numFmtId="201" fontId="41" fillId="26" borderId="40" xfId="0" applyNumberFormat="1" applyFont="1" applyFill="1" applyBorder="1" applyAlignment="1">
      <x:alignment horizontal="center" vertical="center" wrapText="0"/>
    </x:xf>
    <x:xf numFmtId="201" fontId="41" fillId="26" borderId="41" xfId="0" applyNumberFormat="1" applyFont="1" applyFill="1" applyBorder="1" applyAlignment="1">
      <x:alignment horizontal="center" vertical="center" wrapText="0"/>
    </x:xf>
    <x:xf numFmtId="208" fontId="38" fillId="26" borderId="9" xfId="0" applyNumberFormat="1" applyFont="1" applyFill="1" applyBorder="1" applyAlignment="1">
      <x:alignment horizontal="center" vertical="center" wrapText="0"/>
    </x:xf>
    <x:xf numFmtId="208" fontId="38" fillId="26" xfId="0" applyNumberFormat="1" applyFont="1" applyFill="1" applyBorder="0" applyAlignment="1">
      <x:alignment horizontal="center" vertical="center" wrapText="0"/>
    </x:xf>
    <x:xf numFmtId="208" fontId="38" fillId="26" borderId="10" xfId="0" applyNumberFormat="1" applyFont="1" applyFill="1" applyBorder="1" applyAlignment="1">
      <x:alignment horizontal="center" vertical="center" wrapText="0"/>
    </x:xf>
    <x:xf numFmtId="208" fontId="39" fillId="26" borderId="20" xfId="0" applyNumberFormat="1" applyFont="1" applyFill="1" applyBorder="1" applyAlignment="1">
      <x:alignment horizontal="center" vertical="center" wrapText="0"/>
    </x:xf>
    <x:xf numFmtId="208" fontId="39" fillId="26" xfId="0" applyNumberFormat="1" applyFont="1" applyFill="1" applyBorder="0" applyAlignment="1">
      <x:alignment horizontal="center" vertical="center" wrapText="0"/>
    </x:xf>
    <x:xf numFmtId="208" fontId="39" fillId="26" borderId="21" xfId="0" applyNumberFormat="1" applyFont="1" applyFill="1" applyBorder="1" applyAlignment="1">
      <x:alignment horizontal="center" vertical="center" wrapText="0"/>
    </x:xf>
    <x:xf numFmtId="202" fontId="40" fillId="26" borderId="31" xfId="0" applyNumberFormat="1" applyFont="1" applyFill="1" applyBorder="1" applyAlignment="1">
      <x:alignment horizontal="center" vertical="center" wrapText="0"/>
    </x:xf>
    <x:xf numFmtId="202" fontId="40" fillId="26" xfId="0" applyNumberFormat="1" applyFont="1" applyFill="1" applyBorder="0" applyAlignment="1">
      <x:alignment horizontal="center" vertical="center" wrapText="0"/>
    </x:xf>
    <x:xf numFmtId="202" fontId="40" fillId="26" borderId="32" xfId="0" applyNumberFormat="1" applyFont="1" applyFill="1" applyBorder="1" applyAlignment="1">
      <x:alignment horizontal="center" vertical="center" wrapText="0"/>
    </x:xf>
    <x:xf numFmtId="201" fontId="41" fillId="26" borderId="42" xfId="0" applyNumberFormat="1" applyFont="1" applyFill="1" applyBorder="1" applyAlignment="1">
      <x:alignment horizontal="center" vertical="center" wrapText="0"/>
    </x:xf>
    <x:xf numFmtId="201" fontId="41" fillId="26" xfId="0" applyNumberFormat="1" applyFont="1" applyFill="1" applyBorder="0" applyAlignment="1">
      <x:alignment horizontal="center" vertical="center" wrapText="0"/>
    </x:xf>
    <x:xf numFmtId="201" fontId="41" fillId="26" borderId="43" xfId="0" applyNumberFormat="1" applyFont="1" applyFill="1" applyBorder="1" applyAlignment="1">
      <x:alignment horizontal="center" vertical="center" wrapText="0"/>
    </x:xf>
    <x:xf numFmtId="208" fontId="38" fillId="26" borderId="11" xfId="0" applyNumberFormat="1" applyFont="1" applyFill="1" applyBorder="1" applyAlignment="1">
      <x:alignment horizontal="center" vertical="center" wrapText="0"/>
    </x:xf>
    <x:xf numFmtId="208" fontId="38" fillId="26" borderId="12" xfId="0" applyNumberFormat="1" applyFont="1" applyFill="1" applyBorder="1" applyAlignment="1">
      <x:alignment horizontal="center" vertical="center" wrapText="0"/>
    </x:xf>
    <x:xf numFmtId="208" fontId="38" fillId="26" borderId="13" xfId="0" applyNumberFormat="1" applyFont="1" applyFill="1" applyBorder="1" applyAlignment="1">
      <x:alignment horizontal="center" vertical="center" wrapText="0"/>
    </x:xf>
    <x:xf numFmtId="208" fontId="39" fillId="26" borderId="22" xfId="0" applyNumberFormat="1" applyFont="1" applyFill="1" applyBorder="1" applyAlignment="1">
      <x:alignment horizontal="center" vertical="center" wrapText="0"/>
    </x:xf>
    <x:xf numFmtId="208" fontId="39" fillId="26" borderId="23" xfId="0" applyNumberFormat="1" applyFont="1" applyFill="1" applyBorder="1" applyAlignment="1">
      <x:alignment horizontal="center" vertical="center" wrapText="0"/>
    </x:xf>
    <x:xf numFmtId="208" fontId="39" fillId="26" borderId="24" xfId="0" applyNumberFormat="1" applyFont="1" applyFill="1" applyBorder="1" applyAlignment="1">
      <x:alignment horizontal="center" vertical="center" wrapText="0"/>
    </x:xf>
    <x:xf numFmtId="202" fontId="40" fillId="26" borderId="33" xfId="0" applyNumberFormat="1" applyFont="1" applyFill="1" applyBorder="1" applyAlignment="1">
      <x:alignment horizontal="center" vertical="center" wrapText="0"/>
    </x:xf>
    <x:xf numFmtId="202" fontId="40" fillId="26" borderId="34" xfId="0" applyNumberFormat="1" applyFont="1" applyFill="1" applyBorder="1" applyAlignment="1">
      <x:alignment horizontal="center" vertical="center" wrapText="0"/>
    </x:xf>
    <x:xf numFmtId="202" fontId="40" fillId="26" borderId="35" xfId="0" applyNumberFormat="1" applyFont="1" applyFill="1" applyBorder="1" applyAlignment="1">
      <x:alignment horizontal="center" vertical="center" wrapText="0"/>
    </x:xf>
    <x:xf numFmtId="201" fontId="41" fillId="26" borderId="44" xfId="0" applyNumberFormat="1" applyFont="1" applyFill="1" applyBorder="1" applyAlignment="1">
      <x:alignment horizontal="center" vertical="center" wrapText="0"/>
    </x:xf>
    <x:xf numFmtId="201" fontId="41" fillId="26" borderId="45" xfId="0" applyNumberFormat="1" applyFont="1" applyFill="1" applyBorder="1" applyAlignment="1">
      <x:alignment horizontal="center" vertical="center" wrapText="0"/>
    </x:xf>
    <x:xf numFmtId="201" fontId="41" fillId="26" borderId="46" xfId="0" applyNumberFormat="1" applyFont="1" applyFill="1" applyBorder="1" applyAlignment="1">
      <x:alignment horizontal="center" vertical="center" wrapText="0"/>
    </x:xf>
    <x:xf numFmtId="0" fontId="42" fillId="25" borderId="47" xfId="0" applyNumberFormat="1" applyFont="1" applyFill="1" applyBorder="1" applyAlignment="1">
      <x:alignment horizontal="left" vertical="center" wrapText="0"/>
    </x:xf>
    <x:xf numFmtId="0" fontId="17" fillId="24" borderId="48" xfId="0" applyNumberFormat="1" applyFont="1" applyFill="1" applyBorder="1" applyAlignment="1">
      <x:alignment horizontal="center" vertical="center" wrapText="0"/>
    </x:xf>
    <x:xf numFmtId="0" fontId="43" fillId="26" borderId="49" xfId="0" applyNumberFormat="1" applyFont="1" applyFill="1" applyBorder="1" applyAlignment="1">
      <x:alignment horizontal="center" vertical="center" wrapText="0"/>
    </x:xf>
    <x:xf numFmtId="0" fontId="43" fillId="26" borderId="50" xfId="0" applyNumberFormat="1" applyFont="1" applyFill="1" applyBorder="1" applyAlignment="1">
      <x:alignment vertical="center" wrapText="0"/>
    </x:xf>
    <x:xf numFmtId="201" fontId="43" fillId="26" borderId="50" xfId="0" applyNumberFormat="1" applyFont="1" applyFill="1" applyBorder="1" applyAlignment="1">
      <x:alignment vertical="center" wrapText="0"/>
    </x:xf>
    <x:xf numFmtId="208" fontId="43" fillId="26" borderId="50" xfId="0" applyNumberFormat="1" applyFont="1" applyFill="1" applyBorder="1" applyAlignment="1">
      <x:alignment vertical="center" wrapText="0"/>
    </x:xf>
    <x:xf numFmtId="202" fontId="43" fillId="26" borderId="51" xfId="0" applyNumberFormat="1" applyFont="1" applyFill="1" applyBorder="1" applyAlignment="1">
      <x:alignment vertical="center" wrapText="0"/>
    </x:xf>
    <x:xf numFmtId="202" fontId="43" fillId="26" borderId="50" xfId="0" applyNumberFormat="1" applyFont="1" applyFill="1" applyBorder="1" applyAlignment="1">
      <x:alignment vertical="center" wrapText="0"/>
    </x:xf>
    <x:xf numFmtId="0" fontId="43" fillId="26" borderId="51" xfId="0" applyNumberFormat="1" applyFont="1" applyFill="1" applyBorder="1" applyAlignment="1">
      <x:alignment vertical="center" wrapText="0"/>
    </x:xf>
    <x:xf numFmtId="0" fontId="43" fillId="26" borderId="52" xfId="0" applyNumberFormat="1" applyFont="1" applyFill="1" applyBorder="1" applyAlignment="1">
      <x:alignment horizontal="center" vertical="center" wrapText="0"/>
    </x:xf>
    <x:xf numFmtId="0" fontId="43" fillId="26" borderId="53" xfId="0" applyNumberFormat="1" applyFont="1" applyFill="1" applyBorder="1" applyAlignment="1">
      <x:alignment vertical="center" wrapText="0"/>
    </x:xf>
    <x:xf numFmtId="201" fontId="43" fillId="26" borderId="53" xfId="0" applyNumberFormat="1" applyFont="1" applyFill="1" applyBorder="1" applyAlignment="1">
      <x:alignment vertical="center" wrapText="0"/>
    </x:xf>
    <x:xf numFmtId="208" fontId="43" fillId="26" borderId="53" xfId="0" applyNumberFormat="1" applyFont="1" applyFill="1" applyBorder="1" applyAlignment="1">
      <x:alignment vertical="center" wrapText="0"/>
    </x:xf>
    <x:xf numFmtId="202" fontId="43" fillId="26" borderId="54" xfId="0" applyNumberFormat="1" applyFont="1" applyFill="1" applyBorder="1" applyAlignment="1">
      <x:alignment vertical="center" wrapText="0"/>
    </x:xf>
    <x:xf numFmtId="202" fontId="43" fillId="26" borderId="53" xfId="0" applyNumberFormat="1" applyFont="1" applyFill="1" applyBorder="1" applyAlignment="1">
      <x:alignment vertical="center" wrapText="0"/>
    </x:xf>
    <x:xf numFmtId="0" fontId="43" fillId="26" borderId="54" xfId="0" applyNumberFormat="1" applyFont="1" applyFill="1" applyBorder="1" applyAlignment="1">
      <x:alignment vertical="center" wrapText="0"/>
    </x:xf>
    <x:xf numFmtId="0" fontId="33" fillId="23" borderId="0" xfId="0" applyNumberFormat="1" applyFont="1" applyFill="1" applyBorder="1" applyAlignment="1">
      <x:alignment vertical="center" wrapText="1"/>
    </x:xf>
    <x:xf numFmtId="205" fontId="40" fillId="26" borderId="28" xfId="0" applyNumberFormat="1" applyFont="1" applyFill="1" applyBorder="1" applyAlignment="1">
      <x:alignment vertical="center"/>
    </x:xf>
    <x:xf numFmtId="205" fontId="40" fillId="26" borderId="29" xfId="0" applyNumberFormat="1" applyFont="1" applyFill="1" applyBorder="1" applyAlignment="1">
      <x:alignment vertical="center"/>
    </x:xf>
    <x:xf numFmtId="205" fontId="40" fillId="26" borderId="30" xfId="0" applyNumberFormat="1" applyFont="1" applyFill="1" applyBorder="1" applyAlignment="1">
      <x:alignment vertical="center"/>
    </x:xf>
    <x:xf numFmtId="205" fontId="40" fillId="26" borderId="31" xfId="0" applyNumberFormat="1" applyFont="1" applyFill="1" applyBorder="1" applyAlignment="1">
      <x:alignment vertical="center"/>
    </x:xf>
    <x:xf numFmtId="205" fontId="40" fillId="26" xfId="0" applyNumberFormat="1" applyFont="1" applyFill="1" applyBorder="0" applyAlignment="1">
      <x:alignment vertical="center"/>
    </x:xf>
    <x:xf numFmtId="205" fontId="40" fillId="26" borderId="32" xfId="0" applyNumberFormat="1" applyFont="1" applyFill="1" applyBorder="1" applyAlignment="1">
      <x:alignment vertical="center"/>
    </x:xf>
    <x:xf numFmtId="205" fontId="40" fillId="26" borderId="33" xfId="0" applyNumberFormat="1" applyFont="1" applyFill="1" applyBorder="1" applyAlignment="1">
      <x:alignment vertical="center"/>
    </x:xf>
    <x:xf numFmtId="205" fontId="40" fillId="26" borderId="34" xfId="0" applyNumberFormat="1" applyFont="1" applyFill="1" applyBorder="1" applyAlignment="1">
      <x:alignment vertical="center"/>
    </x:xf>
    <x:xf numFmtId="205" fontId="40" fillId="26" borderId="35" xfId="0" applyNumberFormat="1" applyFont="1" applyFill="1" applyBorder="1" applyAlignment="1">
      <x:alignment vertical="center"/>
    </x:xf>
    <x:xf numFmtId="205" fontId="40" fillId="26" borderId="28" xfId="0" applyNumberFormat="1" applyFont="1" applyFill="1" applyBorder="1" applyAlignment="1">
      <x:alignment horizontal="center" vertical="center"/>
    </x:xf>
    <x:xf numFmtId="205" fontId="40" fillId="26" borderId="29" xfId="0" applyNumberFormat="1" applyFont="1" applyFill="1" applyBorder="1" applyAlignment="1">
      <x:alignment horizontal="center" vertical="center"/>
    </x:xf>
    <x:xf numFmtId="205" fontId="40" fillId="26" borderId="30" xfId="0" applyNumberFormat="1" applyFont="1" applyFill="1" applyBorder="1" applyAlignment="1">
      <x:alignment horizontal="center" vertical="center"/>
    </x:xf>
    <x:xf numFmtId="205" fontId="40" fillId="26" borderId="31" xfId="0" applyNumberFormat="1" applyFont="1" applyFill="1" applyBorder="1" applyAlignment="1">
      <x:alignment horizontal="center" vertical="center"/>
    </x:xf>
    <x:xf numFmtId="205" fontId="40" fillId="26" xfId="0" applyNumberFormat="1" applyFont="1" applyFill="1" applyBorder="0" applyAlignment="1">
      <x:alignment horizontal="center" vertical="center"/>
    </x:xf>
    <x:xf numFmtId="205" fontId="40" fillId="26" borderId="32" xfId="0" applyNumberFormat="1" applyFont="1" applyFill="1" applyBorder="1" applyAlignment="1">
      <x:alignment horizontal="center" vertical="center"/>
    </x:xf>
    <x:xf numFmtId="205" fontId="40" fillId="26" borderId="33" xfId="0" applyNumberFormat="1" applyFont="1" applyFill="1" applyBorder="1" applyAlignment="1">
      <x:alignment horizontal="center" vertical="center"/>
    </x:xf>
    <x:xf numFmtId="205" fontId="40" fillId="26" borderId="34" xfId="0" applyNumberFormat="1" applyFont="1" applyFill="1" applyBorder="1" applyAlignment="1">
      <x:alignment horizontal="center" vertical="center"/>
    </x:xf>
    <x:xf numFmtId="205" fontId="40" fillId="26" borderId="35" xfId="0" applyNumberFormat="1" applyFont="1" applyFill="1" applyBorder="1" applyAlignment="1">
      <x:alignment horizontal="center" vertical="center"/>
    </x:xf>
    <x:xf numFmtId="201" fontId="38" fillId="26" borderId="6" xfId="0" applyNumberFormat="1" applyFont="1" applyFill="1" applyBorder="1" applyAlignment="1">
      <x:alignment vertical="center"/>
    </x:xf>
    <x:xf numFmtId="201" fontId="38" fillId="26" borderId="7" xfId="0" applyNumberFormat="1" applyFont="1" applyFill="1" applyBorder="1" applyAlignment="1">
      <x:alignment vertical="center"/>
    </x:xf>
    <x:xf numFmtId="201" fontId="38" fillId="26" borderId="8" xfId="0" applyNumberFormat="1" applyFont="1" applyFill="1" applyBorder="1" applyAlignment="1">
      <x:alignment vertical="center"/>
    </x:xf>
    <x:xf numFmtId="201" fontId="38" fillId="26" borderId="9" xfId="0" applyNumberFormat="1" applyFont="1" applyFill="1" applyBorder="1" applyAlignment="1">
      <x:alignment vertical="center"/>
    </x:xf>
    <x:xf numFmtId="201" fontId="38" fillId="26" xfId="0" applyNumberFormat="1" applyFont="1" applyFill="1" applyBorder="0" applyAlignment="1">
      <x:alignment vertical="center"/>
    </x:xf>
    <x:xf numFmtId="201" fontId="38" fillId="26" borderId="10" xfId="0" applyNumberFormat="1" applyFont="1" applyFill="1" applyBorder="1" applyAlignment="1">
      <x:alignment vertical="center"/>
    </x:xf>
    <x:xf numFmtId="201" fontId="38" fillId="26" borderId="11" xfId="0" applyNumberFormat="1" applyFont="1" applyFill="1" applyBorder="1" applyAlignment="1">
      <x:alignment vertical="center"/>
    </x:xf>
    <x:xf numFmtId="201" fontId="38" fillId="26" borderId="12" xfId="0" applyNumberFormat="1" applyFont="1" applyFill="1" applyBorder="1" applyAlignment="1">
      <x:alignment vertical="center"/>
    </x:xf>
    <x:xf numFmtId="201" fontId="38" fillId="26" borderId="13" xfId="0" applyNumberFormat="1" applyFont="1" applyFill="1" applyBorder="1" applyAlignment="1">
      <x:alignment vertical="center"/>
    </x:xf>
    <x:xf numFmtId="201" fontId="38" fillId="26" borderId="6" xfId="0" applyNumberFormat="1" applyFont="1" applyFill="1" applyBorder="1" applyAlignment="1">
      <x:alignment horizontal="center" vertical="center"/>
    </x:xf>
    <x:xf numFmtId="201" fontId="38" fillId="26" borderId="7" xfId="0" applyNumberFormat="1" applyFont="1" applyFill="1" applyBorder="1" applyAlignment="1">
      <x:alignment horizontal="center" vertical="center"/>
    </x:xf>
    <x:xf numFmtId="201" fontId="38" fillId="26" borderId="8" xfId="0" applyNumberFormat="1" applyFont="1" applyFill="1" applyBorder="1" applyAlignment="1">
      <x:alignment horizontal="center" vertical="center"/>
    </x:xf>
    <x:xf numFmtId="201" fontId="38" fillId="26" borderId="9" xfId="0" applyNumberFormat="1" applyFont="1" applyFill="1" applyBorder="1" applyAlignment="1">
      <x:alignment horizontal="center" vertical="center"/>
    </x:xf>
    <x:xf numFmtId="201" fontId="38" fillId="26" xfId="0" applyNumberFormat="1" applyFont="1" applyFill="1" applyBorder="0" applyAlignment="1">
      <x:alignment horizontal="center" vertical="center"/>
    </x:xf>
    <x:xf numFmtId="201" fontId="38" fillId="26" borderId="10" xfId="0" applyNumberFormat="1" applyFont="1" applyFill="1" applyBorder="1" applyAlignment="1">
      <x:alignment horizontal="center" vertical="center"/>
    </x:xf>
    <x:xf numFmtId="201" fontId="38" fillId="26" borderId="11" xfId="0" applyNumberFormat="1" applyFont="1" applyFill="1" applyBorder="1" applyAlignment="1">
      <x:alignment horizontal="center" vertical="center"/>
    </x:xf>
    <x:xf numFmtId="201" fontId="38" fillId="26" borderId="12" xfId="0" applyNumberFormat="1" applyFont="1" applyFill="1" applyBorder="1" applyAlignment="1">
      <x:alignment horizontal="center" vertical="center"/>
    </x:xf>
    <x:xf numFmtId="201" fontId="38" fillId="26" borderId="13" xfId="0" applyNumberFormat="1" applyFont="1" applyFill="1" applyBorder="1" applyAlignment="1">
      <x:alignment horizontal="center" vertical="center"/>
    </x:xf>
    <x:xf numFmtId="204" fontId="43" fillId="26" borderId="50" xfId="0" applyNumberFormat="1" applyFont="1" applyFill="1" applyBorder="1" applyAlignment="1">
      <x:alignment vertical="center"/>
    </x:xf>
    <x:xf numFmtId="204" fontId="43" fillId="26" borderId="53" xfId="0" applyNumberFormat="1" applyFont="1" applyFill="1" applyBorder="1" applyAlignment="1">
      <x:alignment vertical="center"/>
    </x:xf>
    <x:xf numFmtId="0" fontId="44" fillId="26" borderId="0" xfId="0" applyNumberFormat="1" applyFont="1" applyFill="1" applyBorder="1" applyAlignment="1">
      <x:alignment vertical="center"/>
    </x:xf>
    <x:xf numFmtId="0" fontId="44" fillId="26" borderId="55" xfId="0" applyNumberFormat="1" applyFont="1" applyFill="1" applyBorder="1" applyAlignment="1">
      <x:alignment vertical="center"/>
    </x:xf>
    <x:xf numFmtId="0" fontId="44" fillId="26" borderId="56" xfId="0" applyNumberFormat="1" applyFont="1" applyFill="1" applyBorder="1" applyAlignment="1">
      <x:alignment vertical="center"/>
    </x:xf>
    <x:xf numFmtId="0" fontId="44" fillId="26" borderId="57" xfId="0" applyNumberFormat="1" applyFont="1" applyFill="1" applyBorder="1" applyAlignment="1">
      <x:alignment vertical="center"/>
    </x:xf>
    <x:xf numFmtId="0" fontId="44" fillId="26" borderId="49" xfId="0" applyNumberFormat="1" applyFont="1" applyFill="1" applyBorder="1" applyAlignment="1">
      <x:alignment vertical="center"/>
    </x:xf>
    <x:xf numFmtId="0" fontId="44" fillId="26" borderId="50" xfId="0" applyNumberFormat="1" applyFont="1" applyFill="1" applyBorder="1" applyAlignment="1">
      <x:alignment vertical="center"/>
    </x:xf>
    <x:xf numFmtId="0" fontId="44" fillId="26" borderId="51" xfId="0" applyNumberFormat="1" applyFont="1" applyFill="1" applyBorder="1" applyAlignment="1">
      <x:alignment vertical="center"/>
    </x:xf>
    <x:xf numFmtId="0" fontId="44" fillId="26" borderId="55" xfId="0" applyNumberFormat="1" applyFont="1" applyFill="1" applyBorder="1" applyAlignment="1">
      <x:alignment vertical="center" wrapText="1"/>
    </x:xf>
    <x:xf numFmtId="0" fontId="44" fillId="26" borderId="56" xfId="0" applyNumberFormat="1" applyFont="1" applyFill="1" applyBorder="1" applyAlignment="1">
      <x:alignment vertical="center" wrapText="1"/>
    </x:xf>
    <x:xf numFmtId="0" fontId="44" fillId="26" borderId="57" xfId="0" applyNumberFormat="1" applyFont="1" applyFill="1" applyBorder="1" applyAlignment="1">
      <x:alignment vertical="center" wrapText="1"/>
    </x:xf>
    <x:xf numFmtId="0" fontId="44" fillId="26" borderId="49" xfId="0" applyNumberFormat="1" applyFont="1" applyFill="1" applyBorder="1" applyAlignment="1">
      <x:alignment vertical="center" wrapText="1"/>
    </x:xf>
    <x:xf numFmtId="0" fontId="44" fillId="26" borderId="50" xfId="0" applyNumberFormat="1" applyFont="1" applyFill="1" applyBorder="1" applyAlignment="1">
      <x:alignment vertical="center" wrapText="1"/>
    </x:xf>
    <x:xf numFmtId="0" fontId="44" fillId="26" borderId="51" xfId="0" applyNumberFormat="1" applyFont="1" applyFill="1" applyBorder="1" applyAlignment="1">
      <x:alignment vertical="center" wrapText="1"/>
    </x:xf>
    <x:xf numFmtId="0" fontId="44" fillId="26" borderId="55" xfId="0" applyNumberFormat="1" applyFont="1" applyFill="1" applyBorder="1" applyAlignment="1">
      <x:alignment horizontal="left" vertical="center" wrapText="1"/>
    </x:xf>
    <x:xf numFmtId="0" fontId="44" fillId="26" borderId="56" xfId="0" applyNumberFormat="1" applyFont="1" applyFill="1" applyBorder="1" applyAlignment="1">
      <x:alignment horizontal="left" vertical="center" wrapText="1"/>
    </x:xf>
    <x:xf numFmtId="0" fontId="44" fillId="26" borderId="57" xfId="0" applyNumberFormat="1" applyFont="1" applyFill="1" applyBorder="1" applyAlignment="1">
      <x:alignment horizontal="left" vertical="center" wrapText="1"/>
    </x:xf>
    <x:xf numFmtId="0" fontId="44" fillId="26" borderId="49" xfId="0" applyNumberFormat="1" applyFont="1" applyFill="1" applyBorder="1" applyAlignment="1">
      <x:alignment horizontal="left" vertical="center" wrapText="1"/>
    </x:xf>
    <x:xf numFmtId="0" fontId="44" fillId="26" borderId="50" xfId="0" applyNumberFormat="1" applyFont="1" applyFill="1" applyBorder="1" applyAlignment="1">
      <x:alignment horizontal="left" vertical="center" wrapText="1"/>
    </x:xf>
    <x:xf numFmtId="0" fontId="44" fillId="26" borderId="5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numFmt numFmtId="0" formatCode="General"/>
    </x:dxf>
    <x:dxf>
      <x:numFmt numFmtId="164" formatCode="_-[$₺-41F]* #,##0.00_-;\-[$₺-41F]* #,##0.00_-;_-[$₺-41F]* &quot;-&quot;??_-;_-@_-"/>
    </x:dxf>
    <x:dxf>
      <x:font>
        <x:b/>
        <x:color rgb="FF9E2424"/>
      </x:font>
      <x:fill>
        <x:patternFill patternType="solid">
          <x:bgColor rgb="FFF8DEDC"/>
        </x:patternFill>
      </x:fill>
    </x:dxf>
    <x:dxf>
      <x:font>
        <x:b/>
        <x:color rgb="FF8A5A00"/>
      </x:font>
      <x:fill>
        <x:patternFill patternType="solid">
          <x:bgColor rgb="FFFFF2D9"/>
        </x:patternFill>
      </x:fill>
    </x:dxf>
    <x:dxf>
      <x:font>
        <x:b/>
        <x:color rgb="FF17695F"/>
      </x:font>
      <x:fill>
        <x:patternFill patternType="solid">
          <x:bgColor rgb="FFDDF3EF"/>
        </x:patternFill>
      </x:fill>
    </x:dxf>
    <x:dxf>
      <x:font>
        <x:b/>
        <x:color rgb="FF9E2424"/>
      </x:font>
      <x:fill>
        <x:patternFill patternType="solid">
          <x:bgColor rgb="FFF8DEDC"/>
        </x:patternFill>
      </x:fill>
    </x:dxf>
    <x:dxf>
      <x:font>
        <x:b/>
        <x:color rgb="FF8A5A00"/>
      </x:font>
      <x:fill>
        <x:patternFill patternType="solid">
          <x:bgColor rgb="FFFFF2D9"/>
        </x:patternFill>
      </x:fill>
    </x:dxf>
    <x:dxf>
      <x:font>
        <x:b/>
        <x:color rgb="FF17695F"/>
      </x:font>
      <x:fill>
        <x:patternFill patternType="solid">
          <x:bgColor rgb="FFDDF3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983b53caa4d95" /><Relationship Type="http://schemas.openxmlformats.org/officeDocument/2006/relationships/theme" Target="/xl/theme/theme1.xml" Id="R020903891bab4fe9" /><Relationship Type="http://schemas.microsoft.com/office/2022/11/relationships/FeaturePropertyBag" Target="/xl/featurePropertyBag/featurePropertyBag.xml" Id="Rc926383935e948cb" /><Relationship Type="http://schemas.openxmlformats.org/officeDocument/2006/relationships/sharedStrings" Target="/xl/sharedStrings.xml" Id="R1c4295a0bb13455d" /><Relationship Type="http://schemas.openxmlformats.org/officeDocument/2006/relationships/pivotCacheDefinition" Target="/pivotCache/pivotCacheDefinition1.xml" Id="R61faccbad5c1484f" /><Relationship Type="http://schemas.openxmlformats.org/officeDocument/2006/relationships/worksheet" Target="/xl/worksheets/sheet1.xml" Id="R6a1c3bef4ac140f0" /><Relationship Type="http://schemas.openxmlformats.org/officeDocument/2006/relationships/worksheet" Target="/xl/worksheets/sheet2.xml" Id="R87c8b08ff232406a" /><Relationship Type="http://schemas.openxmlformats.org/officeDocument/2006/relationships/worksheet" Target="/xl/worksheets/sheet3.xml" Id="Re25628ee39654408" /><Relationship Type="http://schemas.openxmlformats.org/officeDocument/2006/relationships/worksheet" Target="/xl/worksheets/sheet4.xml" Id="R35b5a3e87d3b4e9b" /><Relationship Type="http://schemas.openxmlformats.org/officeDocument/2006/relationships/worksheet" Target="/xl/worksheets/sheet5.xml" Id="Ra804ea0a7b5540e6" /><Relationship Type="http://schemas.microsoft.com/office/2007/relationships/slicerCache" Target="/xl/slicerCaches/slicerCache.xml" Id="R42f055b3404548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080a8a368847a7" /><Relationship Type="http://schemas.openxmlformats.org/officeDocument/2006/relationships/chart" Target="/xl/drawings/charts/chart2.xml" Id="Rcd57de5eb3fb485c" /><Relationship Type="http://schemas.openxmlformats.org/officeDocument/2006/relationships/chart" Target="/xl/drawings/charts/chart3.xml" Id="R861091aa84e84591" /><Relationship Type="http://schemas.openxmlformats.org/officeDocument/2006/relationships/chart" Target="/xl/drawings/charts/chart4.xml" Id="Ra33fe4eb0d8b4ee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af6a95a00be645ca" /><Relationship Type="http://schemas.openxmlformats.org/officeDocument/2006/relationships/chart" Target="/xl/drawings/charts/chart6.xml" Id="Rbe53893c5d3840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Aylık Toplam Ciro (₺)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Ciro</c:v>
          </c:tx>
          <c:spPr>
            <a:solidFill xmlns:a="http://schemas.openxmlformats.org/drawingml/2006/main">
              <a:srgbClr val="24536E"/>
            </a:solidFill>
          </c:spPr>
          <c:marker>
            <c:symbol val="none"/>
          </c:marker>
          <c:cat>
            <c:strRef>
              <c:f>'ANALİZ'!$AB$2:$AB$13</c:f>
              <c:strCache>
                <c:ptCount val="0"/>
              </c:strCache>
            </c:strRef>
          </c:cat>
          <c:val>
            <c:numRef>
              <c:f>'ANALİZ'!$AC$2:$AC$13</c:f>
              <c:numCache>
                <c:formatCode>"₺"#,##0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₺&quot;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Aylık Filtreli Kâr (₺)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Kâr</c:v>
          </c:tx>
          <c:spPr>
            <a:solidFill xmlns:a="http://schemas.openxmlformats.org/drawingml/2006/main">
              <a:srgbClr val="2A9D8F"/>
            </a:solidFill>
          </c:spPr>
          <c:marker>
            <c:symbol val="none"/>
          </c:marker>
          <c:cat>
            <c:strRef>
              <c:f>'ANALİZ'!$AB$2:$AB$13</c:f>
              <c:strCache>
                <c:ptCount val="0"/>
              </c:strCache>
            </c:strRef>
          </c:cat>
          <c:val>
            <c:numRef>
              <c:f>'ANALİZ'!$AD$2:$AD$13</c:f>
              <c:numCache>
                <c:formatCode>"₺"#,##0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₺&quot;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Personel Ciro Sıralaması (₺)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Ciro</c:v>
          </c:tx>
          <c:spPr>
            <a:solidFill xmlns:a="http://schemas.openxmlformats.org/drawingml/2006/main">
              <a:srgbClr val="24536E"/>
            </a:solidFill>
          </c:spPr>
          <c:cat>
            <c:strRef>
              <c:f>'ANALİZ'!$AF$2:$AF$14</c:f>
              <c:strCache>
                <c:ptCount val="0"/>
              </c:strCache>
            </c:strRef>
          </c:cat>
          <c:val>
            <c:numRef>
              <c:f>'ANALİZ'!$AG$2:$AG$14</c:f>
              <c:numCache>
                <c:formatCode>General</c:formatCode>
                <c:ptCount val="0"/>
              </c:numCache>
            </c:numRef>
          </c:val>
        </c:ser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₺&quot;#,##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Şehir Bazlı Kâr (₺)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Kâr</c:v>
          </c:tx>
          <c:spPr>
            <a:solidFill xmlns:a="http://schemas.openxmlformats.org/drawingml/2006/main">
              <a:srgbClr val="2A9D8F"/>
            </a:solidFill>
          </c:spPr>
          <c:cat>
            <c:strRef>
              <c:f>'ANALİZ'!$AI$2:$AI$14</c:f>
              <c:strCache>
                <c:ptCount val="0"/>
              </c:strCache>
            </c:strRef>
          </c:cat>
          <c:val>
            <c:numRef>
              <c:f>'ANALİZ'!$AJ$2:$AJ$14</c:f>
              <c:numCache>
                <c:formatCode>General</c:formatCode>
                <c:ptCount val="0"/>
              </c:numCache>
            </c:numRef>
          </c:val>
        </c:ser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₺&quot;#,##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Personel Risk Skoru (0–10)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Risk Skoru</c:v>
          </c:tx>
          <c:spPr>
            <a:solidFill xmlns:a="http://schemas.openxmlformats.org/drawingml/2006/main">
              <a:srgbClr val="D95D58"/>
            </a:solidFill>
          </c:spPr>
          <c:cat>
            <c:strRef>
              <c:f>'DASHBOARD (2)'!$A$11:$A$23</c:f>
              <c:strCache>
                <c:ptCount val="0"/>
              </c:strCache>
            </c:strRef>
          </c:cat>
          <c:val>
            <c:numRef>
              <c:f>'DASHBOARD (2)'!$E$11:$E$23</c:f>
              <c:numCache>
                <c:formatCode>0</c:formatCode>
                <c:ptCount val="0"/>
              </c:numCache>
            </c:numRef>
          </c:val>
        </c:ser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0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  <c:majorUnit val="1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Şehir Risk Skoru (0–10)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Risk Skoru</c:v>
          </c:tx>
          <c:spPr>
            <a:solidFill xmlns:a="http://schemas.openxmlformats.org/drawingml/2006/main">
              <a:srgbClr val="E9A23B"/>
            </a:solidFill>
          </c:spPr>
          <c:cat>
            <c:strRef>
              <c:f>'DASHBOARD (2)'!$H$11:$H$23</c:f>
              <c:strCache>
                <c:ptCount val="0"/>
              </c:strCache>
            </c:strRef>
          </c:cat>
          <c:val>
            <c:numRef>
              <c:f>'DASHBOARD (2)'!$L$11:$L$23</c:f>
              <c:numCache>
                <c:formatCode>0</c:formatCode>
                <c:ptCount val="0"/>
              </c:numCache>
            </c:numRef>
          </c:val>
        </c:ser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0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  <c:majorUnit val="1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080a8a368847a7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57de5eb3fb485c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1091aa84e8459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13</xdr:col>
      <xdr:colOff>0</xdr:colOff>
      <xdr:row>40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3fe4eb0d8b4ee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25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6a95a00be645ca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13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53893c5d3840d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4e9bb4186d154b41" /></Relationships>
</file>

<file path=xl/pivotTables/pivotTable.xml><?xml version="1.0" encoding="utf-8"?>
<x:pivotTableDefinition xmlns:x="http://schemas.openxmlformats.org/spreadsheetml/2006/main" name="PivotTable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>
  <x:location ref="A56:E58" firstHeaderRow="0" firstDataRow="1" firstDataCol="1"/>
  <x:pivotFields count="9">
    <x:pivotField dataField="0" compact="0" outline="0" showAll="0"/>
    <x:pivotField dataField="0" compact="0" outline="0" showAll="0">
      <x:items count="15">
        <x:item h="1" x="4"/>
        <x:item x="8"/>
        <x:item h="1" x="10"/>
        <x:item h="1" x="3"/>
        <x:item h="1" x="2"/>
        <x:item h="1" x="5"/>
        <x:item h="1" x="9"/>
        <x:item h="1" x="0"/>
        <x:item h="1" x="6"/>
        <x:item h="1" x="1"/>
        <x:item h="1" x="7"/>
        <x:item h="1" x="11"/>
        <x:item h="1" x="13"/>
        <x:item h="1" x="12"/>
        <x:item t="default"/>
      </x:items>
    </x:pivotField>
    <x:pivotField axis="axisRow" dataField="0" compact="0" outline="0" showAll="0">
      <x:items count="25">
        <x:item h="1" x="0"/>
        <x:item h="1" x="21"/>
        <x:item h="1" x="13"/>
        <x:item x="2"/>
        <x:item h="1" x="20"/>
        <x:item h="1" x="12"/>
        <x:item h="1" x="5"/>
        <x:item h="1" x="14"/>
        <x:item h="1" x="22"/>
        <x:item h="1" x="16"/>
        <x:item h="1" x="6"/>
        <x:item h="1" x="15"/>
        <x:item h="1" x="23"/>
        <x:item h="1" x="17"/>
        <x:item h="1" x="4"/>
        <x:item h="1" x="1"/>
        <x:item h="1" x="10"/>
        <x:item h="1" x="7"/>
        <x:item h="1" x="18"/>
        <x:item h="1" x="9"/>
        <x:item h="1" x="11"/>
        <x:item h="1" x="19"/>
        <x:item h="1" x="3"/>
        <x:item h="1" x="8"/>
        <x:item t="default"/>
      </x:items>
    </x:pivotField>
    <x:pivotField axis="axisValues" dataField="1" compact="0" outline="0" showAll="0">
      <x:items count="6">
        <x:item x="2"/>
        <x:item x="0"/>
        <x:item x="1"/>
        <x:item x="4"/>
        <x:item x="3"/>
        <x:item t="default"/>
      </x:items>
    </x:pivotField>
    <x:pivotField axis="axisValues" dataField="1" compact="0" outline="0" showAll="0"/>
    <x:pivotField axis="axisValues" dataField="1" compact="0" outline="0" showAll="0"/>
    <x:pivotField axis="axisValues" dataField="1" compact="0" outline="0" showAll="0"/>
    <x:pivotField dataField="0" compact="0" outline="0" showAll="0">
      <x:items count="13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t="default"/>
      </x:items>
    </x:pivotField>
    <x:pivotField dataField="0" compact="0" outline="0" showAll="0"/>
  </x:pivotFields>
  <x:rowFields count="1">
    <x:field x="2"/>
  </x:rowFields>
  <x:rowItems count="2">
    <x:i>
      <x:x v="0"/>
    </x:i>
    <x:i/>
  </x:rowItems>
  <x:colFields count="1">
    <x:field x="-2"/>
  </x:colFields>
  <x:colItems count="4">
    <x:i>
      <x:x v="0"/>
    </x:i>
    <x:i>
      <x:x v="1"/>
    </x:i>
    <x:i>
      <x:x v="2"/>
    </x:i>
    <x:i>
      <x:x v="3"/>
    </x:i>
  </x:colItems>
  <x:dataFields count="4">
    <x:dataField name="Toplam Toplam Sipariş Tutarı" fld="5" baseField="0" baseItem="0"/>
    <x:dataField name="Toplam Birim Fiyat" fld="4" baseField="0" baseItem="0"/>
    <x:dataField name="Toplam Satış Adet" fld="3" baseField="0" baseItem="0"/>
    <x:dataField name="Toplam Ürün Kar Tutarı" fld="6" baseField="0" baseItem="0"/>
  </x:dataFields>
  <x:formats count="2">
    <x:format dxfId="1">
      <x:pivotArea outline="0" collapsedLevelsAreSubtotals="1" fieldPosition="0"/>
    </x:format>
    <x:format dxfId="0">
      <x:pivotArea outline="0" fieldPosition="0">
        <x:references count="1">
          <x:reference field="4294967294" count="1" selected="0">
            <x:x v="2"/>
          </x:reference>
        </x:references>
      </x:pivotArea>
    </x:format>
  </x:format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slicerCaches/slicerCache.xml><?xml version="1.0" encoding="utf-8"?>
<x14:slicerCacheDefinition xmlns:x14="http://schemas.microsoft.com/office/spreadsheetml/2009/9/main" name="Dilimleyici_Urun_Ad" sourceName="Urun Ad">
  <x14:pivotTables>
    <x14:pivotTable tabId="2" name="PivotTable1"/>
  </x14:pivotTables>
  <x14:data>
    <x14:tabular pivotCacheId="1925535033">
      <x14:items count="24">
        <x14:i x="0"/>
        <x14:i x="21"/>
        <x14:i x="13"/>
        <x14:i x="2" s="1"/>
        <x14:i x="20"/>
        <x14:i x="12"/>
        <x14:i x="5"/>
        <x14:i x="14"/>
        <x14:i x="22"/>
        <x14:i x="16"/>
        <x14:i x="6"/>
        <x14:i x="15"/>
        <x14:i x="23"/>
        <x14:i x="17"/>
        <x14:i x="4"/>
        <x14:i x="1"/>
        <x14:i x="10"/>
        <x14:i x="7"/>
        <x14:i x="18"/>
        <x14:i x="9"/>
        <x14:i x="11"/>
        <x14:i x="19"/>
        <x14:i x="3"/>
        <x14:i x="8"/>
      </x14:items>
    </x14:tabular>
  </x14:data>
</x14:slicerCacheDefinition>
</file>

<file path=xl/slicers/slicer.xml><?xml version="1.0" encoding="utf-8"?>
<x14:slicers xmlns:x14="http://schemas.microsoft.com/office/spreadsheetml/2009/9/main">
  <x14:slicer name="Urun Ad 1" cache="Dilimleyici_Urun_Ad" caption="Urun Ad" rowHeight="228600"/>
</x14:slicers>
</file>

<file path=xl/tables/table1.xml><?xml version="1.0" encoding="utf-8"?>
<x:table xmlns:x="http://schemas.openxmlformats.org/spreadsheetml/2006/main" id="1" name="tblUrunOzet" displayName="tblUrunOzet" ref="A5:H28" headerRowCount="1" totalsRowCount="0" totalsRowShown="0">
  <x:tableColumns count="8">
    <x:tableColumn id="1" name="Ürün"/>
    <x:tableColumn id="2" name="Ciro"/>
    <x:tableColumn id="3" name="Kâr"/>
    <x:tableColumn id="4" name="Kâr Marjı"/>
    <x:tableColumn id="5" name="Ort. Satır Marjı"/>
    <x:tableColumn id="6" name="Satış Adedi"/>
    <x:tableColumn id="7" name="Sipariş"/>
    <x:tableColumn id="8" name="Kâr Sırası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tblUrunOzet" displayName="tblUrunOzet" ref="A5:H28" headerRowCount="1" totalsRowCount="0" totalsRowShown="0">
  <x:tableColumns count="8">
    <x:tableColumn id="1" name="Ürün"/>
    <x:tableColumn id="2" name="Ciro"/>
    <x:tableColumn id="3" name="Kâr"/>
    <x:tableColumn id="4" name="Kâr Marjı"/>
    <x:tableColumn id="5" name="Ort. Satır Marjı"/>
    <x:tableColumn id="6" name="Satış Adedi"/>
    <x:tableColumn id="7" name="Sipariş"/>
    <x:tableColumn id="8" name="Kâr Sıras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tblPersonelPerformans" displayName="tblPersonelPerformans" ref="A15:K28" headerRowCount="1" totalsRowCount="0" totalsRowShown="0">
  <x:tableColumns count="11">
    <x:tableColumn id="1" name="Personel"/>
    <x:tableColumn id="2" name="Ciro"/>
    <x:tableColumn id="3" name="Kâr"/>
    <x:tableColumn id="4" name="Kâr Marjı"/>
    <x:tableColumn id="5" name="Satış Adedi"/>
    <x:tableColumn id="6" name="Sipariş"/>
    <x:tableColumn id="7" name="Ort. Sipariş"/>
    <x:tableColumn id="8" name="Son Dönem Ciro"/>
    <x:tableColumn id="9" name="Önceki Dönem Ciro"/>
    <x:tableColumn id="10" name="Değişim %"/>
    <x:tableColumn id="11" name="Hedef Durumu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0" name="tblUrunPerformans" displayName="tblUrunPerformans" ref="A32:I55" headerRowCount="1" totalsRowCount="0" totalsRowShown="0">
  <x:tableColumns count="9">
    <x:tableColumn id="1" name="Ürün"/>
    <x:tableColumn id="2" name="Ciro"/>
    <x:tableColumn id="3" name="Kâr"/>
    <x:tableColumn id="4" name="Kâr Marjı"/>
    <x:tableColumn id="5" name="Ort. Satır Marjı"/>
    <x:tableColumn id="6" name="Satış Adedi"/>
    <x:tableColumn id="7" name="Sipariş"/>
    <x:tableColumn id="8" name="Kâr Sırası"/>
    <x:tableColumn id="9" name="Performa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1" name="tblPersonelRisk" displayName="tblPersonelRisk" ref="K32:Q45" headerRowCount="1" totalsRowCount="0" totalsRowShown="0">
  <x:tableColumns count="7">
    <x:tableColumn id="1" name="Personel"/>
    <x:tableColumn id="2" name="Son Dönem Ciro"/>
    <x:tableColumn id="3" name="Önceki Ciro"/>
    <x:tableColumn id="4" name="Değişim %"/>
    <x:tableColumn id="5" name="Hedef Durumu"/>
    <x:tableColumn id="6" name="Risk Skoru"/>
    <x:tableColumn id="7" name="Ris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2" name="tblSehirRisk" displayName="tblSehirRisk" ref="K49:Q62" headerRowCount="1" totalsRowCount="0" totalsRowShown="0">
  <x:tableColumns count="7">
    <x:tableColumn id="1" name="Şehir"/>
    <x:tableColumn id="2" name="Ciro"/>
    <x:tableColumn id="3" name="Kâr Marjı"/>
    <x:tableColumn id="4" name="Konsantrasyon"/>
    <x:tableColumn id="5" name="Ciro Seviyesi"/>
    <x:tableColumn id="6" name="Risk Skoru"/>
    <x:tableColumn id="7" name="Risk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3" name="tblDB2PersonelRisk" displayName="tblDB2PersonelRisk" ref="A10:F23" headerRowCount="1" totalsRowCount="0" totalsRowShown="0">
  <x:tableColumns count="6">
    <x:tableColumn id="1" name="Personel"/>
    <x:tableColumn id="2" name="Son Dönem Ciro"/>
    <x:tableColumn id="3" name="Hedef Sapması"/>
    <x:tableColumn id="4" name="Hedef Durumu"/>
    <x:tableColumn id="5" name="Risk Skoru"/>
    <x:tableColumn id="6" name="Risk Seviyesi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4" name="tblDB2SehirRisk" displayName="tblDB2SehirRisk" ref="H10:M23" headerRowCount="1" totalsRowCount="0" totalsRowShown="0">
  <x:tableColumns count="6">
    <x:tableColumn id="1" name="Şehir"/>
    <x:tableColumn id="2" name="Ciro"/>
    <x:tableColumn id="3" name="Kâr Marjı"/>
    <x:tableColumn id="4" name="Konsantrasyon"/>
    <x:tableColumn id="5" name="Risk Skoru"/>
    <x:tableColumn id="6" name="Risk Seviyes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eması">
  <a:themeElements>
    <a:clrScheme name="Executive Navy">
      <a:dk1>
        <a:srgbClr val="0F1F2D"/>
      </a:dk1>
      <a:lt1>
        <a:srgbClr val="FFFFFF"/>
      </a:lt1>
      <a:dk2>
        <a:srgbClr val="0E2841"/>
      </a:dk2>
      <a:lt2>
        <a:srgbClr val="F3F6F8"/>
      </a:lt2>
      <a:accent1>
        <a:srgbClr val="183B56"/>
      </a:accent1>
      <a:accent2>
        <a:srgbClr val="4F86A0"/>
      </a:accent2>
      <a:accent3>
        <a:srgbClr val="7FB3A8"/>
      </a:accent3>
      <a:accent4>
        <a:srgbClr val="E4B363"/>
      </a:accent4>
      <a:accent5>
        <a:srgbClr val="D98E8E"/>
      </a:accent5>
      <a:accent6>
        <a:srgbClr val="8C9AAF"/>
      </a:accent6>
      <a:hlink>
        <a:srgbClr val="2B6CB0"/>
      </a:hlink>
      <a:folHlink>
        <a:srgbClr val="6B46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Executive Navy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a42cc9a9074773" /><Relationship Type="http://schemas.openxmlformats.org/officeDocument/2006/relationships/table" Target="/xl/tables/table2.xml" Id="Ree184458cb8742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5a460cd42540dd" /><Relationship Type="http://schemas.openxmlformats.org/officeDocument/2006/relationships/table" Target="/xl/tables/table4.xml" Id="R2428fd4a5f114309" /><Relationship Type="http://schemas.openxmlformats.org/officeDocument/2006/relationships/table" Target="/xl/tables/table5.xml" Id="R5f5c3876c88b4506" /><Relationship Type="http://schemas.openxmlformats.org/officeDocument/2006/relationships/table" Target="/xl/tables/table6.xml" Id="R70ee60b19057426f" /><Relationship Type="http://schemas.openxmlformats.org/officeDocument/2006/relationships/pivotTable" Target="/xl/pivotTables/pivotTable.xml" Id="Rbefaa75260e44e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fa15357663d4cad" /><Relationship Type="http://schemas.microsoft.com/office/2007/relationships/slicer" Target="/xl/slicers/slicer.xml" Id="R74e3972182f640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b1cf4cf749f74a9f" /><Relationship Type="http://schemas.openxmlformats.org/officeDocument/2006/relationships/table" Target="/xl/tables/table7.xml" Id="Rec26120fde264d4e" /><Relationship Type="http://schemas.openxmlformats.org/officeDocument/2006/relationships/table" Target="/xl/tables/table8.xml" Id="Rd21e4ed22baa46d9" /></Relationships>
</file>

<file path=xl/worksheets/sheet1.xml><?xml version="1.0" encoding="utf-8"?>
<x:worksheet xmlns:x="http://schemas.openxmlformats.org/spreadsheetml/2006/main">
  <x:sheetFormatPr defaultColWidth="18.42578125" defaultRowHeight="15"/>
  <x:cols>
    <x:col min="1" max="1" width="9" style="12" hidden="0" customWidth="1"/>
    <x:col min="2" max="2" width="22" style="12" hidden="0" customWidth="1"/>
    <x:col min="3" max="3" width="32" style="12" hidden="0" customWidth="1"/>
    <x:col min="4" max="4" width="13" style="12" hidden="0" customWidth="1"/>
    <x:col min="6" max="6" width="19" style="12" hidden="0" customWidth="1"/>
    <x:col min="7" max="7" width="19" style="12" hidden="0" customWidth="1"/>
    <x:col min="8" max="8" width="12" style="12" hidden="0" customWidth="1"/>
    <x:col min="9" max="9" width="16" style="12" hidden="0" customWidth="1"/>
    <x:col min="4" max="4" width="12" hidden="0" customWidth="1"/>
    <x:col min="5" max="5" width="19" hidden="0" customWidth="1"/>
    <x:col min="10" max="10" width="13" hidden="0" customWidth="1"/>
    <x:col min="11" max="11" width="15" hidden="0" customWidth="1"/>
  </x:cols>
  <x:sheetData>
    <x:row r="1" ht="32" customHeight="1">
      <x:c r="A1" s="192" t="s">
        <x:v>0</x:v>
      </x:c>
      <x:c r="B1" s="192" t="s">
        <x:v>1</x:v>
      </x:c>
      <x:c r="C1" s="192" t="s">
        <x:v>2</x:v>
      </x:c>
      <x:c r="D1" s="192" t="s">
        <x:v>3</x:v>
      </x:c>
      <x:c r="E1" s="192" t="s">
        <x:v>4</x:v>
      </x:c>
      <x:c r="F1" s="192" t="s">
        <x:v>5</x:v>
      </x:c>
      <x:c r="G1" s="192" t="s">
        <x:v>6</x:v>
      </x:c>
      <x:c r="H1" s="192" t="s">
        <x:v>7</x:v>
      </x:c>
      <x:c r="I1" s="192" t="s">
        <x:v>8</x:v>
      </x:c>
      <x:c r="J1" s="319" t="str">
        <x:v>Kâr Marjı %</x:v>
      </x:c>
      <x:c r="K1" s="319" t="str">
        <x:v>Veri Kalitesi</x:v>
      </x:c>
    </x:row>
    <x:row r="2" ht="15.75">
      <x:c r="A2" s="313" t="n">
        <x:f>ROW()-ROW($A$2)+1</x:f>
        <x:v>1</x:v>
      </x:c>
      <x:c r="B2" s="313" t="s">
        <x:v>9</x:v>
      </x:c>
      <x:c r="C2" s="313" t="s">
        <x:v>10</x:v>
      </x:c>
      <x:c r="D2" s="314">
        <x:v>2</x:v>
      </x:c>
      <x:c r="E2" s="320">
        <x:v>6000</x:v>
      </x:c>
      <x:c r="F2" s="320">
        <x:v>12000</x:v>
      </x:c>
      <x:c r="G2" s="320">
        <x:v>4000</x:v>
      </x:c>
      <x:c r="H2" s="313" t="s">
        <x:v>11</x:v>
      </x:c>
      <x:c r="I2" s="313" t="s">
        <x:v>12</x:v>
      </x:c>
      <x:c r="J2" s="316" t="n">
        <x:f>IFERROR(G2/F2,0)</x:f>
        <x:v>0.3333333333333333</x:v>
      </x:c>
      <x:c r="K2" s="312" t="str">
        <x:f>IF(B2="Bilinmeyen Personel","Kontrol","OK")</x:f>
        <x:v>OK</x:v>
      </x:c>
    </x:row>
    <x:row r="3" ht="15.75">
      <x:c r="A3" s="313" t="n">
        <x:f t="shared" ref="A3:A66" si="0">ROW()-ROW($A$2)+1</x:f>
        <x:v>2</x:v>
      </x:c>
      <x:c r="B3" s="313" t="s">
        <x:v>13</x:v>
      </x:c>
      <x:c r="C3" s="313" t="s">
        <x:v>14</x:v>
      </x:c>
      <x:c r="D3" s="314">
        <x:v>2</x:v>
      </x:c>
      <x:c r="E3" s="320">
        <x:v>1400</x:v>
      </x:c>
      <x:c r="F3" s="320">
        <x:v>2800</x:v>
      </x:c>
      <x:c r="G3" s="320">
        <x:v>1200</x:v>
      </x:c>
      <x:c r="H3" s="313" t="s">
        <x:v>11</x:v>
      </x:c>
      <x:c r="I3" s="313" t="s">
        <x:v>15</x:v>
      </x:c>
      <x:c r="J3" s="316" t="n">
        <x:f>IFERROR(G3/F3,0)</x:f>
        <x:v>0.42857142857142855</x:v>
      </x:c>
      <x:c r="K3" s="312" t="str">
        <x:f>IF(B3="Bilinmeyen Personel","Kontrol","OK")</x:f>
        <x:v>OK</x:v>
      </x:c>
    </x:row>
    <x:row r="4" ht="15.75">
      <x:c r="A4" s="313" t="n">
        <x:f t="shared" si="0">ROW()-ROW($A$2)+1</x:f>
        <x:v>3</x:v>
      </x:c>
      <x:c r="B4" s="313" t="s">
        <x:v>16</x:v>
      </x:c>
      <x:c r="C4" s="313" t="s">
        <x:v>17</x:v>
      </x:c>
      <x:c r="D4" s="314">
        <x:v>2</x:v>
      </x:c>
      <x:c r="E4" s="320">
        <x:v>8450</x:v>
      </x:c>
      <x:c r="F4" s="320">
        <x:v>16900</x:v>
      </x:c>
      <x:c r="G4" s="320">
        <x:v>4900</x:v>
      </x:c>
      <x:c r="H4" s="313" t="s">
        <x:v>11</x:v>
      </x:c>
      <x:c r="I4" s="313" t="s">
        <x:v>18</x:v>
      </x:c>
      <x:c r="J4" s="316" t="n">
        <x:f>IFERROR(G4/F4,0)</x:f>
        <x:v>0.28994082840236685</x:v>
      </x:c>
      <x:c r="K4" s="312" t="str">
        <x:f>IF(B4="Bilinmeyen Personel","Kontrol","OK")</x:f>
        <x:v>OK</x:v>
      </x:c>
    </x:row>
    <x:row r="5" ht="15.75">
      <x:c r="A5" s="313" t="n">
        <x:f t="shared" si="0">ROW()-ROW($A$2)+1</x:f>
        <x:v>4</x:v>
      </x:c>
      <x:c r="B5" s="313" t="s">
        <x:v>19</x:v>
      </x:c>
      <x:c r="C5" s="313" t="s">
        <x:v>20</x:v>
      </x:c>
      <x:c r="D5" s="314">
        <x:v>3</x:v>
      </x:c>
      <x:c r="E5" s="320">
        <x:v>1350</x:v>
      </x:c>
      <x:c r="F5" s="320">
        <x:v>4050</x:v>
      </x:c>
      <x:c r="G5" s="320">
        <x:v>1650</x:v>
      </x:c>
      <x:c r="H5" s="313" t="s">
        <x:v>11</x:v>
      </x:c>
      <x:c r="I5" s="313" t="s">
        <x:v>21</x:v>
      </x:c>
      <x:c r="J5" s="316" t="n">
        <x:f>IFERROR(G5/F5,0)</x:f>
        <x:v>0.4074074074074074</x:v>
      </x:c>
      <x:c r="K5" s="312" t="str">
        <x:f>IF(B5="Bilinmeyen Personel","Kontrol","OK")</x:f>
        <x:v>OK</x:v>
      </x:c>
    </x:row>
    <x:row r="6" ht="15.75">
      <x:c r="A6" s="313" t="n">
        <x:f t="shared" si="0">ROW()-ROW($A$2)+1</x:f>
        <x:v>5</x:v>
      </x:c>
      <x:c r="B6" s="313" t="s">
        <x:v>9</x:v>
      </x:c>
      <x:c r="C6" s="313" t="s">
        <x:v>22</x:v>
      </x:c>
      <x:c r="D6" s="314">
        <x:v>2</x:v>
      </x:c>
      <x:c r="E6" s="320">
        <x:v>2180</x:v>
      </x:c>
      <x:c r="F6" s="320">
        <x:v>4360</x:v>
      </x:c>
      <x:c r="G6" s="320">
        <x:v>1360</x:v>
      </x:c>
      <x:c r="H6" s="313" t="s">
        <x:v>11</x:v>
      </x:c>
      <x:c r="I6" s="313" t="s">
        <x:v>18</x:v>
      </x:c>
      <x:c r="J6" s="316" t="n">
        <x:f>IFERROR(G6/F6,0)</x:f>
        <x:v>0.3119266055045872</x:v>
      </x:c>
      <x:c r="K6" s="312" t="str">
        <x:f>IF(B6="Bilinmeyen Personel","Kontrol","OK")</x:f>
        <x:v>OK</x:v>
      </x:c>
    </x:row>
    <x:row r="7" ht="15.75">
      <x:c r="A7" s="313" t="n">
        <x:f t="shared" si="0">ROW()-ROW($A$2)+1</x:f>
        <x:v>6</x:v>
      </x:c>
      <x:c r="B7" s="313" t="s">
        <x:v>23</x:v>
      </x:c>
      <x:c r="C7" s="313" t="s">
        <x:v>24</x:v>
      </x:c>
      <x:c r="D7" s="314">
        <x:v>2</x:v>
      </x:c>
      <x:c r="E7" s="320">
        <x:v>7600</x:v>
      </x:c>
      <x:c r="F7" s="320">
        <x:v>15200</x:v>
      </x:c>
      <x:c r="G7" s="320">
        <x:v>3200</x:v>
      </x:c>
      <x:c r="H7" s="313" t="s">
        <x:v>11</x:v>
      </x:c>
      <x:c r="I7" s="313" t="s">
        <x:v>25</x:v>
      </x:c>
      <x:c r="J7" s="316" t="n">
        <x:f>IFERROR(G7/F7,0)</x:f>
        <x:v>0.21052631578947367</x:v>
      </x:c>
      <x:c r="K7" s="312" t="str">
        <x:f>IF(B7="Bilinmeyen Personel","Kontrol","OK")</x:f>
        <x:v>OK</x:v>
      </x:c>
    </x:row>
    <x:row r="8" ht="15.75">
      <x:c r="A8" s="313" t="n">
        <x:f t="shared" si="0">ROW()-ROW($A$2)+1</x:f>
        <x:v>7</x:v>
      </x:c>
      <x:c r="B8" s="313" t="s">
        <x:v>13</x:v>
      </x:c>
      <x:c r="C8" s="313" t="s">
        <x:v>26</x:v>
      </x:c>
      <x:c r="D8" s="314">
        <x:v>2</x:v>
      </x:c>
      <x:c r="E8" s="320">
        <x:v>7250</x:v>
      </x:c>
      <x:c r="F8" s="320">
        <x:v>14500</x:v>
      </x:c>
      <x:c r="G8" s="320">
        <x:v>4500</x:v>
      </x:c>
      <x:c r="H8" s="313" t="s">
        <x:v>11</x:v>
      </x:c>
      <x:c r="I8" s="313" t="s">
        <x:v>18</x:v>
      </x:c>
      <x:c r="J8" s="316" t="n">
        <x:f>IFERROR(G8/F8,0)</x:f>
        <x:v>0.3103448275862069</x:v>
      </x:c>
      <x:c r="K8" s="312" t="str">
        <x:f>IF(B8="Bilinmeyen Personel","Kontrol","OK")</x:f>
        <x:v>OK</x:v>
      </x:c>
    </x:row>
    <x:row r="9" ht="15.75">
      <x:c r="A9" s="313" t="n">
        <x:f t="shared" si="0">ROW()-ROW($A$2)+1</x:f>
        <x:v>8</x:v>
      </x:c>
      <x:c r="B9" s="313" t="s">
        <x:v>19</x:v>
      </x:c>
      <x:c r="C9" s="313" t="s">
        <x:v>27</x:v>
      </x:c>
      <x:c r="D9" s="314">
        <x:v>3</x:v>
      </x:c>
      <x:c r="E9" s="320">
        <x:v>1100</x:v>
      </x:c>
      <x:c r="F9" s="320">
        <x:v>3300</x:v>
      </x:c>
      <x:c r="G9" s="320">
        <x:v>900</x:v>
      </x:c>
      <x:c r="H9" s="313" t="s">
        <x:v>11</x:v>
      </x:c>
      <x:c r="I9" s="313" t="s">
        <x:v>28</x:v>
      </x:c>
      <x:c r="J9" s="316" t="n">
        <x:f>IFERROR(G9/F9,0)</x:f>
        <x:v>0.2727272727272727</x:v>
      </x:c>
      <x:c r="K9" s="312" t="str">
        <x:f>IF(B9="Bilinmeyen Personel","Kontrol","OK")</x:f>
        <x:v>OK</x:v>
      </x:c>
    </x:row>
    <x:row r="10" ht="15.75">
      <x:c r="A10" s="313" t="n">
        <x:f t="shared" si="0">ROW()-ROW($A$2)+1</x:f>
        <x:v>9</x:v>
      </x:c>
      <x:c r="B10" s="313" t="s">
        <x:v>29</x:v>
      </x:c>
      <x:c r="C10" s="313" t="s">
        <x:v>10</x:v>
      </x:c>
      <x:c r="D10" s="314">
        <x:v>2</x:v>
      </x:c>
      <x:c r="E10" s="320">
        <x:v>6000</x:v>
      </x:c>
      <x:c r="F10" s="320">
        <x:v>12000</x:v>
      </x:c>
      <x:c r="G10" s="320">
        <x:v>4000</x:v>
      </x:c>
      <x:c r="H10" s="313" t="s">
        <x:v>11</x:v>
      </x:c>
      <x:c r="I10" s="313" t="s">
        <x:v>15</x:v>
      </x:c>
      <x:c r="J10" s="316" t="n">
        <x:f>IFERROR(G10/F10,0)</x:f>
        <x:v>0.3333333333333333</x:v>
      </x:c>
      <x:c r="K10" s="312" t="str">
        <x:f>IF(B10="Bilinmeyen Personel","Kontrol","OK")</x:f>
        <x:v>OK</x:v>
      </x:c>
    </x:row>
    <x:row r="11" ht="15.75">
      <x:c r="A11" s="313" t="n">
        <x:f t="shared" si="0">ROW()-ROW($A$2)+1</x:f>
        <x:v>10</x:v>
      </x:c>
      <x:c r="B11" s="313" t="s">
        <x:v>9</x:v>
      </x:c>
      <x:c r="C11" s="313" t="s">
        <x:v>30</x:v>
      </x:c>
      <x:c r="D11" s="314">
        <x:v>1</x:v>
      </x:c>
      <x:c r="E11" s="320">
        <x:v>1200</x:v>
      </x:c>
      <x:c r="F11" s="320">
        <x:v>1200</x:v>
      </x:c>
      <x:c r="G11" s="320">
        <x:v>400</x:v>
      </x:c>
      <x:c r="H11" s="313" t="s">
        <x:v>11</x:v>
      </x:c>
      <x:c r="I11" s="313" t="s">
        <x:v>31</x:v>
      </x:c>
      <x:c r="J11" s="316" t="n">
        <x:f>IFERROR(G11/F11,0)</x:f>
        <x:v>0.3333333333333333</x:v>
      </x:c>
      <x:c r="K11" s="312" t="str">
        <x:f>IF(B11="Bilinmeyen Personel","Kontrol","OK")</x:f>
        <x:v>OK</x:v>
      </x:c>
    </x:row>
    <x:row r="12" ht="15.75">
      <x:c r="A12" s="313" t="n">
        <x:f t="shared" si="0">ROW()-ROW($A$2)+1</x:f>
        <x:v>11</x:v>
      </x:c>
      <x:c r="B12" s="313" t="s">
        <x:v>32</x:v>
      </x:c>
      <x:c r="C12" s="313" t="s">
        <x:v>33</x:v>
      </x:c>
      <x:c r="D12" s="314">
        <x:v>2</x:v>
      </x:c>
      <x:c r="E12" s="320">
        <x:v>1800</x:v>
      </x:c>
      <x:c r="F12" s="320">
        <x:v>3600</x:v>
      </x:c>
      <x:c r="G12" s="320">
        <x:v>2000</x:v>
      </x:c>
      <x:c r="H12" s="313" t="s">
        <x:v>11</x:v>
      </x:c>
      <x:c r="I12" s="313" t="s">
        <x:v>21</x:v>
      </x:c>
      <x:c r="J12" s="316" t="n">
        <x:f>IFERROR(G12/F12,0)</x:f>
        <x:v>0.5555555555555556</x:v>
      </x:c>
      <x:c r="K12" s="312" t="str">
        <x:f>IF(B12="Bilinmeyen Personel","Kontrol","OK")</x:f>
        <x:v>OK</x:v>
      </x:c>
    </x:row>
    <x:row r="13" ht="15.75">
      <x:c r="A13" s="313" t="n">
        <x:f t="shared" si="0">ROW()-ROW($A$2)+1</x:f>
        <x:v>12</x:v>
      </x:c>
      <x:c r="B13" s="313" t="s">
        <x:v>32</x:v>
      </x:c>
      <x:c r="C13" s="313" t="s">
        <x:v>34</x:v>
      </x:c>
      <x:c r="D13" s="314">
        <x:v>2</x:v>
      </x:c>
      <x:c r="E13" s="320">
        <x:v>1090</x:v>
      </x:c>
      <x:c r="F13" s="320">
        <x:v>2180</x:v>
      </x:c>
      <x:c r="G13" s="320">
        <x:v>580</x:v>
      </x:c>
      <x:c r="H13" s="313" t="s">
        <x:v>11</x:v>
      </x:c>
      <x:c r="I13" s="313" t="s">
        <x:v>12</x:v>
      </x:c>
      <x:c r="J13" s="316" t="n">
        <x:f>IFERROR(G13/F13,0)</x:f>
        <x:v>0.26605504587155965</x:v>
      </x:c>
      <x:c r="K13" s="312" t="str">
        <x:f>IF(B13="Bilinmeyen Personel","Kontrol","OK")</x:f>
        <x:v>OK</x:v>
      </x:c>
    </x:row>
    <x:row r="14" ht="15.75">
      <x:c r="A14" s="313" t="n">
        <x:f t="shared" si="0">ROW()-ROW($A$2)+1</x:f>
        <x:v>13</x:v>
      </x:c>
      <x:c r="B14" s="313" t="s">
        <x:v>29</x:v>
      </x:c>
      <x:c r="C14" s="313" t="s">
        <x:v>22</x:v>
      </x:c>
      <x:c r="D14" s="314">
        <x:v>3</x:v>
      </x:c>
      <x:c r="E14" s="320">
        <x:v>2180</x:v>
      </x:c>
      <x:c r="F14" s="320">
        <x:v>6540</x:v>
      </x:c>
      <x:c r="G14" s="320">
        <x:v>2040</x:v>
      </x:c>
      <x:c r="H14" s="313" t="s">
        <x:v>11</x:v>
      </x:c>
      <x:c r="I14" s="313" t="s">
        <x:v>28</x:v>
      </x:c>
      <x:c r="J14" s="316" t="n">
        <x:f>IFERROR(G14/F14,0)</x:f>
        <x:v>0.3119266055045872</x:v>
      </x:c>
      <x:c r="K14" s="312" t="str">
        <x:f>IF(B14="Bilinmeyen Personel","Kontrol","OK")</x:f>
        <x:v>OK</x:v>
      </x:c>
    </x:row>
    <x:row r="15" ht="15.75">
      <x:c r="A15" s="313" t="n">
        <x:f t="shared" si="0">ROW()-ROW($A$2)+1</x:f>
        <x:v>14</x:v>
      </x:c>
      <x:c r="B15" s="313" t="s">
        <x:v>35</x:v>
      </x:c>
      <x:c r="C15" s="313" t="s">
        <x:v>33</x:v>
      </x:c>
      <x:c r="D15" s="314">
        <x:v>3</x:v>
      </x:c>
      <x:c r="E15" s="320">
        <x:v>1800</x:v>
      </x:c>
      <x:c r="F15" s="320">
        <x:v>5400</x:v>
      </x:c>
      <x:c r="G15" s="320">
        <x:v>3000</x:v>
      </x:c>
      <x:c r="H15" s="313" t="s">
        <x:v>11</x:v>
      </x:c>
      <x:c r="I15" s="313" t="s">
        <x:v>21</x:v>
      </x:c>
      <x:c r="J15" s="316" t="n">
        <x:f>IFERROR(G15/F15,0)</x:f>
        <x:v>0.5555555555555556</x:v>
      </x:c>
      <x:c r="K15" s="312" t="str">
        <x:f>IF(B15="Bilinmeyen Personel","Kontrol","OK")</x:f>
        <x:v>OK</x:v>
      </x:c>
    </x:row>
    <x:row r="16" ht="15.75">
      <x:c r="A16" s="313" t="n">
        <x:f t="shared" si="0">ROW()-ROW($A$2)+1</x:f>
        <x:v>15</x:v>
      </x:c>
      <x:c r="B16" s="313" t="s">
        <x:v>23</x:v>
      </x:c>
      <x:c r="C16" s="313" t="s">
        <x:v>36</x:v>
      </x:c>
      <x:c r="D16" s="314">
        <x:v>3</x:v>
      </x:c>
      <x:c r="E16" s="320">
        <x:v>8000</x:v>
      </x:c>
      <x:c r="F16" s="320">
        <x:v>24000</x:v>
      </x:c>
      <x:c r="G16" s="320">
        <x:v>6000</x:v>
      </x:c>
      <x:c r="H16" s="313" t="s">
        <x:v>11</x:v>
      </x:c>
      <x:c r="I16" s="313" t="s">
        <x:v>37</x:v>
      </x:c>
      <x:c r="J16" s="316" t="n">
        <x:f>IFERROR(G16/F16,0)</x:f>
        <x:v>0.25</x:v>
      </x:c>
      <x:c r="K16" s="312" t="str">
        <x:f>IF(B16="Bilinmeyen Personel","Kontrol","OK")</x:f>
        <x:v>OK</x:v>
      </x:c>
    </x:row>
    <x:row r="17" ht="15.75">
      <x:c r="A17" s="313" t="n">
        <x:f t="shared" si="0">ROW()-ROW($A$2)+1</x:f>
        <x:v>16</x:v>
      </x:c>
      <x:c r="B17" s="313" t="s">
        <x:v>29</x:v>
      </x:c>
      <x:c r="C17" s="313" t="s">
        <x:v>14</x:v>
      </x:c>
      <x:c r="D17" s="314">
        <x:v>1</x:v>
      </x:c>
      <x:c r="E17" s="320">
        <x:v>1400</x:v>
      </x:c>
      <x:c r="F17" s="320">
        <x:v>1400</x:v>
      </x:c>
      <x:c r="G17" s="320">
        <x:v>600</x:v>
      </x:c>
      <x:c r="H17" s="313" t="s">
        <x:v>11</x:v>
      </x:c>
      <x:c r="I17" s="313" t="s">
        <x:v>21</x:v>
      </x:c>
      <x:c r="J17" s="316" t="n">
        <x:f>IFERROR(G17/F17,0)</x:f>
        <x:v>0.42857142857142855</x:v>
      </x:c>
      <x:c r="K17" s="312" t="str">
        <x:f>IF(B17="Bilinmeyen Personel","Kontrol","OK")</x:f>
        <x:v>OK</x:v>
      </x:c>
    </x:row>
    <x:row r="18" ht="15.75">
      <x:c r="A18" s="313" t="n">
        <x:f t="shared" si="0">ROW()-ROW($A$2)+1</x:f>
        <x:v>17</x:v>
      </x:c>
      <x:c r="B18" s="313" t="s">
        <x:v>38</x:v>
      </x:c>
      <x:c r="C18" s="313" t="s">
        <x:v>39</x:v>
      </x:c>
      <x:c r="D18" s="314">
        <x:v>1</x:v>
      </x:c>
      <x:c r="E18" s="320">
        <x:v>10590</x:v>
      </x:c>
      <x:c r="F18" s="320">
        <x:v>10590</x:v>
      </x:c>
      <x:c r="G18" s="320">
        <x:v>4590</x:v>
      </x:c>
      <x:c r="H18" s="313" t="s">
        <x:v>11</x:v>
      </x:c>
      <x:c r="I18" s="313" t="s">
        <x:v>37</x:v>
      </x:c>
      <x:c r="J18" s="316" t="n">
        <x:f>IFERROR(G18/F18,0)</x:f>
        <x:v>0.43342776203966005</x:v>
      </x:c>
      <x:c r="K18" s="312" t="str">
        <x:f>IF(B18="Bilinmeyen Personel","Kontrol","OK")</x:f>
        <x:v>OK</x:v>
      </x:c>
    </x:row>
    <x:row r="19" ht="15.75">
      <x:c r="A19" s="313" t="n">
        <x:f t="shared" si="0">ROW()-ROW($A$2)+1</x:f>
        <x:v>18</x:v>
      </x:c>
      <x:c r="B19" s="313" t="s">
        <x:v>40</x:v>
      </x:c>
      <x:c r="C19" s="313" t="s">
        <x:v>20</x:v>
      </x:c>
      <x:c r="D19" s="314">
        <x:v>2</x:v>
      </x:c>
      <x:c r="E19" s="320">
        <x:v>1350</x:v>
      </x:c>
      <x:c r="F19" s="320">
        <x:v>2700</x:v>
      </x:c>
      <x:c r="G19" s="320">
        <x:v>1100</x:v>
      </x:c>
      <x:c r="H19" s="313" t="s">
        <x:v>11</x:v>
      </x:c>
      <x:c r="I19" s="313" t="s">
        <x:v>31</x:v>
      </x:c>
      <x:c r="J19" s="316" t="n">
        <x:f>IFERROR(G19/F19,0)</x:f>
        <x:v>0.4074074074074074</x:v>
      </x:c>
      <x:c r="K19" s="312" t="str">
        <x:f>IF(B19="Bilinmeyen Personel","Kontrol","OK")</x:f>
        <x:v>OK</x:v>
      </x:c>
    </x:row>
    <x:row r="20" ht="15.75">
      <x:c r="A20" s="313" t="n">
        <x:f t="shared" si="0">ROW()-ROW($A$2)+1</x:f>
        <x:v>19</x:v>
      </x:c>
      <x:c r="B20" s="313" t="s">
        <x:v>32</x:v>
      </x:c>
      <x:c r="C20" s="313" t="s">
        <x:v>14</x:v>
      </x:c>
      <x:c r="D20" s="314">
        <x:v>2</x:v>
      </x:c>
      <x:c r="E20" s="320">
        <x:v>1400</x:v>
      </x:c>
      <x:c r="F20" s="320">
        <x:v>2800</x:v>
      </x:c>
      <x:c r="G20" s="320">
        <x:v>1200</x:v>
      </x:c>
      <x:c r="H20" s="313" t="s">
        <x:v>11</x:v>
      </x:c>
      <x:c r="I20" s="313" t="s">
        <x:v>12</x:v>
      </x:c>
      <x:c r="J20" s="316" t="n">
        <x:f>IFERROR(G20/F20,0)</x:f>
        <x:v>0.42857142857142855</x:v>
      </x:c>
      <x:c r="K20" s="312" t="str">
        <x:f>IF(B20="Bilinmeyen Personel","Kontrol","OK")</x:f>
        <x:v>OK</x:v>
      </x:c>
    </x:row>
    <x:row r="21" ht="15.75">
      <x:c r="A21" s="313" t="n">
        <x:f t="shared" si="0">ROW()-ROW($A$2)+1</x:f>
        <x:v>20</x:v>
      </x:c>
      <x:c r="B21" s="313" t="s">
        <x:v>19</x:v>
      </x:c>
      <x:c r="C21" s="313" t="s">
        <x:v>10</x:v>
      </x:c>
      <x:c r="D21" s="314">
        <x:v>1</x:v>
      </x:c>
      <x:c r="E21" s="320">
        <x:v>6000</x:v>
      </x:c>
      <x:c r="F21" s="320">
        <x:v>6000</x:v>
      </x:c>
      <x:c r="G21" s="320">
        <x:v>2000</x:v>
      </x:c>
      <x:c r="H21" s="313" t="s">
        <x:v>11</x:v>
      </x:c>
      <x:c r="I21" s="313" t="s">
        <x:v>41</x:v>
      </x:c>
      <x:c r="J21" s="316" t="n">
        <x:f>IFERROR(G21/F21,0)</x:f>
        <x:v>0.3333333333333333</x:v>
      </x:c>
      <x:c r="K21" s="312" t="str">
        <x:f>IF(B21="Bilinmeyen Personel","Kontrol","OK")</x:f>
        <x:v>OK</x:v>
      </x:c>
    </x:row>
    <x:row r="22" ht="15.75">
      <x:c r="A22" s="313" t="n">
        <x:f t="shared" si="0">ROW()-ROW($A$2)+1</x:f>
        <x:v>21</x:v>
      </x:c>
      <x:c r="B22" s="313" t="s">
        <x:v>38</x:v>
      </x:c>
      <x:c r="C22" s="313" t="s">
        <x:v>27</x:v>
      </x:c>
      <x:c r="D22" s="314">
        <x:v>2</x:v>
      </x:c>
      <x:c r="E22" s="320">
        <x:v>1100</x:v>
      </x:c>
      <x:c r="F22" s="320">
        <x:v>2200</x:v>
      </x:c>
      <x:c r="G22" s="320">
        <x:v>600</x:v>
      </x:c>
      <x:c r="H22" s="313" t="s">
        <x:v>11</x:v>
      </x:c>
      <x:c r="I22" s="313" t="s">
        <x:v>37</x:v>
      </x:c>
      <x:c r="J22" s="316" t="n">
        <x:f>IFERROR(G22/F22,0)</x:f>
        <x:v>0.2727272727272727</x:v>
      </x:c>
      <x:c r="K22" s="312" t="str">
        <x:f>IF(B22="Bilinmeyen Personel","Kontrol","OK")</x:f>
        <x:v>OK</x:v>
      </x:c>
    </x:row>
    <x:row r="23" ht="15.75">
      <x:c r="A23" s="313" t="n">
        <x:f t="shared" si="0">ROW()-ROW($A$2)+1</x:f>
        <x:v>22</x:v>
      </x:c>
      <x:c r="B23" s="313" t="s">
        <x:v>16</x:v>
      </x:c>
      <x:c r="C23" s="313" t="s">
        <x:v>10</x:v>
      </x:c>
      <x:c r="D23" s="314">
        <x:v>2</x:v>
      </x:c>
      <x:c r="E23" s="320">
        <x:v>6000</x:v>
      </x:c>
      <x:c r="F23" s="320">
        <x:v>12000</x:v>
      </x:c>
      <x:c r="G23" s="320">
        <x:v>4000</x:v>
      </x:c>
      <x:c r="H23" s="313" t="s">
        <x:v>11</x:v>
      </x:c>
      <x:c r="I23" s="313" t="s">
        <x:v>42</x:v>
      </x:c>
      <x:c r="J23" s="316" t="n">
        <x:f>IFERROR(G23/F23,0)</x:f>
        <x:v>0.3333333333333333</x:v>
      </x:c>
      <x:c r="K23" s="312" t="str">
        <x:f>IF(B23="Bilinmeyen Personel","Kontrol","OK")</x:f>
        <x:v>OK</x:v>
      </x:c>
    </x:row>
    <x:row r="24" ht="15.75">
      <x:c r="A24" s="313" t="n">
        <x:f t="shared" si="0">ROW()-ROW($A$2)+1</x:f>
        <x:v>23</x:v>
      </x:c>
      <x:c r="B24" s="313" t="s">
        <x:v>40</x:v>
      </x:c>
      <x:c r="C24" s="313" t="s">
        <x:v>43</x:v>
      </x:c>
      <x:c r="D24" s="314">
        <x:v>1</x:v>
      </x:c>
      <x:c r="E24" s="320">
        <x:v>1490</x:v>
      </x:c>
      <x:c r="F24" s="320">
        <x:v>1490</x:v>
      </x:c>
      <x:c r="G24" s="320">
        <x:v>690</x:v>
      </x:c>
      <x:c r="H24" s="313" t="s">
        <x:v>11</x:v>
      </x:c>
      <x:c r="I24" s="313" t="s">
        <x:v>12</x:v>
      </x:c>
      <x:c r="J24" s="316" t="n">
        <x:f>IFERROR(G24/F24,0)</x:f>
        <x:v>0.46308724832214765</x:v>
      </x:c>
      <x:c r="K24" s="312" t="str">
        <x:f>IF(B24="Bilinmeyen Personel","Kontrol","OK")</x:f>
        <x:v>OK</x:v>
      </x:c>
    </x:row>
    <x:row r="25" ht="15.75">
      <x:c r="A25" s="313" t="n">
        <x:f t="shared" si="0">ROW()-ROW($A$2)+1</x:f>
        <x:v>24</x:v>
      </x:c>
      <x:c r="B25" s="313" t="s">
        <x:v>38</x:v>
      </x:c>
      <x:c r="C25" s="313" t="s">
        <x:v>39</x:v>
      </x:c>
      <x:c r="D25" s="314">
        <x:v>2</x:v>
      </x:c>
      <x:c r="E25" s="320">
        <x:v>10590</x:v>
      </x:c>
      <x:c r="F25" s="320">
        <x:v>21180</x:v>
      </x:c>
      <x:c r="G25" s="320">
        <x:v>9180</x:v>
      </x:c>
      <x:c r="H25" s="313" t="s">
        <x:v>11</x:v>
      </x:c>
      <x:c r="I25" s="313" t="s">
        <x:v>42</x:v>
      </x:c>
      <x:c r="J25" s="316" t="n">
        <x:f>IFERROR(G25/F25,0)</x:f>
        <x:v>0.43342776203966005</x:v>
      </x:c>
      <x:c r="K25" s="312" t="str">
        <x:f>IF(B25="Bilinmeyen Personel","Kontrol","OK")</x:f>
        <x:v>OK</x:v>
      </x:c>
    </x:row>
    <x:row r="26" ht="15.75">
      <x:c r="A26" s="313" t="n">
        <x:f t="shared" si="0">ROW()-ROW($A$2)+1</x:f>
        <x:v>25</x:v>
      </x:c>
      <x:c r="B26" s="313" t="s">
        <x:v>16</x:v>
      </x:c>
      <x:c r="C26" s="313" t="s">
        <x:v>36</x:v>
      </x:c>
      <x:c r="D26" s="314">
        <x:v>3</x:v>
      </x:c>
      <x:c r="E26" s="320">
        <x:v>8000</x:v>
      </x:c>
      <x:c r="F26" s="320">
        <x:v>24000</x:v>
      </x:c>
      <x:c r="G26" s="320">
        <x:v>6000</x:v>
      </x:c>
      <x:c r="H26" s="313" t="s">
        <x:v>11</x:v>
      </x:c>
      <x:c r="I26" s="313" t="s">
        <x:v>15</x:v>
      </x:c>
      <x:c r="J26" s="316" t="n">
        <x:f>IFERROR(G26/F26,0)</x:f>
        <x:v>0.25</x:v>
      </x:c>
      <x:c r="K26" s="312" t="str">
        <x:f>IF(B26="Bilinmeyen Personel","Kontrol","OK")</x:f>
        <x:v>OK</x:v>
      </x:c>
    </x:row>
    <x:row r="27" ht="15.75">
      <x:c r="A27" s="313" t="n">
        <x:f t="shared" si="0">ROW()-ROW($A$2)+1</x:f>
        <x:v>26</x:v>
      </x:c>
      <x:c r="B27" s="313" t="s">
        <x:v>32</x:v>
      </x:c>
      <x:c r="C27" s="313" t="s">
        <x:v>27</x:v>
      </x:c>
      <x:c r="D27" s="314">
        <x:v>1</x:v>
      </x:c>
      <x:c r="E27" s="320">
        <x:v>1100</x:v>
      </x:c>
      <x:c r="F27" s="320">
        <x:v>1100</x:v>
      </x:c>
      <x:c r="G27" s="320">
        <x:v>300</x:v>
      </x:c>
      <x:c r="H27" s="313" t="s">
        <x:v>11</x:v>
      </x:c>
      <x:c r="I27" s="313" t="s">
        <x:v>44</x:v>
      </x:c>
      <x:c r="J27" s="316" t="n">
        <x:f>IFERROR(G27/F27,0)</x:f>
        <x:v>0.2727272727272727</x:v>
      </x:c>
      <x:c r="K27" s="312" t="str">
        <x:f>IF(B27="Bilinmeyen Personel","Kontrol","OK")</x:f>
        <x:v>OK</x:v>
      </x:c>
    </x:row>
    <x:row r="28" ht="15.75">
      <x:c r="A28" s="313" t="n">
        <x:f t="shared" si="0">ROW()-ROW($A$2)+1</x:f>
        <x:v>27</x:v>
      </x:c>
      <x:c r="B28" s="313" t="s">
        <x:v>40</x:v>
      </x:c>
      <x:c r="C28" s="313" t="s">
        <x:v>30</x:v>
      </x:c>
      <x:c r="D28" s="314">
        <x:v>1</x:v>
      </x:c>
      <x:c r="E28" s="320">
        <x:v>1200</x:v>
      </x:c>
      <x:c r="F28" s="320">
        <x:v>1200</x:v>
      </x:c>
      <x:c r="G28" s="320">
        <x:v>400</x:v>
      </x:c>
      <x:c r="H28" s="313" t="s">
        <x:v>11</x:v>
      </x:c>
      <x:c r="I28" s="313" t="s">
        <x:v>28</x:v>
      </x:c>
      <x:c r="J28" s="316" t="n">
        <x:f>IFERROR(G28/F28,0)</x:f>
        <x:v>0.3333333333333333</x:v>
      </x:c>
      <x:c r="K28" s="312" t="str">
        <x:f>IF(B28="Bilinmeyen Personel","Kontrol","OK")</x:f>
        <x:v>OK</x:v>
      </x:c>
    </x:row>
    <x:row r="29" ht="15.75">
      <x:c r="A29" s="313" t="n">
        <x:f t="shared" si="0">ROW()-ROW($A$2)+1</x:f>
        <x:v>28</x:v>
      </x:c>
      <x:c r="B29" s="313" t="s">
        <x:v>23</x:v>
      </x:c>
      <x:c r="C29" s="313" t="s">
        <x:v>45</x:v>
      </x:c>
      <x:c r="D29" s="314">
        <x:v>2</x:v>
      </x:c>
      <x:c r="E29" s="320">
        <x:v>4200</x:v>
      </x:c>
      <x:c r="F29" s="320">
        <x:v>8400</x:v>
      </x:c>
      <x:c r="G29" s="320">
        <x:v>2400</x:v>
      </x:c>
      <x:c r="H29" s="313" t="s">
        <x:v>11</x:v>
      </x:c>
      <x:c r="I29" s="313" t="s">
        <x:v>46</x:v>
      </x:c>
      <x:c r="J29" s="316" t="n">
        <x:f>IFERROR(G29/F29,0)</x:f>
        <x:v>0.2857142857142857</x:v>
      </x:c>
      <x:c r="K29" s="312" t="str">
        <x:f>IF(B29="Bilinmeyen Personel","Kontrol","OK")</x:f>
        <x:v>OK</x:v>
      </x:c>
    </x:row>
    <x:row r="30" ht="15.75">
      <x:c r="A30" s="313" t="n">
        <x:f t="shared" si="0">ROW()-ROW($A$2)+1</x:f>
        <x:v>29</x:v>
      </x:c>
      <x:c r="B30" s="313" t="s">
        <x:v>13</x:v>
      </x:c>
      <x:c r="C30" s="313" t="s">
        <x:v>47</x:v>
      </x:c>
      <x:c r="D30" s="314">
        <x:v>3</x:v>
      </x:c>
      <x:c r="E30" s="320">
        <x:v>5775</x:v>
      </x:c>
      <x:c r="F30" s="320">
        <x:v>17325</x:v>
      </x:c>
      <x:c r="G30" s="320">
        <x:v>5325</x:v>
      </x:c>
      <x:c r="H30" s="313" t="s">
        <x:v>11</x:v>
      </x:c>
      <x:c r="I30" s="313" t="s">
        <x:v>44</x:v>
      </x:c>
      <x:c r="J30" s="316" t="n">
        <x:f>IFERROR(G30/F30,0)</x:f>
        <x:v>0.30735930735930733</x:v>
      </x:c>
      <x:c r="K30" s="312" t="str">
        <x:f>IF(B30="Bilinmeyen Personel","Kontrol","OK")</x:f>
        <x:v>OK</x:v>
      </x:c>
    </x:row>
    <x:row r="31" ht="15.75">
      <x:c r="A31" s="313" t="n">
        <x:f t="shared" si="0">ROW()-ROW($A$2)+1</x:f>
        <x:v>30</x:v>
      </x:c>
      <x:c r="B31" s="313" t="s">
        <x:v>48</x:v>
      </x:c>
      <x:c r="C31" s="313" t="s">
        <x:v>24</x:v>
      </x:c>
      <x:c r="D31" s="314">
        <x:v>3</x:v>
      </x:c>
      <x:c r="E31" s="320">
        <x:v>7600</x:v>
      </x:c>
      <x:c r="F31" s="320">
        <x:v>22800</x:v>
      </x:c>
      <x:c r="G31" s="320">
        <x:v>4800</x:v>
      </x:c>
      <x:c r="H31" s="313" t="s">
        <x:v>11</x:v>
      </x:c>
      <x:c r="I31" s="313" t="s">
        <x:v>41</x:v>
      </x:c>
      <x:c r="J31" s="316" t="n">
        <x:f>IFERROR(G31/F31,0)</x:f>
        <x:v>0.21052631578947367</x:v>
      </x:c>
      <x:c r="K31" s="312" t="str">
        <x:f>IF(B31="Bilinmeyen Personel","Kontrol","OK")</x:f>
        <x:v>OK</x:v>
      </x:c>
    </x:row>
    <x:row r="32" ht="15.75">
      <x:c r="A32" s="313" t="n">
        <x:f t="shared" si="0">ROW()-ROW($A$2)+1</x:f>
        <x:v>31</x:v>
      </x:c>
      <x:c r="B32" s="313" t="s">
        <x:v>13</x:v>
      </x:c>
      <x:c r="C32" s="313" t="s">
        <x:v>26</x:v>
      </x:c>
      <x:c r="D32" s="314">
        <x:v>3</x:v>
      </x:c>
      <x:c r="E32" s="320">
        <x:v>7250</x:v>
      </x:c>
      <x:c r="F32" s="320">
        <x:v>21750</x:v>
      </x:c>
      <x:c r="G32" s="320">
        <x:v>6750</x:v>
      </x:c>
      <x:c r="H32" s="313" t="s">
        <x:v>11</x:v>
      </x:c>
      <x:c r="I32" s="313" t="s">
        <x:v>28</x:v>
      </x:c>
      <x:c r="J32" s="316" t="n">
        <x:f>IFERROR(G32/F32,0)</x:f>
        <x:v>0.3103448275862069</x:v>
      </x:c>
      <x:c r="K32" s="312" t="str">
        <x:f>IF(B32="Bilinmeyen Personel","Kontrol","OK")</x:f>
        <x:v>OK</x:v>
      </x:c>
    </x:row>
    <x:row r="33" ht="15.75">
      <x:c r="A33" s="313" t="n">
        <x:f t="shared" si="0">ROW()-ROW($A$2)+1</x:f>
        <x:v>32</x:v>
      </x:c>
      <x:c r="B33" s="313" t="s">
        <x:v>9</x:v>
      </x:c>
      <x:c r="C33" s="313" t="s">
        <x:v>26</x:v>
      </x:c>
      <x:c r="D33" s="314">
        <x:v>3</x:v>
      </x:c>
      <x:c r="E33" s="320">
        <x:v>7250</x:v>
      </x:c>
      <x:c r="F33" s="320">
        <x:v>21750</x:v>
      </x:c>
      <x:c r="G33" s="320">
        <x:v>6750</x:v>
      </x:c>
      <x:c r="H33" s="313" t="s">
        <x:v>11</x:v>
      </x:c>
      <x:c r="I33" s="313" t="s">
        <x:v>46</x:v>
      </x:c>
      <x:c r="J33" s="316" t="n">
        <x:f>IFERROR(G33/F33,0)</x:f>
        <x:v>0.3103448275862069</x:v>
      </x:c>
      <x:c r="K33" s="312" t="str">
        <x:f>IF(B33="Bilinmeyen Personel","Kontrol","OK")</x:f>
        <x:v>OK</x:v>
      </x:c>
    </x:row>
    <x:row r="34" ht="15.75">
      <x:c r="A34" s="313" t="n">
        <x:f t="shared" si="0">ROW()-ROW($A$2)+1</x:f>
        <x:v>33</x:v>
      </x:c>
      <x:c r="B34" s="313" t="s">
        <x:v>38</x:v>
      </x:c>
      <x:c r="C34" s="313" t="s">
        <x:v>26</x:v>
      </x:c>
      <x:c r="D34" s="314">
        <x:v>3</x:v>
      </x:c>
      <x:c r="E34" s="320">
        <x:v>7250</x:v>
      </x:c>
      <x:c r="F34" s="320">
        <x:v>21750</x:v>
      </x:c>
      <x:c r="G34" s="320">
        <x:v>6750</x:v>
      </x:c>
      <x:c r="H34" s="313" t="s">
        <x:v>11</x:v>
      </x:c>
      <x:c r="I34" s="313" t="s">
        <x:v>46</x:v>
      </x:c>
      <x:c r="J34" s="316" t="n">
        <x:f>IFERROR(G34/F34,0)</x:f>
        <x:v>0.3103448275862069</x:v>
      </x:c>
      <x:c r="K34" s="312" t="str">
        <x:f>IF(B34="Bilinmeyen Personel","Kontrol","OK")</x:f>
        <x:v>OK</x:v>
      </x:c>
    </x:row>
    <x:row r="35" ht="15.75">
      <x:c r="A35" s="313" t="n">
        <x:f t="shared" si="0">ROW()-ROW($A$2)+1</x:f>
        <x:v>34</x:v>
      </x:c>
      <x:c r="B35" s="313" t="s">
        <x:v>29</x:v>
      </x:c>
      <x:c r="C35" s="313" t="s">
        <x:v>20</x:v>
      </x:c>
      <x:c r="D35" s="314">
        <x:v>1</x:v>
      </x:c>
      <x:c r="E35" s="320">
        <x:v>1350</x:v>
      </x:c>
      <x:c r="F35" s="320">
        <x:v>1350</x:v>
      </x:c>
      <x:c r="G35" s="320">
        <x:v>550</x:v>
      </x:c>
      <x:c r="H35" s="313" t="s">
        <x:v>49</x:v>
      </x:c>
      <x:c r="I35" s="313" t="s">
        <x:v>31</x:v>
      </x:c>
      <x:c r="J35" s="316" t="n">
        <x:f>IFERROR(G35/F35,0)</x:f>
        <x:v>0.4074074074074074</x:v>
      </x:c>
      <x:c r="K35" s="312" t="str">
        <x:f>IF(B35="Bilinmeyen Personel","Kontrol","OK")</x:f>
        <x:v>OK</x:v>
      </x:c>
    </x:row>
    <x:row r="36" ht="15.75">
      <x:c r="A36" s="313" t="n">
        <x:f t="shared" si="0">ROW()-ROW($A$2)+1</x:f>
        <x:v>35</x:v>
      </x:c>
      <x:c r="B36" s="313" t="s">
        <x:v>13</x:v>
      </x:c>
      <x:c r="C36" s="313" t="s">
        <x:v>26</x:v>
      </x:c>
      <x:c r="D36" s="314">
        <x:v>2</x:v>
      </x:c>
      <x:c r="E36" s="320">
        <x:v>7250</x:v>
      </x:c>
      <x:c r="F36" s="320">
        <x:v>14500</x:v>
      </x:c>
      <x:c r="G36" s="320">
        <x:v>4500</x:v>
      </x:c>
      <x:c r="H36" s="313" t="s">
        <x:v>49</x:v>
      </x:c>
      <x:c r="I36" s="313" t="s">
        <x:v>37</x:v>
      </x:c>
      <x:c r="J36" s="316" t="n">
        <x:f>IFERROR(G36/F36,0)</x:f>
        <x:v>0.3103448275862069</x:v>
      </x:c>
      <x:c r="K36" s="312" t="str">
        <x:f>IF(B36="Bilinmeyen Personel","Kontrol","OK")</x:f>
        <x:v>OK</x:v>
      </x:c>
    </x:row>
    <x:row r="37" ht="15.75">
      <x:c r="A37" s="313" t="n">
        <x:f t="shared" si="0">ROW()-ROW($A$2)+1</x:f>
        <x:v>36</x:v>
      </x:c>
      <x:c r="B37" s="313" t="s">
        <x:v>32</x:v>
      </x:c>
      <x:c r="C37" s="313" t="s">
        <x:v>24</x:v>
      </x:c>
      <x:c r="D37" s="314">
        <x:v>1</x:v>
      </x:c>
      <x:c r="E37" s="320">
        <x:v>7600</x:v>
      </x:c>
      <x:c r="F37" s="320">
        <x:v>7600</x:v>
      </x:c>
      <x:c r="G37" s="320">
        <x:v>1600</x:v>
      </x:c>
      <x:c r="H37" s="313" t="s">
        <x:v>49</x:v>
      </x:c>
      <x:c r="I37" s="313" t="s">
        <x:v>15</x:v>
      </x:c>
      <x:c r="J37" s="316" t="n">
        <x:f>IFERROR(G37/F37,0)</x:f>
        <x:v>0.21052631578947367</x:v>
      </x:c>
      <x:c r="K37" s="312" t="str">
        <x:f>IF(B37="Bilinmeyen Personel","Kontrol","OK")</x:f>
        <x:v>OK</x:v>
      </x:c>
    </x:row>
    <x:row r="38" ht="15.75">
      <x:c r="A38" s="313" t="n">
        <x:f t="shared" si="0">ROW()-ROW($A$2)+1</x:f>
        <x:v>37</x:v>
      </x:c>
      <x:c r="B38" s="313" t="s">
        <x:v>50</x:v>
      </x:c>
      <x:c r="C38" s="313" t="s">
        <x:v>24</x:v>
      </x:c>
      <x:c r="D38" s="314">
        <x:v>3</x:v>
      </x:c>
      <x:c r="E38" s="320">
        <x:v>7600</x:v>
      </x:c>
      <x:c r="F38" s="320">
        <x:v>22800</x:v>
      </x:c>
      <x:c r="G38" s="320">
        <x:v>4800</x:v>
      </x:c>
      <x:c r="H38" s="313" t="s">
        <x:v>49</x:v>
      </x:c>
      <x:c r="I38" s="313" t="s">
        <x:v>41</x:v>
      </x:c>
      <x:c r="J38" s="316" t="n">
        <x:f>IFERROR(G38/F38,0)</x:f>
        <x:v>0.21052631578947367</x:v>
      </x:c>
      <x:c r="K38" s="312" t="str">
        <x:f>IF(B38="Bilinmeyen Personel","Kontrol","OK")</x:f>
        <x:v>OK</x:v>
      </x:c>
    </x:row>
    <x:row r="39" ht="15.75">
      <x:c r="A39" s="313" t="n">
        <x:f t="shared" si="0">ROW()-ROW($A$2)+1</x:f>
        <x:v>38</x:v>
      </x:c>
      <x:c r="B39" s="313" t="s">
        <x:v>13</x:v>
      </x:c>
      <x:c r="C39" s="313" t="s">
        <x:v>43</x:v>
      </x:c>
      <x:c r="D39" s="314">
        <x:v>3</x:v>
      </x:c>
      <x:c r="E39" s="320">
        <x:v>1490</x:v>
      </x:c>
      <x:c r="F39" s="320">
        <x:v>4470</x:v>
      </x:c>
      <x:c r="G39" s="320">
        <x:v>2070</x:v>
      </x:c>
      <x:c r="H39" s="313" t="s">
        <x:v>49</x:v>
      </x:c>
      <x:c r="I39" s="313" t="s">
        <x:v>12</x:v>
      </x:c>
      <x:c r="J39" s="316" t="n">
        <x:f>IFERROR(G39/F39,0)</x:f>
        <x:v>0.46308724832214765</x:v>
      </x:c>
      <x:c r="K39" s="312" t="str">
        <x:f>IF(B39="Bilinmeyen Personel","Kontrol","OK")</x:f>
        <x:v>OK</x:v>
      </x:c>
    </x:row>
    <x:row r="40" ht="15.75">
      <x:c r="A40" s="313" t="n">
        <x:f t="shared" si="0">ROW()-ROW($A$2)+1</x:f>
        <x:v>39</x:v>
      </x:c>
      <x:c r="B40" s="313" t="s">
        <x:v>29</x:v>
      </x:c>
      <x:c r="C40" s="313" t="s">
        <x:v>51</x:v>
      </x:c>
      <x:c r="D40" s="314">
        <x:v>2</x:v>
      </x:c>
      <x:c r="E40" s="320">
        <x:v>2900</x:v>
      </x:c>
      <x:c r="F40" s="320">
        <x:v>5800</x:v>
      </x:c>
      <x:c r="G40" s="320">
        <x:v>1800</x:v>
      </x:c>
      <x:c r="H40" s="313" t="s">
        <x:v>49</x:v>
      </x:c>
      <x:c r="I40" s="313" t="s">
        <x:v>44</x:v>
      </x:c>
      <x:c r="J40" s="316" t="n">
        <x:f>IFERROR(G40/F40,0)</x:f>
        <x:v>0.3103448275862069</x:v>
      </x:c>
      <x:c r="K40" s="312" t="str">
        <x:f>IF(B40="Bilinmeyen Personel","Kontrol","OK")</x:f>
        <x:v>OK</x:v>
      </x:c>
    </x:row>
    <x:row r="41" ht="15.75">
      <x:c r="A41" s="313" t="n">
        <x:f t="shared" si="0">ROW()-ROW($A$2)+1</x:f>
        <x:v>40</x:v>
      </x:c>
      <x:c r="B41" s="313" t="s">
        <x:v>40</x:v>
      </x:c>
      <x:c r="C41" s="313" t="s">
        <x:v>43</x:v>
      </x:c>
      <x:c r="D41" s="314">
        <x:v>1</x:v>
      </x:c>
      <x:c r="E41" s="320">
        <x:v>1490</x:v>
      </x:c>
      <x:c r="F41" s="320">
        <x:v>1490</x:v>
      </x:c>
      <x:c r="G41" s="320">
        <x:v>690</x:v>
      </x:c>
      <x:c r="H41" s="313" t="s">
        <x:v>49</x:v>
      </x:c>
      <x:c r="I41" s="313" t="s">
        <x:v>15</x:v>
      </x:c>
      <x:c r="J41" s="316" t="n">
        <x:f>IFERROR(G41/F41,0)</x:f>
        <x:v>0.46308724832214765</x:v>
      </x:c>
      <x:c r="K41" s="312" t="str">
        <x:f>IF(B41="Bilinmeyen Personel","Kontrol","OK")</x:f>
        <x:v>OK</x:v>
      </x:c>
    </x:row>
    <x:row r="42" ht="15.75">
      <x:c r="A42" s="313" t="n">
        <x:f t="shared" si="0">ROW()-ROW($A$2)+1</x:f>
        <x:v>41</x:v>
      </x:c>
      <x:c r="B42" s="313" t="s">
        <x:v>40</x:v>
      </x:c>
      <x:c r="C42" s="313" t="s">
        <x:v>34</x:v>
      </x:c>
      <x:c r="D42" s="314">
        <x:v>2</x:v>
      </x:c>
      <x:c r="E42" s="320">
        <x:v>1090</x:v>
      </x:c>
      <x:c r="F42" s="320">
        <x:v>2180</x:v>
      </x:c>
      <x:c r="G42" s="320">
        <x:v>580</x:v>
      </x:c>
      <x:c r="H42" s="313" t="s">
        <x:v>49</x:v>
      </x:c>
      <x:c r="I42" s="313" t="s">
        <x:v>25</x:v>
      </x:c>
      <x:c r="J42" s="316" t="n">
        <x:f>IFERROR(G42/F42,0)</x:f>
        <x:v>0.26605504587155965</x:v>
      </x:c>
      <x:c r="K42" s="312" t="str">
        <x:f>IF(B42="Bilinmeyen Personel","Kontrol","OK")</x:f>
        <x:v>OK</x:v>
      </x:c>
    </x:row>
    <x:row r="43" ht="15.75">
      <x:c r="A43" s="313" t="n">
        <x:f t="shared" si="0">ROW()-ROW($A$2)+1</x:f>
        <x:v>42</x:v>
      </x:c>
      <x:c r="B43" s="313" t="s">
        <x:v>29</x:v>
      </x:c>
      <x:c r="C43" s="313" t="s">
        <x:v>30</x:v>
      </x:c>
      <x:c r="D43" s="314">
        <x:v>2</x:v>
      </x:c>
      <x:c r="E43" s="320">
        <x:v>1200</x:v>
      </x:c>
      <x:c r="F43" s="320">
        <x:v>2400</x:v>
      </x:c>
      <x:c r="G43" s="320">
        <x:v>800</x:v>
      </x:c>
      <x:c r="H43" s="313" t="s">
        <x:v>49</x:v>
      </x:c>
      <x:c r="I43" s="313" t="s">
        <x:v>31</x:v>
      </x:c>
      <x:c r="J43" s="316" t="n">
        <x:f>IFERROR(G43/F43,0)</x:f>
        <x:v>0.3333333333333333</x:v>
      </x:c>
      <x:c r="K43" s="312" t="str">
        <x:f>IF(B43="Bilinmeyen Personel","Kontrol","OK")</x:f>
        <x:v>OK</x:v>
      </x:c>
    </x:row>
    <x:row r="44" ht="15.75">
      <x:c r="A44" s="313" t="n">
        <x:f t="shared" si="0">ROW()-ROW($A$2)+1</x:f>
        <x:v>43</x:v>
      </x:c>
      <x:c r="B44" s="313" t="s">
        <x:v>38</x:v>
      </x:c>
      <x:c r="C44" s="313" t="s">
        <x:v>39</x:v>
      </x:c>
      <x:c r="D44" s="314">
        <x:v>2</x:v>
      </x:c>
      <x:c r="E44" s="320">
        <x:v>10590</x:v>
      </x:c>
      <x:c r="F44" s="320">
        <x:v>21180</x:v>
      </x:c>
      <x:c r="G44" s="320">
        <x:v>9180</x:v>
      </x:c>
      <x:c r="H44" s="313" t="s">
        <x:v>49</x:v>
      </x:c>
      <x:c r="I44" s="313" t="s">
        <x:v>41</x:v>
      </x:c>
      <x:c r="J44" s="316" t="n">
        <x:f>IFERROR(G44/F44,0)</x:f>
        <x:v>0.43342776203966005</x:v>
      </x:c>
      <x:c r="K44" s="312" t="str">
        <x:f>IF(B44="Bilinmeyen Personel","Kontrol","OK")</x:f>
        <x:v>OK</x:v>
      </x:c>
    </x:row>
    <x:row r="45" ht="15.75">
      <x:c r="A45" s="313" t="n">
        <x:f t="shared" si="0">ROW()-ROW($A$2)+1</x:f>
        <x:v>44</x:v>
      </x:c>
      <x:c r="B45" s="313" t="s">
        <x:v>32</x:v>
      </x:c>
      <x:c r="C45" s="313" t="s">
        <x:v>45</x:v>
      </x:c>
      <x:c r="D45" s="314">
        <x:v>3</x:v>
      </x:c>
      <x:c r="E45" s="320">
        <x:v>4200</x:v>
      </x:c>
      <x:c r="F45" s="320">
        <x:v>12600</x:v>
      </x:c>
      <x:c r="G45" s="320">
        <x:v>3600</x:v>
      </x:c>
      <x:c r="H45" s="313" t="s">
        <x:v>49</x:v>
      </x:c>
      <x:c r="I45" s="313" t="s">
        <x:v>21</x:v>
      </x:c>
      <x:c r="J45" s="316" t="n">
        <x:f>IFERROR(G45/F45,0)</x:f>
        <x:v>0.2857142857142857</x:v>
      </x:c>
      <x:c r="K45" s="312" t="str">
        <x:f>IF(B45="Bilinmeyen Personel","Kontrol","OK")</x:f>
        <x:v>OK</x:v>
      </x:c>
    </x:row>
    <x:row r="46" ht="15.75">
      <x:c r="A46" s="313" t="n">
        <x:f t="shared" si="0">ROW()-ROW($A$2)+1</x:f>
        <x:v>45</x:v>
      </x:c>
      <x:c r="B46" s="313" t="s">
        <x:v>19</x:v>
      </x:c>
      <x:c r="C46" s="313" t="s">
        <x:v>45</x:v>
      </x:c>
      <x:c r="D46" s="314">
        <x:v>3</x:v>
      </x:c>
      <x:c r="E46" s="320">
        <x:v>4200</x:v>
      </x:c>
      <x:c r="F46" s="320">
        <x:v>12600</x:v>
      </x:c>
      <x:c r="G46" s="320">
        <x:v>3600</x:v>
      </x:c>
      <x:c r="H46" s="313" t="s">
        <x:v>49</x:v>
      </x:c>
      <x:c r="I46" s="313" t="s">
        <x:v>15</x:v>
      </x:c>
      <x:c r="J46" s="316" t="n">
        <x:f>IFERROR(G46/F46,0)</x:f>
        <x:v>0.2857142857142857</x:v>
      </x:c>
      <x:c r="K46" s="312" t="str">
        <x:f>IF(B46="Bilinmeyen Personel","Kontrol","OK")</x:f>
        <x:v>OK</x:v>
      </x:c>
    </x:row>
    <x:row r="47" ht="15.75">
      <x:c r="A47" s="313" t="n">
        <x:f t="shared" si="0">ROW()-ROW($A$2)+1</x:f>
        <x:v>46</x:v>
      </x:c>
      <x:c r="B47" s="313" t="s">
        <x:v>35</x:v>
      </x:c>
      <x:c r="C47" s="313" t="s">
        <x:v>39</x:v>
      </x:c>
      <x:c r="D47" s="314">
        <x:v>2</x:v>
      </x:c>
      <x:c r="E47" s="320">
        <x:v>10590</x:v>
      </x:c>
      <x:c r="F47" s="320">
        <x:v>21180</x:v>
      </x:c>
      <x:c r="G47" s="320">
        <x:v>9180</x:v>
      </x:c>
      <x:c r="H47" s="313" t="s">
        <x:v>49</x:v>
      </x:c>
      <x:c r="I47" s="313" t="s">
        <x:v>12</x:v>
      </x:c>
      <x:c r="J47" s="316" t="n">
        <x:f>IFERROR(G47/F47,0)</x:f>
        <x:v>0.43342776203966005</x:v>
      </x:c>
      <x:c r="K47" s="312" t="str">
        <x:f>IF(B47="Bilinmeyen Personel","Kontrol","OK")</x:f>
        <x:v>OK</x:v>
      </x:c>
    </x:row>
    <x:row r="48" ht="15.75">
      <x:c r="A48" s="313" t="n">
        <x:f t="shared" si="0">ROW()-ROW($A$2)+1</x:f>
        <x:v>47</x:v>
      </x:c>
      <x:c r="B48" s="313" t="s">
        <x:v>50</x:v>
      </x:c>
      <x:c r="C48" s="313" t="s">
        <x:v>52</x:v>
      </x:c>
      <x:c r="D48" s="314">
        <x:v>1</x:v>
      </x:c>
      <x:c r="E48" s="320">
        <x:v>1250</x:v>
      </x:c>
      <x:c r="F48" s="320">
        <x:v>1250</x:v>
      </x:c>
      <x:c r="G48" s="320">
        <x:v>450</x:v>
      </x:c>
      <x:c r="H48" s="313" t="s">
        <x:v>49</x:v>
      </x:c>
      <x:c r="I48" s="313" t="s">
        <x:v>46</x:v>
      </x:c>
      <x:c r="J48" s="316" t="n">
        <x:f>IFERROR(G48/F48,0)</x:f>
        <x:v>0.36</x:v>
      </x:c>
      <x:c r="K48" s="312" t="str">
        <x:f>IF(B48="Bilinmeyen Personel","Kontrol","OK")</x:f>
        <x:v>OK</x:v>
      </x:c>
    </x:row>
    <x:row r="49" ht="15.75">
      <x:c r="A49" s="313" t="n">
        <x:f t="shared" si="0">ROW()-ROW($A$2)+1</x:f>
        <x:v>48</x:v>
      </x:c>
      <x:c r="B49" s="313" t="s">
        <x:v>9</x:v>
      </x:c>
      <x:c r="C49" s="313" t="s">
        <x:v>43</x:v>
      </x:c>
      <x:c r="D49" s="314">
        <x:v>3</x:v>
      </x:c>
      <x:c r="E49" s="320">
        <x:v>1490</x:v>
      </x:c>
      <x:c r="F49" s="320">
        <x:v>4470</x:v>
      </x:c>
      <x:c r="G49" s="320">
        <x:v>2070</x:v>
      </x:c>
      <x:c r="H49" s="313" t="s">
        <x:v>49</x:v>
      </x:c>
      <x:c r="I49" s="313" t="s">
        <x:v>46</x:v>
      </x:c>
      <x:c r="J49" s="316" t="n">
        <x:f>IFERROR(G49/F49,0)</x:f>
        <x:v>0.46308724832214765</x:v>
      </x:c>
      <x:c r="K49" s="312" t="str">
        <x:f>IF(B49="Bilinmeyen Personel","Kontrol","OK")</x:f>
        <x:v>OK</x:v>
      </x:c>
    </x:row>
    <x:row r="50" ht="15.75">
      <x:c r="A50" s="313" t="n">
        <x:f t="shared" si="0">ROW()-ROW($A$2)+1</x:f>
        <x:v>49</x:v>
      </x:c>
      <x:c r="B50" s="313" t="s">
        <x:v>32</x:v>
      </x:c>
      <x:c r="C50" s="313" t="s">
        <x:v>30</x:v>
      </x:c>
      <x:c r="D50" s="314">
        <x:v>2</x:v>
      </x:c>
      <x:c r="E50" s="320">
        <x:v>1200</x:v>
      </x:c>
      <x:c r="F50" s="320">
        <x:v>2400</x:v>
      </x:c>
      <x:c r="G50" s="320">
        <x:v>800</x:v>
      </x:c>
      <x:c r="H50" s="313" t="s">
        <x:v>49</x:v>
      </x:c>
      <x:c r="I50" s="313" t="s">
        <x:v>25</x:v>
      </x:c>
      <x:c r="J50" s="316" t="n">
        <x:f>IFERROR(G50/F50,0)</x:f>
        <x:v>0.3333333333333333</x:v>
      </x:c>
      <x:c r="K50" s="312" t="str">
        <x:f>IF(B50="Bilinmeyen Personel","Kontrol","OK")</x:f>
        <x:v>OK</x:v>
      </x:c>
    </x:row>
    <x:row r="51" ht="15.75">
      <x:c r="A51" s="313" t="n">
        <x:f t="shared" si="0">ROW()-ROW($A$2)+1</x:f>
        <x:v>50</x:v>
      </x:c>
      <x:c r="B51" s="313" t="s">
        <x:v>16</x:v>
      </x:c>
      <x:c r="C51" s="313" t="s">
        <x:v>22</x:v>
      </x:c>
      <x:c r="D51" s="314">
        <x:v>3</x:v>
      </x:c>
      <x:c r="E51" s="320">
        <x:v>2180</x:v>
      </x:c>
      <x:c r="F51" s="320">
        <x:v>6540</x:v>
      </x:c>
      <x:c r="G51" s="320">
        <x:v>2040</x:v>
      </x:c>
      <x:c r="H51" s="313" t="s">
        <x:v>49</x:v>
      </x:c>
      <x:c r="I51" s="313" t="s">
        <x:v>37</x:v>
      </x:c>
      <x:c r="J51" s="316" t="n">
        <x:f>IFERROR(G51/F51,0)</x:f>
        <x:v>0.3119266055045872</x:v>
      </x:c>
      <x:c r="K51" s="312" t="str">
        <x:f>IF(B51="Bilinmeyen Personel","Kontrol","OK")</x:f>
        <x:v>OK</x:v>
      </x:c>
    </x:row>
    <x:row r="52" ht="15.75">
      <x:c r="A52" s="313" t="n">
        <x:f t="shared" si="0">ROW()-ROW($A$2)+1</x:f>
        <x:v>51</x:v>
      </x:c>
      <x:c r="B52" s="313" t="s">
        <x:v>40</x:v>
      </x:c>
      <x:c r="C52" s="313" t="s">
        <x:v>53</x:v>
      </x:c>
      <x:c r="D52" s="314">
        <x:v>3</x:v>
      </x:c>
      <x:c r="E52" s="320">
        <x:v>1200</x:v>
      </x:c>
      <x:c r="F52" s="320">
        <x:v>3600</x:v>
      </x:c>
      <x:c r="G52" s="320">
        <x:v>1200</x:v>
      </x:c>
      <x:c r="H52" s="313" t="s">
        <x:v>49</x:v>
      </x:c>
      <x:c r="I52" s="313" t="s">
        <x:v>18</x:v>
      </x:c>
      <x:c r="J52" s="316" t="n">
        <x:f>IFERROR(G52/F52,0)</x:f>
        <x:v>0.3333333333333333</x:v>
      </x:c>
      <x:c r="K52" s="312" t="str">
        <x:f>IF(B52="Bilinmeyen Personel","Kontrol","OK")</x:f>
        <x:v>OK</x:v>
      </x:c>
    </x:row>
    <x:row r="53" ht="15.75">
      <x:c r="A53" s="313" t="n">
        <x:f t="shared" si="0">ROW()-ROW($A$2)+1</x:f>
        <x:v>52</x:v>
      </x:c>
      <x:c r="B53" s="313" t="s">
        <x:v>9</x:v>
      </x:c>
      <x:c r="C53" s="313" t="s">
        <x:v>33</x:v>
      </x:c>
      <x:c r="D53" s="314">
        <x:v>1</x:v>
      </x:c>
      <x:c r="E53" s="320">
        <x:v>1800</x:v>
      </x:c>
      <x:c r="F53" s="320">
        <x:v>1800</x:v>
      </x:c>
      <x:c r="G53" s="320">
        <x:v>1000</x:v>
      </x:c>
      <x:c r="H53" s="313" t="s">
        <x:v>49</x:v>
      </x:c>
      <x:c r="I53" s="313" t="s">
        <x:v>54</x:v>
      </x:c>
      <x:c r="J53" s="316" t="n">
        <x:f>IFERROR(G53/F53,0)</x:f>
        <x:v>0.5555555555555556</x:v>
      </x:c>
      <x:c r="K53" s="312" t="str">
        <x:f>IF(B53="Bilinmeyen Personel","Kontrol","OK")</x:f>
        <x:v>OK</x:v>
      </x:c>
    </x:row>
    <x:row r="54" ht="15.75">
      <x:c r="A54" s="313" t="n">
        <x:f t="shared" si="0">ROW()-ROW($A$2)+1</x:f>
        <x:v>53</x:v>
      </x:c>
      <x:c r="B54" s="313" t="s">
        <x:v>16</x:v>
      </x:c>
      <x:c r="C54" s="313" t="s">
        <x:v>24</x:v>
      </x:c>
      <x:c r="D54" s="314">
        <x:v>1</x:v>
      </x:c>
      <x:c r="E54" s="320">
        <x:v>7600</x:v>
      </x:c>
      <x:c r="F54" s="320">
        <x:v>7600</x:v>
      </x:c>
      <x:c r="G54" s="320">
        <x:v>1600</x:v>
      </x:c>
      <x:c r="H54" s="313" t="s">
        <x:v>49</x:v>
      </x:c>
      <x:c r="I54" s="313" t="s">
        <x:v>42</x:v>
      </x:c>
      <x:c r="J54" s="316" t="n">
        <x:f>IFERROR(G54/F54,0)</x:f>
        <x:v>0.21052631578947367</x:v>
      </x:c>
      <x:c r="K54" s="312" t="str">
        <x:f>IF(B54="Bilinmeyen Personel","Kontrol","OK")</x:f>
        <x:v>OK</x:v>
      </x:c>
    </x:row>
    <x:row r="55" ht="15.75">
      <x:c r="A55" s="313" t="n">
        <x:f t="shared" si="0">ROW()-ROW($A$2)+1</x:f>
        <x:v>54</x:v>
      </x:c>
      <x:c r="B55" s="313" t="s">
        <x:v>35</x:v>
      </x:c>
      <x:c r="C55" s="313" t="s">
        <x:v>55</x:v>
      </x:c>
      <x:c r="D55" s="314">
        <x:v>1</x:v>
      </x:c>
      <x:c r="E55" s="320">
        <x:v>7530</x:v>
      </x:c>
      <x:c r="F55" s="320">
        <x:v>7530</x:v>
      </x:c>
      <x:c r="G55" s="320">
        <x:v>1530</x:v>
      </x:c>
      <x:c r="H55" s="313" t="s">
        <x:v>49</x:v>
      </x:c>
      <x:c r="I55" s="313" t="s">
        <x:v>37</x:v>
      </x:c>
      <x:c r="J55" s="316" t="n">
        <x:f>IFERROR(G55/F55,0)</x:f>
        <x:v>0.20318725099601595</x:v>
      </x:c>
      <x:c r="K55" s="312" t="str">
        <x:f>IF(B55="Bilinmeyen Personel","Kontrol","OK")</x:f>
        <x:v>OK</x:v>
      </x:c>
    </x:row>
    <x:row r="56" ht="15.75">
      <x:c r="A56" s="313" t="n">
        <x:f t="shared" si="0">ROW()-ROW($A$2)+1</x:f>
        <x:v>55</x:v>
      </x:c>
      <x:c r="B56" s="313" t="s">
        <x:v>50</x:v>
      </x:c>
      <x:c r="C56" s="313" t="s">
        <x:v>43</x:v>
      </x:c>
      <x:c r="D56" s="314">
        <x:v>2</x:v>
      </x:c>
      <x:c r="E56" s="320">
        <x:v>1490</x:v>
      </x:c>
      <x:c r="F56" s="320">
        <x:v>2980</x:v>
      </x:c>
      <x:c r="G56" s="320">
        <x:v>1380</x:v>
      </x:c>
      <x:c r="H56" s="313" t="s">
        <x:v>49</x:v>
      </x:c>
      <x:c r="I56" s="313" t="s">
        <x:v>41</x:v>
      </x:c>
      <x:c r="J56" s="316" t="n">
        <x:f>IFERROR(G56/F56,0)</x:f>
        <x:v>0.46308724832214765</x:v>
      </x:c>
      <x:c r="K56" s="312" t="str">
        <x:f>IF(B56="Bilinmeyen Personel","Kontrol","OK")</x:f>
        <x:v>OK</x:v>
      </x:c>
    </x:row>
    <x:row r="57" ht="15.75">
      <x:c r="A57" s="313" t="n">
        <x:f t="shared" si="0">ROW()-ROW($A$2)+1</x:f>
        <x:v>56</x:v>
      </x:c>
      <x:c r="B57" s="313" t="s">
        <x:v>9</x:v>
      </x:c>
      <x:c r="C57" s="313" t="s">
        <x:v>56</x:v>
      </x:c>
      <x:c r="D57" s="314">
        <x:v>1</x:v>
      </x:c>
      <x:c r="E57" s="320">
        <x:v>5300</x:v>
      </x:c>
      <x:c r="F57" s="320">
        <x:v>5300</x:v>
      </x:c>
      <x:c r="G57" s="320">
        <x:v>1300</x:v>
      </x:c>
      <x:c r="H57" s="313" t="s">
        <x:v>49</x:v>
      </x:c>
      <x:c r="I57" s="313" t="s">
        <x:v>46</x:v>
      </x:c>
      <x:c r="J57" s="316" t="n">
        <x:f>IFERROR(G57/F57,0)</x:f>
        <x:v>0.24528301886792453</x:v>
      </x:c>
      <x:c r="K57" s="312" t="str">
        <x:f>IF(B57="Bilinmeyen Personel","Kontrol","OK")</x:f>
        <x:v>OK</x:v>
      </x:c>
    </x:row>
    <x:row r="58" ht="15.75">
      <x:c r="A58" s="313" t="n">
        <x:f t="shared" si="0">ROW()-ROW($A$2)+1</x:f>
        <x:v>57</x:v>
      </x:c>
      <x:c r="B58" s="313" t="s">
        <x:v>23</x:v>
      </x:c>
      <x:c r="C58" s="313" t="s">
        <x:v>30</x:v>
      </x:c>
      <x:c r="D58" s="314">
        <x:v>2</x:v>
      </x:c>
      <x:c r="E58" s="320">
        <x:v>1200</x:v>
      </x:c>
      <x:c r="F58" s="320">
        <x:v>2400</x:v>
      </x:c>
      <x:c r="G58" s="320">
        <x:v>800</x:v>
      </x:c>
      <x:c r="H58" s="313" t="s">
        <x:v>49</x:v>
      </x:c>
      <x:c r="I58" s="313" t="s">
        <x:v>12</x:v>
      </x:c>
      <x:c r="J58" s="316" t="n">
        <x:f>IFERROR(G58/F58,0)</x:f>
        <x:v>0.3333333333333333</x:v>
      </x:c>
      <x:c r="K58" s="312" t="str">
        <x:f>IF(B58="Bilinmeyen Personel","Kontrol","OK")</x:f>
        <x:v>OK</x:v>
      </x:c>
    </x:row>
    <x:row r="59" ht="15.75">
      <x:c r="A59" s="313" t="n">
        <x:f t="shared" si="0">ROW()-ROW($A$2)+1</x:f>
        <x:v>58</x:v>
      </x:c>
      <x:c r="B59" s="313" t="s">
        <x:v>40</x:v>
      </x:c>
      <x:c r="C59" s="313" t="s">
        <x:v>34</x:v>
      </x:c>
      <x:c r="D59" s="314">
        <x:v>1</x:v>
      </x:c>
      <x:c r="E59" s="320">
        <x:v>1090</x:v>
      </x:c>
      <x:c r="F59" s="320">
        <x:v>1090</x:v>
      </x:c>
      <x:c r="G59" s="320">
        <x:v>290</x:v>
      </x:c>
      <x:c r="H59" s="313" t="s">
        <x:v>49</x:v>
      </x:c>
      <x:c r="I59" s="313" t="s">
        <x:v>18</x:v>
      </x:c>
      <x:c r="J59" s="316" t="n">
        <x:f>IFERROR(G59/F59,0)</x:f>
        <x:v>0.26605504587155965</x:v>
      </x:c>
      <x:c r="K59" s="312" t="str">
        <x:f>IF(B59="Bilinmeyen Personel","Kontrol","OK")</x:f>
        <x:v>OK</x:v>
      </x:c>
    </x:row>
    <x:row r="60" ht="15.75">
      <x:c r="A60" s="313" t="n">
        <x:f t="shared" si="0">ROW()-ROW($A$2)+1</x:f>
        <x:v>59</x:v>
      </x:c>
      <x:c r="B60" s="313" t="s">
        <x:v>23</x:v>
      </x:c>
      <x:c r="C60" s="313" t="s">
        <x:v>26</x:v>
      </x:c>
      <x:c r="D60" s="314">
        <x:v>1</x:v>
      </x:c>
      <x:c r="E60" s="320">
        <x:v>7250</x:v>
      </x:c>
      <x:c r="F60" s="320">
        <x:v>7250</x:v>
      </x:c>
      <x:c r="G60" s="320">
        <x:v>2250</x:v>
      </x:c>
      <x:c r="H60" s="313" t="s">
        <x:v>49</x:v>
      </x:c>
      <x:c r="I60" s="313" t="s">
        <x:v>54</x:v>
      </x:c>
      <x:c r="J60" s="316" t="n">
        <x:f>IFERROR(G60/F60,0)</x:f>
        <x:v>0.3103448275862069</x:v>
      </x:c>
      <x:c r="K60" s="312" t="str">
        <x:f>IF(B60="Bilinmeyen Personel","Kontrol","OK")</x:f>
        <x:v>OK</x:v>
      </x:c>
    </x:row>
    <x:row r="61" ht="15.75">
      <x:c r="A61" s="313" t="n">
        <x:f t="shared" si="0">ROW()-ROW($A$2)+1</x:f>
        <x:v>60</x:v>
      </x:c>
      <x:c r="B61" s="313" t="s">
        <x:v>48</x:v>
      </x:c>
      <x:c r="C61" s="313" t="s">
        <x:v>14</x:v>
      </x:c>
      <x:c r="D61" s="314">
        <x:v>3</x:v>
      </x:c>
      <x:c r="E61" s="320">
        <x:v>1400</x:v>
      </x:c>
      <x:c r="F61" s="320">
        <x:v>4200</x:v>
      </x:c>
      <x:c r="G61" s="320">
        <x:v>1800</x:v>
      </x:c>
      <x:c r="H61" s="313" t="s">
        <x:v>49</x:v>
      </x:c>
      <x:c r="I61" s="313" t="s">
        <x:v>12</x:v>
      </x:c>
      <x:c r="J61" s="316" t="n">
        <x:f>IFERROR(G61/F61,0)</x:f>
        <x:v>0.42857142857142855</x:v>
      </x:c>
      <x:c r="K61" s="312" t="str">
        <x:f>IF(B61="Bilinmeyen Personel","Kontrol","OK")</x:f>
        <x:v>OK</x:v>
      </x:c>
    </x:row>
    <x:row r="62" ht="15.75">
      <x:c r="A62" s="313" t="n">
        <x:f t="shared" si="0">ROW()-ROW($A$2)+1</x:f>
        <x:v>61</x:v>
      </x:c>
      <x:c r="B62" s="313" t="s">
        <x:v>16</x:v>
      </x:c>
      <x:c r="C62" s="313" t="s">
        <x:v>57</x:v>
      </x:c>
      <x:c r="D62" s="314">
        <x:v>1</x:v>
      </x:c>
      <x:c r="E62" s="320">
        <x:v>1500</x:v>
      </x:c>
      <x:c r="F62" s="320">
        <x:v>1500</x:v>
      </x:c>
      <x:c r="G62" s="320">
        <x:v>700</x:v>
      </x:c>
      <x:c r="H62" s="313" t="s">
        <x:v>49</x:v>
      </x:c>
      <x:c r="I62" s="313" t="s">
        <x:v>25</x:v>
      </x:c>
      <x:c r="J62" s="316" t="n">
        <x:f>IFERROR(G62/F62,0)</x:f>
        <x:v>0.4666666666666667</x:v>
      </x:c>
      <x:c r="K62" s="312" t="str">
        <x:f>IF(B62="Bilinmeyen Personel","Kontrol","OK")</x:f>
        <x:v>OK</x:v>
      </x:c>
    </x:row>
    <x:row r="63" ht="15.75">
      <x:c r="A63" s="313" t="n">
        <x:f t="shared" si="0">ROW()-ROW($A$2)+1</x:f>
        <x:v>62</x:v>
      </x:c>
      <x:c r="B63" s="313" t="s">
        <x:v>35</x:v>
      </x:c>
      <x:c r="C63" s="313" t="s">
        <x:v>20</x:v>
      </x:c>
      <x:c r="D63" s="314">
        <x:v>1</x:v>
      </x:c>
      <x:c r="E63" s="320">
        <x:v>1350</x:v>
      </x:c>
      <x:c r="F63" s="320">
        <x:v>1350</x:v>
      </x:c>
      <x:c r="G63" s="320">
        <x:v>550</x:v>
      </x:c>
      <x:c r="H63" s="313" t="s">
        <x:v>49</x:v>
      </x:c>
      <x:c r="I63" s="313" t="s">
        <x:v>37</x:v>
      </x:c>
      <x:c r="J63" s="316" t="n">
        <x:f>IFERROR(G63/F63,0)</x:f>
        <x:v>0.4074074074074074</x:v>
      </x:c>
      <x:c r="K63" s="312" t="str">
        <x:f>IF(B63="Bilinmeyen Personel","Kontrol","OK")</x:f>
        <x:v>OK</x:v>
      </x:c>
    </x:row>
    <x:row r="64" ht="15.75">
      <x:c r="A64" s="313" t="n">
        <x:f t="shared" si="0">ROW()-ROW($A$2)+1</x:f>
        <x:v>63</x:v>
      </x:c>
      <x:c r="B64" s="313" t="s">
        <x:v>35</x:v>
      </x:c>
      <x:c r="C64" s="313" t="s">
        <x:v>30</x:v>
      </x:c>
      <x:c r="D64" s="314">
        <x:v>3</x:v>
      </x:c>
      <x:c r="E64" s="320">
        <x:v>1200</x:v>
      </x:c>
      <x:c r="F64" s="320">
        <x:v>3600</x:v>
      </x:c>
      <x:c r="G64" s="320">
        <x:v>1200</x:v>
      </x:c>
      <x:c r="H64" s="313" t="s">
        <x:v>49</x:v>
      </x:c>
      <x:c r="I64" s="313" t="s">
        <x:v>42</x:v>
      </x:c>
      <x:c r="J64" s="316" t="n">
        <x:f>IFERROR(G64/F64,0)</x:f>
        <x:v>0.3333333333333333</x:v>
      </x:c>
      <x:c r="K64" s="312" t="str">
        <x:f>IF(B64="Bilinmeyen Personel","Kontrol","OK")</x:f>
        <x:v>OK</x:v>
      </x:c>
    </x:row>
    <x:row r="65" ht="15.75">
      <x:c r="A65" s="313" t="n">
        <x:f t="shared" si="0">ROW()-ROW($A$2)+1</x:f>
        <x:v>64</x:v>
      </x:c>
      <x:c r="B65" s="313" t="s">
        <x:v>13</x:v>
      </x:c>
      <x:c r="C65" s="313" t="s">
        <x:v>55</x:v>
      </x:c>
      <x:c r="D65" s="314">
        <x:v>3</x:v>
      </x:c>
      <x:c r="E65" s="320">
        <x:v>7530</x:v>
      </x:c>
      <x:c r="F65" s="320">
        <x:v>22590</x:v>
      </x:c>
      <x:c r="G65" s="320">
        <x:v>4590</x:v>
      </x:c>
      <x:c r="H65" s="313" t="s">
        <x:v>49</x:v>
      </x:c>
      <x:c r="I65" s="313" t="s">
        <x:v>31</x:v>
      </x:c>
      <x:c r="J65" s="316" t="n">
        <x:f>IFERROR(G65/F65,0)</x:f>
        <x:v>0.20318725099601595</x:v>
      </x:c>
      <x:c r="K65" s="312" t="str">
        <x:f>IF(B65="Bilinmeyen Personel","Kontrol","OK")</x:f>
        <x:v>OK</x:v>
      </x:c>
    </x:row>
    <x:row r="66" ht="15.75">
      <x:c r="A66" s="313" t="n">
        <x:f t="shared" si="0">ROW()-ROW($A$2)+1</x:f>
        <x:v>65</x:v>
      </x:c>
      <x:c r="B66" s="313" t="s">
        <x:v>48</x:v>
      </x:c>
      <x:c r="C66" s="313" t="s">
        <x:v>30</x:v>
      </x:c>
      <x:c r="D66" s="314">
        <x:v>1</x:v>
      </x:c>
      <x:c r="E66" s="320">
        <x:v>1200</x:v>
      </x:c>
      <x:c r="F66" s="320">
        <x:v>1200</x:v>
      </x:c>
      <x:c r="G66" s="320">
        <x:v>400</x:v>
      </x:c>
      <x:c r="H66" s="313" t="s">
        <x:v>49</x:v>
      </x:c>
      <x:c r="I66" s="313" t="s">
        <x:v>44</x:v>
      </x:c>
      <x:c r="J66" s="316" t="n">
        <x:f>IFERROR(G66/F66,0)</x:f>
        <x:v>0.3333333333333333</x:v>
      </x:c>
      <x:c r="K66" s="312" t="str">
        <x:f>IF(B66="Bilinmeyen Personel","Kontrol","OK")</x:f>
        <x:v>OK</x:v>
      </x:c>
    </x:row>
    <x:row r="67" ht="15.75">
      <x:c r="A67" s="313" t="n">
        <x:f t="shared" ref="A67:A130" si="1">ROW()-ROW($A$2)+1</x:f>
        <x:v>66</x:v>
      </x:c>
      <x:c r="B67" s="313" t="s">
        <x:v>38</x:v>
      </x:c>
      <x:c r="C67" s="313" t="s">
        <x:v>33</x:v>
      </x:c>
      <x:c r="D67" s="314">
        <x:v>3</x:v>
      </x:c>
      <x:c r="E67" s="320">
        <x:v>1800</x:v>
      </x:c>
      <x:c r="F67" s="320">
        <x:v>5400</x:v>
      </x:c>
      <x:c r="G67" s="320">
        <x:v>3000</x:v>
      </x:c>
      <x:c r="H67" s="313" t="s">
        <x:v>49</x:v>
      </x:c>
      <x:c r="I67" s="313" t="s">
        <x:v>21</x:v>
      </x:c>
      <x:c r="J67" s="316" t="n">
        <x:f>IFERROR(G67/F67,0)</x:f>
        <x:v>0.5555555555555556</x:v>
      </x:c>
      <x:c r="K67" s="312" t="str">
        <x:f>IF(B67="Bilinmeyen Personel","Kontrol","OK")</x:f>
        <x:v>OK</x:v>
      </x:c>
    </x:row>
    <x:row r="68" ht="15.75">
      <x:c r="A68" s="313" t="n">
        <x:f t="shared" si="1">ROW()-ROW($A$2)+1</x:f>
        <x:v>67</x:v>
      </x:c>
      <x:c r="B68" s="313" t="s">
        <x:v>9</x:v>
      </x:c>
      <x:c r="C68" s="313" t="s">
        <x:v>26</x:v>
      </x:c>
      <x:c r="D68" s="314">
        <x:v>1</x:v>
      </x:c>
      <x:c r="E68" s="320">
        <x:v>7250</x:v>
      </x:c>
      <x:c r="F68" s="320">
        <x:v>7250</x:v>
      </x:c>
      <x:c r="G68" s="320">
        <x:v>2250</x:v>
      </x:c>
      <x:c r="H68" s="313" t="s">
        <x:v>49</x:v>
      </x:c>
      <x:c r="I68" s="313" t="s">
        <x:v>37</x:v>
      </x:c>
      <x:c r="J68" s="316" t="n">
        <x:f>IFERROR(G68/F68,0)</x:f>
        <x:v>0.3103448275862069</x:v>
      </x:c>
      <x:c r="K68" s="312" t="str">
        <x:f>IF(B68="Bilinmeyen Personel","Kontrol","OK")</x:f>
        <x:v>OK</x:v>
      </x:c>
    </x:row>
    <x:row r="69" ht="15.75">
      <x:c r="A69" s="313" t="n">
        <x:f t="shared" si="1">ROW()-ROW($A$2)+1</x:f>
        <x:v>68</x:v>
      </x:c>
      <x:c r="B69" s="313" t="s">
        <x:v>40</x:v>
      </x:c>
      <x:c r="C69" s="313" t="s">
        <x:v>43</x:v>
      </x:c>
      <x:c r="D69" s="314">
        <x:v>3</x:v>
      </x:c>
      <x:c r="E69" s="320">
        <x:v>1490</x:v>
      </x:c>
      <x:c r="F69" s="320">
        <x:v>4470</x:v>
      </x:c>
      <x:c r="G69" s="320">
        <x:v>2070</x:v>
      </x:c>
      <x:c r="H69" s="313" t="s">
        <x:v>49</x:v>
      </x:c>
      <x:c r="I69" s="313" t="s">
        <x:v>12</x:v>
      </x:c>
      <x:c r="J69" s="316" t="n">
        <x:f>IFERROR(G69/F69,0)</x:f>
        <x:v>0.46308724832214765</x:v>
      </x:c>
      <x:c r="K69" s="312" t="str">
        <x:f>IF(B69="Bilinmeyen Personel","Kontrol","OK")</x:f>
        <x:v>OK</x:v>
      </x:c>
    </x:row>
    <x:row r="70" ht="15.75">
      <x:c r="A70" s="313" t="n">
        <x:f t="shared" si="1">ROW()-ROW($A$2)+1</x:f>
        <x:v>69</x:v>
      </x:c>
      <x:c r="B70" s="313" t="s">
        <x:v>40</x:v>
      </x:c>
      <x:c r="C70" s="313" t="s">
        <x:v>53</x:v>
      </x:c>
      <x:c r="D70" s="314">
        <x:v>1</x:v>
      </x:c>
      <x:c r="E70" s="320">
        <x:v>1200</x:v>
      </x:c>
      <x:c r="F70" s="320">
        <x:v>1200</x:v>
      </x:c>
      <x:c r="G70" s="320">
        <x:v>400</x:v>
      </x:c>
      <x:c r="H70" s="313" t="s">
        <x:v>49</x:v>
      </x:c>
      <x:c r="I70" s="313" t="s">
        <x:v>41</x:v>
      </x:c>
      <x:c r="J70" s="316" t="n">
        <x:f>IFERROR(G70/F70,0)</x:f>
        <x:v>0.3333333333333333</x:v>
      </x:c>
      <x:c r="K70" s="312" t="str">
        <x:f>IF(B70="Bilinmeyen Personel","Kontrol","OK")</x:f>
        <x:v>OK</x:v>
      </x:c>
    </x:row>
    <x:row r="71" ht="15.75">
      <x:c r="A71" s="313" t="n">
        <x:f t="shared" si="1">ROW()-ROW($A$2)+1</x:f>
        <x:v>70</x:v>
      </x:c>
      <x:c r="B71" s="313" t="str">
        <x:v>Bilinmeyen Personel</x:v>
      </x:c>
      <x:c r="C71" s="313" t="s">
        <x:v>36</x:v>
      </x:c>
      <x:c r="D71" s="314">
        <x:v>1</x:v>
      </x:c>
      <x:c r="E71" s="320">
        <x:v>8000</x:v>
      </x:c>
      <x:c r="F71" s="320">
        <x:v>8000</x:v>
      </x:c>
      <x:c r="G71" s="320">
        <x:v>2000</x:v>
      </x:c>
      <x:c r="H71" s="313" t="s">
        <x:v>49</x:v>
      </x:c>
      <x:c r="I71" s="313" t="s">
        <x:v>28</x:v>
      </x:c>
      <x:c r="J71" s="316" t="n">
        <x:f>IFERROR(G71/F71,0)</x:f>
        <x:v>0.25</x:v>
      </x:c>
      <x:c r="K71" s="312" t="str">
        <x:f>IF(B71="Bilinmeyen Personel","Kontrol","OK")</x:f>
        <x:v>Kontrol</x:v>
      </x:c>
    </x:row>
    <x:row r="72" ht="15.75">
      <x:c r="A72" s="313" t="n">
        <x:f t="shared" si="1">ROW()-ROW($A$2)+1</x:f>
        <x:v>71</x:v>
      </x:c>
      <x:c r="B72" s="313" t="s">
        <x:v>32</x:v>
      </x:c>
      <x:c r="C72" s="313" t="s">
        <x:v>14</x:v>
      </x:c>
      <x:c r="D72" s="314">
        <x:v>1</x:v>
      </x:c>
      <x:c r="E72" s="320">
        <x:v>1400</x:v>
      </x:c>
      <x:c r="F72" s="320">
        <x:v>1400</x:v>
      </x:c>
      <x:c r="G72" s="320">
        <x:v>600</x:v>
      </x:c>
      <x:c r="H72" s="313" t="s">
        <x:v>49</x:v>
      </x:c>
      <x:c r="I72" s="313" t="s">
        <x:v>18</x:v>
      </x:c>
      <x:c r="J72" s="316" t="n">
        <x:f>IFERROR(G72/F72,0)</x:f>
        <x:v>0.42857142857142855</x:v>
      </x:c>
      <x:c r="K72" s="312" t="str">
        <x:f>IF(B72="Bilinmeyen Personel","Kontrol","OK")</x:f>
        <x:v>OK</x:v>
      </x:c>
    </x:row>
    <x:row r="73" ht="15.75">
      <x:c r="A73" s="313" t="n">
        <x:f t="shared" si="1">ROW()-ROW($A$2)+1</x:f>
        <x:v>72</x:v>
      </x:c>
      <x:c r="B73" s="313" t="s">
        <x:v>29</x:v>
      </x:c>
      <x:c r="C73" s="313" t="s">
        <x:v>20</x:v>
      </x:c>
      <x:c r="D73" s="314">
        <x:v>1</x:v>
      </x:c>
      <x:c r="E73" s="320">
        <x:v>1350</x:v>
      </x:c>
      <x:c r="F73" s="320">
        <x:v>1350</x:v>
      </x:c>
      <x:c r="G73" s="320">
        <x:v>550</x:v>
      </x:c>
      <x:c r="H73" s="313" t="s">
        <x:v>49</x:v>
      </x:c>
      <x:c r="I73" s="313" t="s">
        <x:v>42</x:v>
      </x:c>
      <x:c r="J73" s="316" t="n">
        <x:f>IFERROR(G73/F73,0)</x:f>
        <x:v>0.4074074074074074</x:v>
      </x:c>
      <x:c r="K73" s="312" t="str">
        <x:f>IF(B73="Bilinmeyen Personel","Kontrol","OK")</x:f>
        <x:v>OK</x:v>
      </x:c>
    </x:row>
    <x:row r="74" ht="15.75">
      <x:c r="A74" s="313" t="n">
        <x:f t="shared" si="1">ROW()-ROW($A$2)+1</x:f>
        <x:v>73</x:v>
      </x:c>
      <x:c r="B74" s="313" t="s">
        <x:v>38</x:v>
      </x:c>
      <x:c r="C74" s="313" t="s">
        <x:v>53</x:v>
      </x:c>
      <x:c r="D74" s="314">
        <x:v>1</x:v>
      </x:c>
      <x:c r="E74" s="320">
        <x:v>1200</x:v>
      </x:c>
      <x:c r="F74" s="320">
        <x:v>1200</x:v>
      </x:c>
      <x:c r="G74" s="320">
        <x:v>400</x:v>
      </x:c>
      <x:c r="H74" s="313" t="s">
        <x:v>49</x:v>
      </x:c>
      <x:c r="I74" s="313" t="s">
        <x:v>44</x:v>
      </x:c>
      <x:c r="J74" s="316" t="n">
        <x:f>IFERROR(G74/F74,0)</x:f>
        <x:v>0.3333333333333333</x:v>
      </x:c>
      <x:c r="K74" s="312" t="str">
        <x:f>IF(B74="Bilinmeyen Personel","Kontrol","OK")</x:f>
        <x:v>OK</x:v>
      </x:c>
    </x:row>
    <x:row r="75" ht="15.75">
      <x:c r="A75" s="313" t="n">
        <x:f t="shared" si="1">ROW()-ROW($A$2)+1</x:f>
        <x:v>74</x:v>
      </x:c>
      <x:c r="B75" s="313" t="s">
        <x:v>32</x:v>
      </x:c>
      <x:c r="C75" s="313" t="s">
        <x:v>56</x:v>
      </x:c>
      <x:c r="D75" s="314">
        <x:v>1</x:v>
      </x:c>
      <x:c r="E75" s="320">
        <x:v>5300</x:v>
      </x:c>
      <x:c r="F75" s="320">
        <x:v>5300</x:v>
      </x:c>
      <x:c r="G75" s="320">
        <x:v>1300</x:v>
      </x:c>
      <x:c r="H75" s="313" t="s">
        <x:v>49</x:v>
      </x:c>
      <x:c r="I75" s="313" t="s">
        <x:v>31</x:v>
      </x:c>
      <x:c r="J75" s="316" t="n">
        <x:f>IFERROR(G75/F75,0)</x:f>
        <x:v>0.24528301886792453</x:v>
      </x:c>
      <x:c r="K75" s="312" t="str">
        <x:f>IF(B75="Bilinmeyen Personel","Kontrol","OK")</x:f>
        <x:v>OK</x:v>
      </x:c>
    </x:row>
    <x:row r="76" ht="15.75">
      <x:c r="A76" s="313" t="n">
        <x:f t="shared" si="1">ROW()-ROW($A$2)+1</x:f>
        <x:v>75</x:v>
      </x:c>
      <x:c r="B76" s="313" t="s">
        <x:v>40</x:v>
      </x:c>
      <x:c r="C76" s="313" t="s">
        <x:v>39</x:v>
      </x:c>
      <x:c r="D76" s="314">
        <x:v>3</x:v>
      </x:c>
      <x:c r="E76" s="320">
        <x:v>10590</x:v>
      </x:c>
      <x:c r="F76" s="320">
        <x:v>31770</x:v>
      </x:c>
      <x:c r="G76" s="320">
        <x:v>13770</x:v>
      </x:c>
      <x:c r="H76" s="313" t="s">
        <x:v>49</x:v>
      </x:c>
      <x:c r="I76" s="313" t="s">
        <x:v>12</x:v>
      </x:c>
      <x:c r="J76" s="316" t="n">
        <x:f>IFERROR(G76/F76,0)</x:f>
        <x:v>0.43342776203966005</x:v>
      </x:c>
      <x:c r="K76" s="312" t="str">
        <x:f>IF(B76="Bilinmeyen Personel","Kontrol","OK")</x:f>
        <x:v>OK</x:v>
      </x:c>
    </x:row>
    <x:row r="77" ht="15.75">
      <x:c r="A77" s="313" t="n">
        <x:f t="shared" si="1">ROW()-ROW($A$2)+1</x:f>
        <x:v>76</x:v>
      </x:c>
      <x:c r="B77" s="313" t="s">
        <x:v>23</x:v>
      </x:c>
      <x:c r="C77" s="313" t="s">
        <x:v>52</x:v>
      </x:c>
      <x:c r="D77" s="314">
        <x:v>1</x:v>
      </x:c>
      <x:c r="E77" s="320">
        <x:v>1250</x:v>
      </x:c>
      <x:c r="F77" s="320">
        <x:v>1250</x:v>
      </x:c>
      <x:c r="G77" s="320">
        <x:v>450</x:v>
      </x:c>
      <x:c r="H77" s="313" t="s">
        <x:v>49</x:v>
      </x:c>
      <x:c r="I77" s="313" t="s">
        <x:v>37</x:v>
      </x:c>
      <x:c r="J77" s="316" t="n">
        <x:f>IFERROR(G77/F77,0)</x:f>
        <x:v>0.36</x:v>
      </x:c>
      <x:c r="K77" s="312" t="str">
        <x:f>IF(B77="Bilinmeyen Personel","Kontrol","OK")</x:f>
        <x:v>OK</x:v>
      </x:c>
    </x:row>
    <x:row r="78" ht="15.75">
      <x:c r="A78" s="313" t="n">
        <x:f t="shared" si="1">ROW()-ROW($A$2)+1</x:f>
        <x:v>77</x:v>
      </x:c>
      <x:c r="B78" s="313" t="s">
        <x:v>50</x:v>
      </x:c>
      <x:c r="C78" s="313" t="s">
        <x:v>53</x:v>
      </x:c>
      <x:c r="D78" s="314">
        <x:v>1</x:v>
      </x:c>
      <x:c r="E78" s="320">
        <x:v>1200</x:v>
      </x:c>
      <x:c r="F78" s="320">
        <x:v>1200</x:v>
      </x:c>
      <x:c r="G78" s="320">
        <x:v>400</x:v>
      </x:c>
      <x:c r="H78" s="313" t="s">
        <x:v>49</x:v>
      </x:c>
      <x:c r="I78" s="313" t="s">
        <x:v>46</x:v>
      </x:c>
      <x:c r="J78" s="316" t="n">
        <x:f>IFERROR(G78/F78,0)</x:f>
        <x:v>0.3333333333333333</x:v>
      </x:c>
      <x:c r="K78" s="312" t="str">
        <x:f>IF(B78="Bilinmeyen Personel","Kontrol","OK")</x:f>
        <x:v>OK</x:v>
      </x:c>
    </x:row>
    <x:row r="79" ht="15.75">
      <x:c r="A79" s="313" t="n">
        <x:f t="shared" si="1">ROW()-ROW($A$2)+1</x:f>
        <x:v>78</x:v>
      </x:c>
      <x:c r="B79" s="313" t="s">
        <x:v>23</x:v>
      </x:c>
      <x:c r="C79" s="313" t="s">
        <x:v>14</x:v>
      </x:c>
      <x:c r="D79" s="314">
        <x:v>3</x:v>
      </x:c>
      <x:c r="E79" s="320">
        <x:v>1400</x:v>
      </x:c>
      <x:c r="F79" s="320">
        <x:v>4200</x:v>
      </x:c>
      <x:c r="G79" s="320">
        <x:v>1800</x:v>
      </x:c>
      <x:c r="H79" s="313" t="s">
        <x:v>49</x:v>
      </x:c>
      <x:c r="I79" s="313" t="s">
        <x:v>46</x:v>
      </x:c>
      <x:c r="J79" s="316" t="n">
        <x:f>IFERROR(G79/F79,0)</x:f>
        <x:v>0.42857142857142855</x:v>
      </x:c>
      <x:c r="K79" s="312" t="str">
        <x:f>IF(B79="Bilinmeyen Personel","Kontrol","OK")</x:f>
        <x:v>OK</x:v>
      </x:c>
    </x:row>
    <x:row r="80" ht="15.75">
      <x:c r="A80" s="313" t="n">
        <x:f t="shared" si="1">ROW()-ROW($A$2)+1</x:f>
        <x:v>79</x:v>
      </x:c>
      <x:c r="B80" s="313" t="s">
        <x:v>50</x:v>
      </x:c>
      <x:c r="C80" s="313" t="s">
        <x:v>55</x:v>
      </x:c>
      <x:c r="D80" s="314">
        <x:v>2</x:v>
      </x:c>
      <x:c r="E80" s="320">
        <x:v>7530</x:v>
      </x:c>
      <x:c r="F80" s="320">
        <x:v>15060</x:v>
      </x:c>
      <x:c r="G80" s="320">
        <x:v>3060</x:v>
      </x:c>
      <x:c r="H80" s="313" t="s">
        <x:v>49</x:v>
      </x:c>
      <x:c r="I80" s="313" t="s">
        <x:v>31</x:v>
      </x:c>
      <x:c r="J80" s="316" t="n">
        <x:f>IFERROR(G80/F80,0)</x:f>
        <x:v>0.20318725099601595</x:v>
      </x:c>
      <x:c r="K80" s="312" t="str">
        <x:f>IF(B80="Bilinmeyen Personel","Kontrol","OK")</x:f>
        <x:v>OK</x:v>
      </x:c>
    </x:row>
    <x:row r="81" ht="15.75">
      <x:c r="A81" s="313" t="n">
        <x:f t="shared" si="1">ROW()-ROW($A$2)+1</x:f>
        <x:v>80</x:v>
      </x:c>
      <x:c r="B81" s="313" t="s">
        <x:v>32</x:v>
      </x:c>
      <x:c r="C81" s="313" t="s">
        <x:v>24</x:v>
      </x:c>
      <x:c r="D81" s="314">
        <x:v>1</x:v>
      </x:c>
      <x:c r="E81" s="320">
        <x:v>7600</x:v>
      </x:c>
      <x:c r="F81" s="320">
        <x:v>7600</x:v>
      </x:c>
      <x:c r="G81" s="320">
        <x:v>1600</x:v>
      </x:c>
      <x:c r="H81" s="313" t="s">
        <x:v>49</x:v>
      </x:c>
      <x:c r="I81" s="313" t="s">
        <x:v>37</x:v>
      </x:c>
      <x:c r="J81" s="316" t="n">
        <x:f>IFERROR(G81/F81,0)</x:f>
        <x:v>0.21052631578947367</x:v>
      </x:c>
      <x:c r="K81" s="312" t="str">
        <x:f>IF(B81="Bilinmeyen Personel","Kontrol","OK")</x:f>
        <x:v>OK</x:v>
      </x:c>
    </x:row>
    <x:row r="82" ht="15.75">
      <x:c r="A82" s="313" t="n">
        <x:f t="shared" si="1">ROW()-ROW($A$2)+1</x:f>
        <x:v>81</x:v>
      </x:c>
      <x:c r="B82" s="313" t="s">
        <x:v>50</x:v>
      </x:c>
      <x:c r="C82" s="313" t="s">
        <x:v>57</x:v>
      </x:c>
      <x:c r="D82" s="314">
        <x:v>1</x:v>
      </x:c>
      <x:c r="E82" s="320">
        <x:v>1500</x:v>
      </x:c>
      <x:c r="F82" s="320">
        <x:v>1500</x:v>
      </x:c>
      <x:c r="G82" s="320">
        <x:v>700</x:v>
      </x:c>
      <x:c r="H82" s="313" t="s">
        <x:v>49</x:v>
      </x:c>
      <x:c r="I82" s="313" t="s">
        <x:v>12</x:v>
      </x:c>
      <x:c r="J82" s="316" t="n">
        <x:f>IFERROR(G82/F82,0)</x:f>
        <x:v>0.4666666666666667</x:v>
      </x:c>
      <x:c r="K82" s="312" t="str">
        <x:f>IF(B82="Bilinmeyen Personel","Kontrol","OK")</x:f>
        <x:v>OK</x:v>
      </x:c>
    </x:row>
    <x:row r="83" ht="15.75">
      <x:c r="A83" s="313" t="n">
        <x:f t="shared" si="1">ROW()-ROW($A$2)+1</x:f>
        <x:v>82</x:v>
      </x:c>
      <x:c r="B83" s="313" t="s">
        <x:v>40</x:v>
      </x:c>
      <x:c r="C83" s="313" t="s">
        <x:v>22</x:v>
      </x:c>
      <x:c r="D83" s="314">
        <x:v>2</x:v>
      </x:c>
      <x:c r="E83" s="320">
        <x:v>2180</x:v>
      </x:c>
      <x:c r="F83" s="320">
        <x:v>4360</x:v>
      </x:c>
      <x:c r="G83" s="320">
        <x:v>1360</x:v>
      </x:c>
      <x:c r="H83" s="313" t="s">
        <x:v>49</x:v>
      </x:c>
      <x:c r="I83" s="313" t="s">
        <x:v>28</x:v>
      </x:c>
      <x:c r="J83" s="316" t="n">
        <x:f>IFERROR(G83/F83,0)</x:f>
        <x:v>0.3119266055045872</x:v>
      </x:c>
      <x:c r="K83" s="312" t="str">
        <x:f>IF(B83="Bilinmeyen Personel","Kontrol","OK")</x:f>
        <x:v>OK</x:v>
      </x:c>
    </x:row>
    <x:row r="84" ht="15.75">
      <x:c r="A84" s="313" t="n">
        <x:f t="shared" si="1">ROW()-ROW($A$2)+1</x:f>
        <x:v>83</x:v>
      </x:c>
      <x:c r="B84" s="313" t="s">
        <x:v>19</x:v>
      </x:c>
      <x:c r="C84" s="313" t="s">
        <x:v>22</x:v>
      </x:c>
      <x:c r="D84" s="314">
        <x:v>1</x:v>
      </x:c>
      <x:c r="E84" s="320">
        <x:v>2180</x:v>
      </x:c>
      <x:c r="F84" s="320">
        <x:v>2180</x:v>
      </x:c>
      <x:c r="G84" s="320">
        <x:v>680</x:v>
      </x:c>
      <x:c r="H84" s="313" t="s">
        <x:v>49</x:v>
      </x:c>
      <x:c r="I84" s="313" t="s">
        <x:v>21</x:v>
      </x:c>
      <x:c r="J84" s="316" t="n">
        <x:f>IFERROR(G84/F84,0)</x:f>
        <x:v>0.3119266055045872</x:v>
      </x:c>
      <x:c r="K84" s="312" t="str">
        <x:f>IF(B84="Bilinmeyen Personel","Kontrol","OK")</x:f>
        <x:v>OK</x:v>
      </x:c>
    </x:row>
    <x:row r="85" ht="15.75">
      <x:c r="A85" s="313" t="n">
        <x:f t="shared" si="1">ROW()-ROW($A$2)+1</x:f>
        <x:v>84</x:v>
      </x:c>
      <x:c r="B85" s="313" t="s">
        <x:v>40</x:v>
      </x:c>
      <x:c r="C85" s="313" t="s">
        <x:v>47</x:v>
      </x:c>
      <x:c r="D85" s="314">
        <x:v>1</x:v>
      </x:c>
      <x:c r="E85" s="320">
        <x:v>5775</x:v>
      </x:c>
      <x:c r="F85" s="320">
        <x:v>5775</x:v>
      </x:c>
      <x:c r="G85" s="320">
        <x:v>1775</x:v>
      </x:c>
      <x:c r="H85" s="313" t="s">
        <x:v>49</x:v>
      </x:c>
      <x:c r="I85" s="313" t="s">
        <x:v>41</x:v>
      </x:c>
      <x:c r="J85" s="316" t="n">
        <x:f>IFERROR(G85/F85,0)</x:f>
        <x:v>0.30735930735930733</x:v>
      </x:c>
      <x:c r="K85" s="312" t="str">
        <x:f>IF(B85="Bilinmeyen Personel","Kontrol","OK")</x:f>
        <x:v>OK</x:v>
      </x:c>
    </x:row>
    <x:row r="86" ht="15.75">
      <x:c r="A86" s="313" t="n">
        <x:f t="shared" si="1">ROW()-ROW($A$2)+1</x:f>
        <x:v>85</x:v>
      </x:c>
      <x:c r="B86" s="313" t="s">
        <x:v>40</x:v>
      </x:c>
      <x:c r="C86" s="313" t="s">
        <x:v>27</x:v>
      </x:c>
      <x:c r="D86" s="314">
        <x:v>3</x:v>
      </x:c>
      <x:c r="E86" s="320">
        <x:v>1100</x:v>
      </x:c>
      <x:c r="F86" s="320">
        <x:v>3300</x:v>
      </x:c>
      <x:c r="G86" s="320">
        <x:v>900</x:v>
      </x:c>
      <x:c r="H86" s="313" t="s">
        <x:v>49</x:v>
      </x:c>
      <x:c r="I86" s="313" t="s">
        <x:v>44</x:v>
      </x:c>
      <x:c r="J86" s="316" t="n">
        <x:f>IFERROR(G86/F86,0)</x:f>
        <x:v>0.2727272727272727</x:v>
      </x:c>
      <x:c r="K86" s="312" t="str">
        <x:f>IF(B86="Bilinmeyen Personel","Kontrol","OK")</x:f>
        <x:v>OK</x:v>
      </x:c>
    </x:row>
    <x:row r="87" ht="15.75">
      <x:c r="A87" s="313" t="n">
        <x:f t="shared" si="1">ROW()-ROW($A$2)+1</x:f>
        <x:v>86</x:v>
      </x:c>
      <x:c r="B87" s="313" t="s">
        <x:v>48</x:v>
      </x:c>
      <x:c r="C87" s="313" t="s">
        <x:v>47</x:v>
      </x:c>
      <x:c r="D87" s="314">
        <x:v>1</x:v>
      </x:c>
      <x:c r="E87" s="320">
        <x:v>5775</x:v>
      </x:c>
      <x:c r="F87" s="320">
        <x:v>5775</x:v>
      </x:c>
      <x:c r="G87" s="320">
        <x:v>1775</x:v>
      </x:c>
      <x:c r="H87" s="313" t="s">
        <x:v>49</x:v>
      </x:c>
      <x:c r="I87" s="313" t="s">
        <x:v>41</x:v>
      </x:c>
      <x:c r="J87" s="316" t="n">
        <x:f>IFERROR(G87/F87,0)</x:f>
        <x:v>0.30735930735930733</x:v>
      </x:c>
      <x:c r="K87" s="312" t="str">
        <x:f>IF(B87="Bilinmeyen Personel","Kontrol","OK")</x:f>
        <x:v>OK</x:v>
      </x:c>
    </x:row>
    <x:row r="88" ht="15.75">
      <x:c r="A88" s="313" t="n">
        <x:f t="shared" si="1">ROW()-ROW($A$2)+1</x:f>
        <x:v>87</x:v>
      </x:c>
      <x:c r="B88" s="313" t="s">
        <x:v>35</x:v>
      </x:c>
      <x:c r="C88" s="313" t="s">
        <x:v>20</x:v>
      </x:c>
      <x:c r="D88" s="314">
        <x:v>1</x:v>
      </x:c>
      <x:c r="E88" s="320">
        <x:v>1350</x:v>
      </x:c>
      <x:c r="F88" s="320">
        <x:v>1350</x:v>
      </x:c>
      <x:c r="G88" s="320">
        <x:v>550</x:v>
      </x:c>
      <x:c r="H88" s="313" t="s">
        <x:v>49</x:v>
      </x:c>
      <x:c r="I88" s="313" t="s">
        <x:v>28</x:v>
      </x:c>
      <x:c r="J88" s="316" t="n">
        <x:f>IFERROR(G88/F88,0)</x:f>
        <x:v>0.4074074074074074</x:v>
      </x:c>
      <x:c r="K88" s="312" t="str">
        <x:f>IF(B88="Bilinmeyen Personel","Kontrol","OK")</x:f>
        <x:v>OK</x:v>
      </x:c>
    </x:row>
    <x:row r="89" ht="15.75">
      <x:c r="A89" s="313" t="n">
        <x:f t="shared" si="1">ROW()-ROW($A$2)+1</x:f>
        <x:v>88</x:v>
      </x:c>
      <x:c r="B89" s="313" t="s">
        <x:v>9</x:v>
      </x:c>
      <x:c r="C89" s="313" t="s">
        <x:v>24</x:v>
      </x:c>
      <x:c r="D89" s="314">
        <x:v>3</x:v>
      </x:c>
      <x:c r="E89" s="320">
        <x:v>7600</x:v>
      </x:c>
      <x:c r="F89" s="320">
        <x:v>22800</x:v>
      </x:c>
      <x:c r="G89" s="320">
        <x:v>4800</x:v>
      </x:c>
      <x:c r="H89" s="313" t="s">
        <x:v>49</x:v>
      </x:c>
      <x:c r="I89" s="313" t="s">
        <x:v>54</x:v>
      </x:c>
      <x:c r="J89" s="316" t="n">
        <x:f>IFERROR(G89/F89,0)</x:f>
        <x:v>0.21052631578947367</x:v>
      </x:c>
      <x:c r="K89" s="312" t="str">
        <x:f>IF(B89="Bilinmeyen Personel","Kontrol","OK")</x:f>
        <x:v>OK</x:v>
      </x:c>
    </x:row>
    <x:row r="90" ht="15.75">
      <x:c r="A90" s="313" t="n">
        <x:f t="shared" si="1">ROW()-ROW($A$2)+1</x:f>
        <x:v>89</x:v>
      </x:c>
      <x:c r="B90" s="313" t="s">
        <x:v>16</x:v>
      </x:c>
      <x:c r="C90" s="313" t="s">
        <x:v>26</x:v>
      </x:c>
      <x:c r="D90" s="314">
        <x:v>3</x:v>
      </x:c>
      <x:c r="E90" s="320">
        <x:v>7250</x:v>
      </x:c>
      <x:c r="F90" s="320">
        <x:v>21750</x:v>
      </x:c>
      <x:c r="G90" s="320">
        <x:v>6750</x:v>
      </x:c>
      <x:c r="H90" s="313" t="s">
        <x:v>49</x:v>
      </x:c>
      <x:c r="I90" s="313" t="s">
        <x:v>31</x:v>
      </x:c>
      <x:c r="J90" s="316" t="n">
        <x:f>IFERROR(G90/F90,0)</x:f>
        <x:v>0.3103448275862069</x:v>
      </x:c>
      <x:c r="K90" s="312" t="str">
        <x:f>IF(B90="Bilinmeyen Personel","Kontrol","OK")</x:f>
        <x:v>OK</x:v>
      </x:c>
    </x:row>
    <x:row r="91" ht="15.75">
      <x:c r="A91" s="313" t="n">
        <x:f t="shared" si="1">ROW()-ROW($A$2)+1</x:f>
        <x:v>90</x:v>
      </x:c>
      <x:c r="B91" s="313" t="s">
        <x:v>50</x:v>
      </x:c>
      <x:c r="C91" s="313" t="s">
        <x:v>43</x:v>
      </x:c>
      <x:c r="D91" s="314">
        <x:v>2</x:v>
      </x:c>
      <x:c r="E91" s="320">
        <x:v>1490</x:v>
      </x:c>
      <x:c r="F91" s="320">
        <x:v>2980</x:v>
      </x:c>
      <x:c r="G91" s="320">
        <x:v>1380</x:v>
      </x:c>
      <x:c r="H91" s="313" t="s">
        <x:v>49</x:v>
      </x:c>
      <x:c r="I91" s="313" t="s">
        <x:v>54</x:v>
      </x:c>
      <x:c r="J91" s="316" t="n">
        <x:f>IFERROR(G91/F91,0)</x:f>
        <x:v>0.46308724832214765</x:v>
      </x:c>
      <x:c r="K91" s="312" t="str">
        <x:f>IF(B91="Bilinmeyen Personel","Kontrol","OK")</x:f>
        <x:v>OK</x:v>
      </x:c>
    </x:row>
    <x:row r="92" ht="15.75">
      <x:c r="A92" s="313" t="n">
        <x:f t="shared" si="1">ROW()-ROW($A$2)+1</x:f>
        <x:v>91</x:v>
      </x:c>
      <x:c r="B92" s="313" t="s">
        <x:v>19</x:v>
      </x:c>
      <x:c r="C92" s="313" t="s">
        <x:v>43</x:v>
      </x:c>
      <x:c r="D92" s="314">
        <x:v>2</x:v>
      </x:c>
      <x:c r="E92" s="320">
        <x:v>1490</x:v>
      </x:c>
      <x:c r="F92" s="320">
        <x:v>2980</x:v>
      </x:c>
      <x:c r="G92" s="320">
        <x:v>1380</x:v>
      </x:c>
      <x:c r="H92" s="313" t="s">
        <x:v>49</x:v>
      </x:c>
      <x:c r="I92" s="313" t="s">
        <x:v>15</x:v>
      </x:c>
      <x:c r="J92" s="316" t="n">
        <x:f>IFERROR(G92/F92,0)</x:f>
        <x:v>0.46308724832214765</x:v>
      </x:c>
      <x:c r="K92" s="312" t="str">
        <x:f>IF(B92="Bilinmeyen Personel","Kontrol","OK")</x:f>
        <x:v>OK</x:v>
      </x:c>
    </x:row>
    <x:row r="93" ht="15.75">
      <x:c r="A93" s="313" t="n">
        <x:f t="shared" si="1">ROW()-ROW($A$2)+1</x:f>
        <x:v>92</x:v>
      </x:c>
      <x:c r="B93" s="313" t="s">
        <x:v>38</x:v>
      </x:c>
      <x:c r="C93" s="313" t="s">
        <x:v>34</x:v>
      </x:c>
      <x:c r="D93" s="314">
        <x:v>2</x:v>
      </x:c>
      <x:c r="E93" s="320">
        <x:v>1090</x:v>
      </x:c>
      <x:c r="F93" s="320">
        <x:v>2180</x:v>
      </x:c>
      <x:c r="G93" s="320">
        <x:v>580</x:v>
      </x:c>
      <x:c r="H93" s="313" t="s">
        <x:v>49</x:v>
      </x:c>
      <x:c r="I93" s="313" t="s">
        <x:v>37</x:v>
      </x:c>
      <x:c r="J93" s="316" t="n">
        <x:f>IFERROR(G93/F93,0)</x:f>
        <x:v>0.26605504587155965</x:v>
      </x:c>
      <x:c r="K93" s="312" t="str">
        <x:f>IF(B93="Bilinmeyen Personel","Kontrol","OK")</x:f>
        <x:v>OK</x:v>
      </x:c>
    </x:row>
    <x:row r="94" ht="15.75">
      <x:c r="A94" s="313" t="n">
        <x:f t="shared" si="1">ROW()-ROW($A$2)+1</x:f>
        <x:v>93</x:v>
      </x:c>
      <x:c r="B94" s="313" t="s">
        <x:v>38</x:v>
      </x:c>
      <x:c r="C94" s="313" t="s">
        <x:v>30</x:v>
      </x:c>
      <x:c r="D94" s="314">
        <x:v>3</x:v>
      </x:c>
      <x:c r="E94" s="320">
        <x:v>1200</x:v>
      </x:c>
      <x:c r="F94" s="320">
        <x:v>3600</x:v>
      </x:c>
      <x:c r="G94" s="320">
        <x:v>1200</x:v>
      </x:c>
      <x:c r="H94" s="313" t="s">
        <x:v>49</x:v>
      </x:c>
      <x:c r="I94" s="313" t="s">
        <x:v>15</x:v>
      </x:c>
      <x:c r="J94" s="316" t="n">
        <x:f>IFERROR(G94/F94,0)</x:f>
        <x:v>0.3333333333333333</x:v>
      </x:c>
      <x:c r="K94" s="312" t="str">
        <x:f>IF(B94="Bilinmeyen Personel","Kontrol","OK")</x:f>
        <x:v>OK</x:v>
      </x:c>
    </x:row>
    <x:row r="95" ht="15.75">
      <x:c r="A95" s="313" t="n">
        <x:f t="shared" si="1">ROW()-ROW($A$2)+1</x:f>
        <x:v>94</x:v>
      </x:c>
      <x:c r="B95" s="313" t="s">
        <x:v>50</x:v>
      </x:c>
      <x:c r="C95" s="313" t="s">
        <x:v>34</x:v>
      </x:c>
      <x:c r="D95" s="314">
        <x:v>2</x:v>
      </x:c>
      <x:c r="E95" s="320">
        <x:v>1090</x:v>
      </x:c>
      <x:c r="F95" s="320">
        <x:v>2180</x:v>
      </x:c>
      <x:c r="G95" s="320">
        <x:v>580</x:v>
      </x:c>
      <x:c r="H95" s="313" t="s">
        <x:v>49</x:v>
      </x:c>
      <x:c r="I95" s="313" t="s">
        <x:v>31</x:v>
      </x:c>
      <x:c r="J95" s="316" t="n">
        <x:f>IFERROR(G95/F95,0)</x:f>
        <x:v>0.26605504587155965</x:v>
      </x:c>
      <x:c r="K95" s="312" t="str">
        <x:f>IF(B95="Bilinmeyen Personel","Kontrol","OK")</x:f>
        <x:v>OK</x:v>
      </x:c>
    </x:row>
    <x:row r="96" ht="15.75">
      <x:c r="A96" s="313" t="n">
        <x:f t="shared" si="1">ROW()-ROW($A$2)+1</x:f>
        <x:v>95</x:v>
      </x:c>
      <x:c r="B96" s="313" t="s">
        <x:v>50</x:v>
      </x:c>
      <x:c r="C96" s="313" t="s">
        <x:v>22</x:v>
      </x:c>
      <x:c r="D96" s="314">
        <x:v>3</x:v>
      </x:c>
      <x:c r="E96" s="320">
        <x:v>2180</x:v>
      </x:c>
      <x:c r="F96" s="320">
        <x:v>6540</x:v>
      </x:c>
      <x:c r="G96" s="320">
        <x:v>2040</x:v>
      </x:c>
      <x:c r="H96" s="313" t="s">
        <x:v>49</x:v>
      </x:c>
      <x:c r="I96" s="313" t="s">
        <x:v>25</x:v>
      </x:c>
      <x:c r="J96" s="316" t="n">
        <x:f>IFERROR(G96/F96,0)</x:f>
        <x:v>0.3119266055045872</x:v>
      </x:c>
      <x:c r="K96" s="312" t="str">
        <x:f>IF(B96="Bilinmeyen Personel","Kontrol","OK")</x:f>
        <x:v>OK</x:v>
      </x:c>
    </x:row>
    <x:row r="97" ht="15.75">
      <x:c r="A97" s="313" t="n">
        <x:f t="shared" si="1">ROW()-ROW($A$2)+1</x:f>
        <x:v>96</x:v>
      </x:c>
      <x:c r="B97" s="313" t="s">
        <x:v>16</x:v>
      </x:c>
      <x:c r="C97" s="313" t="s">
        <x:v>56</x:v>
      </x:c>
      <x:c r="D97" s="314">
        <x:v>3</x:v>
      </x:c>
      <x:c r="E97" s="320">
        <x:v>5300</x:v>
      </x:c>
      <x:c r="F97" s="320">
        <x:v>15900</x:v>
      </x:c>
      <x:c r="G97" s="320">
        <x:v>3900</x:v>
      </x:c>
      <x:c r="H97" s="313" t="s">
        <x:v>49</x:v>
      </x:c>
      <x:c r="I97" s="313" t="s">
        <x:v>25</x:v>
      </x:c>
      <x:c r="J97" s="316" t="n">
        <x:f>IFERROR(G97/F97,0)</x:f>
        <x:v>0.24528301886792453</x:v>
      </x:c>
      <x:c r="K97" s="312" t="str">
        <x:f>IF(B97="Bilinmeyen Personel","Kontrol","OK")</x:f>
        <x:v>OK</x:v>
      </x:c>
    </x:row>
    <x:row r="98" ht="15.75">
      <x:c r="A98" s="313" t="n">
        <x:f t="shared" si="1">ROW()-ROW($A$2)+1</x:f>
        <x:v>97</x:v>
      </x:c>
      <x:c r="B98" s="313" t="s">
        <x:v>50</x:v>
      </x:c>
      <x:c r="C98" s="313" t="s">
        <x:v>56</x:v>
      </x:c>
      <x:c r="D98" s="314">
        <x:v>2</x:v>
      </x:c>
      <x:c r="E98" s="320">
        <x:v>5300</x:v>
      </x:c>
      <x:c r="F98" s="320">
        <x:v>10600</x:v>
      </x:c>
      <x:c r="G98" s="320">
        <x:v>2600</x:v>
      </x:c>
      <x:c r="H98" s="313" t="s">
        <x:v>49</x:v>
      </x:c>
      <x:c r="I98" s="313" t="s">
        <x:v>25</x:v>
      </x:c>
      <x:c r="J98" s="316" t="n">
        <x:f>IFERROR(G98/F98,0)</x:f>
        <x:v>0.24528301886792453</x:v>
      </x:c>
      <x:c r="K98" s="312" t="str">
        <x:f>IF(B98="Bilinmeyen Personel","Kontrol","OK")</x:f>
        <x:v>OK</x:v>
      </x:c>
    </x:row>
    <x:row r="99" ht="15.75">
      <x:c r="A99" s="313" t="n">
        <x:f t="shared" si="1">ROW()-ROW($A$2)+1</x:f>
        <x:v>98</x:v>
      </x:c>
      <x:c r="B99" s="313" t="s">
        <x:v>29</x:v>
      </x:c>
      <x:c r="C99" s="313" t="s">
        <x:v>26</x:v>
      </x:c>
      <x:c r="D99" s="314">
        <x:v>2</x:v>
      </x:c>
      <x:c r="E99" s="320">
        <x:v>7250</x:v>
      </x:c>
      <x:c r="F99" s="320">
        <x:v>14500</x:v>
      </x:c>
      <x:c r="G99" s="320">
        <x:v>4500</x:v>
      </x:c>
      <x:c r="H99" s="313" t="s">
        <x:v>49</x:v>
      </x:c>
      <x:c r="I99" s="313" t="s">
        <x:v>25</x:v>
      </x:c>
      <x:c r="J99" s="316" t="n">
        <x:f>IFERROR(G99/F99,0)</x:f>
        <x:v>0.3103448275862069</x:v>
      </x:c>
      <x:c r="K99" s="312" t="str">
        <x:f>IF(B99="Bilinmeyen Personel","Kontrol","OK")</x:f>
        <x:v>OK</x:v>
      </x:c>
    </x:row>
    <x:row r="100" ht="15.75">
      <x:c r="A100" s="313" t="n">
        <x:f t="shared" si="1">ROW()-ROW($A$2)+1</x:f>
        <x:v>99</x:v>
      </x:c>
      <x:c r="B100" s="313" t="s">
        <x:v>29</x:v>
      </x:c>
      <x:c r="C100" s="313" t="s">
        <x:v>53</x:v>
      </x:c>
      <x:c r="D100" s="314">
        <x:v>3</x:v>
      </x:c>
      <x:c r="E100" s="320">
        <x:v>1200</x:v>
      </x:c>
      <x:c r="F100" s="320">
        <x:v>3600</x:v>
      </x:c>
      <x:c r="G100" s="320">
        <x:v>1200</x:v>
      </x:c>
      <x:c r="H100" s="313" t="s">
        <x:v>49</x:v>
      </x:c>
      <x:c r="I100" s="313" t="s">
        <x:v>18</x:v>
      </x:c>
      <x:c r="J100" s="316" t="n">
        <x:f>IFERROR(G100/F100,0)</x:f>
        <x:v>0.3333333333333333</x:v>
      </x:c>
      <x:c r="K100" s="312" t="str">
        <x:f>IF(B100="Bilinmeyen Personel","Kontrol","OK")</x:f>
        <x:v>OK</x:v>
      </x:c>
    </x:row>
    <x:row r="101" ht="15.75">
      <x:c r="A101" s="313" t="n">
        <x:f t="shared" si="1">ROW()-ROW($A$2)+1</x:f>
        <x:v>100</x:v>
      </x:c>
      <x:c r="B101" s="313" t="s">
        <x:v>19</x:v>
      </x:c>
      <x:c r="C101" s="313" t="s">
        <x:v>10</x:v>
      </x:c>
      <x:c r="D101" s="314">
        <x:v>1</x:v>
      </x:c>
      <x:c r="E101" s="320">
        <x:v>6000</x:v>
      </x:c>
      <x:c r="F101" s="320">
        <x:v>6000</x:v>
      </x:c>
      <x:c r="G101" s="320">
        <x:v>2000</x:v>
      </x:c>
      <x:c r="H101" s="313" t="s">
        <x:v>49</x:v>
      </x:c>
      <x:c r="I101" s="313" t="s">
        <x:v>21</x:v>
      </x:c>
      <x:c r="J101" s="316" t="n">
        <x:f>IFERROR(G101/F101,0)</x:f>
        <x:v>0.3333333333333333</x:v>
      </x:c>
      <x:c r="K101" s="312" t="str">
        <x:f>IF(B101="Bilinmeyen Personel","Kontrol","OK")</x:f>
        <x:v>OK</x:v>
      </x:c>
    </x:row>
    <x:row r="102" ht="15.75">
      <x:c r="A102" s="313" t="n">
        <x:f t="shared" si="1">ROW()-ROW($A$2)+1</x:f>
        <x:v>101</x:v>
      </x:c>
      <x:c r="B102" s="313" t="s">
        <x:v>16</x:v>
      </x:c>
      <x:c r="C102" s="313" t="s">
        <x:v>17</x:v>
      </x:c>
      <x:c r="D102" s="314">
        <x:v>3</x:v>
      </x:c>
      <x:c r="E102" s="320">
        <x:v>8450</x:v>
      </x:c>
      <x:c r="F102" s="320">
        <x:v>25350</x:v>
      </x:c>
      <x:c r="G102" s="320">
        <x:v>7350</x:v>
      </x:c>
      <x:c r="H102" s="313" t="s">
        <x:v>49</x:v>
      </x:c>
      <x:c r="I102" s="313" t="s">
        <x:v>12</x:v>
      </x:c>
      <x:c r="J102" s="316" t="n">
        <x:f>IFERROR(G102/F102,0)</x:f>
        <x:v>0.28994082840236685</x:v>
      </x:c>
      <x:c r="K102" s="312" t="str">
        <x:f>IF(B102="Bilinmeyen Personel","Kontrol","OK")</x:f>
        <x:v>OK</x:v>
      </x:c>
    </x:row>
    <x:row r="103" ht="15.75">
      <x:c r="A103" s="313" t="n">
        <x:f t="shared" si="1">ROW()-ROW($A$2)+1</x:f>
        <x:v>102</x:v>
      </x:c>
      <x:c r="B103" s="313" t="s">
        <x:v>32</x:v>
      </x:c>
      <x:c r="C103" s="313" t="s">
        <x:v>45</x:v>
      </x:c>
      <x:c r="D103" s="314">
        <x:v>1</x:v>
      </x:c>
      <x:c r="E103" s="320">
        <x:v>4200</x:v>
      </x:c>
      <x:c r="F103" s="320">
        <x:v>4200</x:v>
      </x:c>
      <x:c r="G103" s="320">
        <x:v>1200</x:v>
      </x:c>
      <x:c r="H103" s="313" t="s">
        <x:v>49</x:v>
      </x:c>
      <x:c r="I103" s="313" t="s">
        <x:v>21</x:v>
      </x:c>
      <x:c r="J103" s="316" t="n">
        <x:f>IFERROR(G103/F103,0)</x:f>
        <x:v>0.2857142857142857</x:v>
      </x:c>
      <x:c r="K103" s="312" t="str">
        <x:f>IF(B103="Bilinmeyen Personel","Kontrol","OK")</x:f>
        <x:v>OK</x:v>
      </x:c>
    </x:row>
    <x:row r="104" ht="15.75">
      <x:c r="A104" s="313" t="n">
        <x:f t="shared" si="1">ROW()-ROW($A$2)+1</x:f>
        <x:v>103</x:v>
      </x:c>
      <x:c r="B104" s="313" t="s">
        <x:v>32</x:v>
      </x:c>
      <x:c r="C104" s="313" t="s">
        <x:v>39</x:v>
      </x:c>
      <x:c r="D104" s="314">
        <x:v>3</x:v>
      </x:c>
      <x:c r="E104" s="320">
        <x:v>10590</x:v>
      </x:c>
      <x:c r="F104" s="320">
        <x:v>31770</x:v>
      </x:c>
      <x:c r="G104" s="320">
        <x:v>13770</x:v>
      </x:c>
      <x:c r="H104" s="313" t="s">
        <x:v>49</x:v>
      </x:c>
      <x:c r="I104" s="313" t="s">
        <x:v>15</x:v>
      </x:c>
      <x:c r="J104" s="316" t="n">
        <x:f>IFERROR(G104/F104,0)</x:f>
        <x:v>0.43342776203966005</x:v>
      </x:c>
      <x:c r="K104" s="312" t="str">
        <x:f>IF(B104="Bilinmeyen Personel","Kontrol","OK")</x:f>
        <x:v>OK</x:v>
      </x:c>
    </x:row>
    <x:row r="105" ht="15.75">
      <x:c r="A105" s="313" t="n">
        <x:f t="shared" si="1">ROW()-ROW($A$2)+1</x:f>
        <x:v>104</x:v>
      </x:c>
      <x:c r="B105" s="313" t="s">
        <x:v>29</x:v>
      </x:c>
      <x:c r="C105" s="313" t="s">
        <x:v>53</x:v>
      </x:c>
      <x:c r="D105" s="314">
        <x:v>1</x:v>
      </x:c>
      <x:c r="E105" s="320">
        <x:v>1200</x:v>
      </x:c>
      <x:c r="F105" s="320">
        <x:v>1200</x:v>
      </x:c>
      <x:c r="G105" s="320">
        <x:v>400</x:v>
      </x:c>
      <x:c r="H105" s="313" t="s">
        <x:v>49</x:v>
      </x:c>
      <x:c r="I105" s="313" t="s">
        <x:v>21</x:v>
      </x:c>
      <x:c r="J105" s="316" t="n">
        <x:f>IFERROR(G105/F105,0)</x:f>
        <x:v>0.3333333333333333</x:v>
      </x:c>
      <x:c r="K105" s="312" t="str">
        <x:f>IF(B105="Bilinmeyen Personel","Kontrol","OK")</x:f>
        <x:v>OK</x:v>
      </x:c>
    </x:row>
    <x:row r="106" ht="15.75">
      <x:c r="A106" s="313" t="n">
        <x:f t="shared" si="1">ROW()-ROW($A$2)+1</x:f>
        <x:v>105</x:v>
      </x:c>
      <x:c r="B106" s="313" t="s">
        <x:v>48</x:v>
      </x:c>
      <x:c r="C106" s="313" t="s">
        <x:v>27</x:v>
      </x:c>
      <x:c r="D106" s="314">
        <x:v>2</x:v>
      </x:c>
      <x:c r="E106" s="320">
        <x:v>1100</x:v>
      </x:c>
      <x:c r="F106" s="320">
        <x:v>2200</x:v>
      </x:c>
      <x:c r="G106" s="320">
        <x:v>600</x:v>
      </x:c>
      <x:c r="H106" s="313" t="s">
        <x:v>49</x:v>
      </x:c>
      <x:c r="I106" s="313" t="s">
        <x:v>18</x:v>
      </x:c>
      <x:c r="J106" s="316" t="n">
        <x:f>IFERROR(G106/F106,0)</x:f>
        <x:v>0.2727272727272727</x:v>
      </x:c>
      <x:c r="K106" s="312" t="str">
        <x:f>IF(B106="Bilinmeyen Personel","Kontrol","OK")</x:f>
        <x:v>OK</x:v>
      </x:c>
    </x:row>
    <x:row r="107" ht="15.75">
      <x:c r="A107" s="313" t="n">
        <x:f t="shared" si="1">ROW()-ROW($A$2)+1</x:f>
        <x:v>106</x:v>
      </x:c>
      <x:c r="B107" s="313" t="s">
        <x:v>40</x:v>
      </x:c>
      <x:c r="C107" s="313" t="s">
        <x:v>51</x:v>
      </x:c>
      <x:c r="D107" s="314">
        <x:v>2</x:v>
      </x:c>
      <x:c r="E107" s="320">
        <x:v>3700</x:v>
      </x:c>
      <x:c r="F107" s="320">
        <x:v>7400</x:v>
      </x:c>
      <x:c r="G107" s="320">
        <x:v>1400</x:v>
      </x:c>
      <x:c r="H107" s="313" t="s">
        <x:v>49</x:v>
      </x:c>
      <x:c r="I107" s="313" t="s">
        <x:v>31</x:v>
      </x:c>
      <x:c r="J107" s="316" t="n">
        <x:f>IFERROR(G107/F107,0)</x:f>
        <x:v>0.1891891891891892</x:v>
      </x:c>
      <x:c r="K107" s="312" t="str">
        <x:f>IF(B107="Bilinmeyen Personel","Kontrol","OK")</x:f>
        <x:v>OK</x:v>
      </x:c>
    </x:row>
    <x:row r="108" ht="15.75">
      <x:c r="A108" s="313" t="n">
        <x:f t="shared" si="1">ROW()-ROW($A$2)+1</x:f>
        <x:v>107</x:v>
      </x:c>
      <x:c r="B108" s="313" t="s">
        <x:v>13</x:v>
      </x:c>
      <x:c r="C108" s="313" t="s">
        <x:v>58</x:v>
      </x:c>
      <x:c r="D108" s="314">
        <x:v>1</x:v>
      </x:c>
      <x:c r="E108" s="320">
        <x:v>3700</x:v>
      </x:c>
      <x:c r="F108" s="320">
        <x:v>3700</x:v>
      </x:c>
      <x:c r="G108" s="320">
        <x:v>700</x:v>
      </x:c>
      <x:c r="H108" s="313" t="s">
        <x:v>49</x:v>
      </x:c>
      <x:c r="I108" s="313" t="s">
        <x:v>42</x:v>
      </x:c>
      <x:c r="J108" s="316" t="n">
        <x:f>IFERROR(G108/F108,0)</x:f>
        <x:v>0.1891891891891892</x:v>
      </x:c>
      <x:c r="K108" s="312" t="str">
        <x:f>IF(B108="Bilinmeyen Personel","Kontrol","OK")</x:f>
        <x:v>OK</x:v>
      </x:c>
    </x:row>
    <x:row r="109" ht="15.75">
      <x:c r="A109" s="313" t="n">
        <x:f t="shared" si="1">ROW()-ROW($A$2)+1</x:f>
        <x:v>108</x:v>
      </x:c>
      <x:c r="B109" s="313" t="s">
        <x:v>32</x:v>
      </x:c>
      <x:c r="C109" s="313" t="s">
        <x:v>27</x:v>
      </x:c>
      <x:c r="D109" s="314">
        <x:v>3</x:v>
      </x:c>
      <x:c r="E109" s="320">
        <x:v>1100</x:v>
      </x:c>
      <x:c r="F109" s="320">
        <x:v>3300</x:v>
      </x:c>
      <x:c r="G109" s="320">
        <x:v>900</x:v>
      </x:c>
      <x:c r="H109" s="313" t="s">
        <x:v>49</x:v>
      </x:c>
      <x:c r="I109" s="313" t="s">
        <x:v>41</x:v>
      </x:c>
      <x:c r="J109" s="316" t="n">
        <x:f>IFERROR(G109/F109,0)</x:f>
        <x:v>0.2727272727272727</x:v>
      </x:c>
      <x:c r="K109" s="312" t="str">
        <x:f>IF(B109="Bilinmeyen Personel","Kontrol","OK")</x:f>
        <x:v>OK</x:v>
      </x:c>
    </x:row>
    <x:row r="110" ht="15.75">
      <x:c r="A110" s="313" t="n">
        <x:f t="shared" si="1">ROW()-ROW($A$2)+1</x:f>
        <x:v>109</x:v>
      </x:c>
      <x:c r="B110" s="313" t="s">
        <x:v>29</x:v>
      </x:c>
      <x:c r="C110" s="313" t="s">
        <x:v>58</x:v>
      </x:c>
      <x:c r="D110" s="314">
        <x:v>1</x:v>
      </x:c>
      <x:c r="E110" s="320">
        <x:v>3700</x:v>
      </x:c>
      <x:c r="F110" s="320">
        <x:v>3700</x:v>
      </x:c>
      <x:c r="G110" s="320">
        <x:v>700</x:v>
      </x:c>
      <x:c r="H110" s="313" t="s">
        <x:v>59</x:v>
      </x:c>
      <x:c r="I110" s="313" t="s">
        <x:v>41</x:v>
      </x:c>
      <x:c r="J110" s="316" t="n">
        <x:f>IFERROR(G110/F110,0)</x:f>
        <x:v>0.1891891891891892</x:v>
      </x:c>
      <x:c r="K110" s="312" t="str">
        <x:f>IF(B110="Bilinmeyen Personel","Kontrol","OK")</x:f>
        <x:v>OK</x:v>
      </x:c>
    </x:row>
    <x:row r="111" ht="15.75">
      <x:c r="A111" s="313" t="n">
        <x:f t="shared" si="1">ROW()-ROW($A$2)+1</x:f>
        <x:v>110</x:v>
      </x:c>
      <x:c r="B111" s="313" t="s">
        <x:v>48</x:v>
      </x:c>
      <x:c r="C111" s="313" t="s">
        <x:v>43</x:v>
      </x:c>
      <x:c r="D111" s="314">
        <x:v>1</x:v>
      </x:c>
      <x:c r="E111" s="320">
        <x:v>1490</x:v>
      </x:c>
      <x:c r="F111" s="320">
        <x:v>1490</x:v>
      </x:c>
      <x:c r="G111" s="320">
        <x:v>690</x:v>
      </x:c>
      <x:c r="H111" s="313" t="s">
        <x:v>59</x:v>
      </x:c>
      <x:c r="I111" s="313" t="s">
        <x:v>44</x:v>
      </x:c>
      <x:c r="J111" s="316" t="n">
        <x:f>IFERROR(G111/F111,0)</x:f>
        <x:v>0.46308724832214765</x:v>
      </x:c>
      <x:c r="K111" s="312" t="str">
        <x:f>IF(B111="Bilinmeyen Personel","Kontrol","OK")</x:f>
        <x:v>OK</x:v>
      </x:c>
    </x:row>
    <x:row r="112" ht="15.75">
      <x:c r="A112" s="313" t="n">
        <x:f t="shared" si="1">ROW()-ROW($A$2)+1</x:f>
        <x:v>111</x:v>
      </x:c>
      <x:c r="B112" s="313" t="s">
        <x:v>40</x:v>
      </x:c>
      <x:c r="C112" s="313" t="s">
        <x:v>57</x:v>
      </x:c>
      <x:c r="D112" s="314">
        <x:v>1</x:v>
      </x:c>
      <x:c r="E112" s="320">
        <x:v>1500</x:v>
      </x:c>
      <x:c r="F112" s="320">
        <x:v>1500</x:v>
      </x:c>
      <x:c r="G112" s="320">
        <x:v>700</x:v>
      </x:c>
      <x:c r="H112" s="313" t="s">
        <x:v>59</x:v>
      </x:c>
      <x:c r="I112" s="313" t="s">
        <x:v>28</x:v>
      </x:c>
      <x:c r="J112" s="316" t="n">
        <x:f>IFERROR(G112/F112,0)</x:f>
        <x:v>0.4666666666666667</x:v>
      </x:c>
      <x:c r="K112" s="312" t="str">
        <x:f>IF(B112="Bilinmeyen Personel","Kontrol","OK")</x:f>
        <x:v>OK</x:v>
      </x:c>
    </x:row>
    <x:row r="113" ht="15.75">
      <x:c r="A113" s="313" t="n">
        <x:f t="shared" si="1">ROW()-ROW($A$2)+1</x:f>
        <x:v>112</x:v>
      </x:c>
      <x:c r="B113" s="313" t="s">
        <x:v>38</x:v>
      </x:c>
      <x:c r="C113" s="313" t="s">
        <x:v>34</x:v>
      </x:c>
      <x:c r="D113" s="314">
        <x:v>2</x:v>
      </x:c>
      <x:c r="E113" s="320">
        <x:v>1090</x:v>
      </x:c>
      <x:c r="F113" s="320">
        <x:v>2180</x:v>
      </x:c>
      <x:c r="G113" s="320">
        <x:v>580</x:v>
      </x:c>
      <x:c r="H113" s="313" t="s">
        <x:v>59</x:v>
      </x:c>
      <x:c r="I113" s="313" t="s">
        <x:v>28</x:v>
      </x:c>
      <x:c r="J113" s="316" t="n">
        <x:f>IFERROR(G113/F113,0)</x:f>
        <x:v>0.26605504587155965</x:v>
      </x:c>
      <x:c r="K113" s="312" t="str">
        <x:f>IF(B113="Bilinmeyen Personel","Kontrol","OK")</x:f>
        <x:v>OK</x:v>
      </x:c>
    </x:row>
    <x:row r="114" ht="15.75">
      <x:c r="A114" s="313" t="n">
        <x:f t="shared" si="1">ROW()-ROW($A$2)+1</x:f>
        <x:v>113</x:v>
      </x:c>
      <x:c r="B114" s="313" t="s">
        <x:v>48</x:v>
      </x:c>
      <x:c r="C114" s="313" t="s">
        <x:v>33</x:v>
      </x:c>
      <x:c r="D114" s="314">
        <x:v>3</x:v>
      </x:c>
      <x:c r="E114" s="320">
        <x:v>1800</x:v>
      </x:c>
      <x:c r="F114" s="320">
        <x:v>5400</x:v>
      </x:c>
      <x:c r="G114" s="320">
        <x:v>3000</x:v>
      </x:c>
      <x:c r="H114" s="313" t="s">
        <x:v>59</x:v>
      </x:c>
      <x:c r="I114" s="313" t="s">
        <x:v>25</x:v>
      </x:c>
      <x:c r="J114" s="316" t="n">
        <x:f>IFERROR(G114/F114,0)</x:f>
        <x:v>0.5555555555555556</x:v>
      </x:c>
      <x:c r="K114" s="312" t="str">
        <x:f>IF(B114="Bilinmeyen Personel","Kontrol","OK")</x:f>
        <x:v>OK</x:v>
      </x:c>
    </x:row>
    <x:row r="115" ht="15.75">
      <x:c r="A115" s="313" t="n">
        <x:f t="shared" si="1">ROW()-ROW($A$2)+1</x:f>
        <x:v>114</x:v>
      </x:c>
      <x:c r="B115" s="313" t="s">
        <x:v>35</x:v>
      </x:c>
      <x:c r="C115" s="313" t="s">
        <x:v>55</x:v>
      </x:c>
      <x:c r="D115" s="314">
        <x:v>2</x:v>
      </x:c>
      <x:c r="E115" s="320">
        <x:v>7530</x:v>
      </x:c>
      <x:c r="F115" s="320">
        <x:v>15060</x:v>
      </x:c>
      <x:c r="G115" s="320">
        <x:v>3060</x:v>
      </x:c>
      <x:c r="H115" s="313" t="s">
        <x:v>59</x:v>
      </x:c>
      <x:c r="I115" s="313" t="s">
        <x:v>46</x:v>
      </x:c>
      <x:c r="J115" s="316" t="n">
        <x:f>IFERROR(G115/F115,0)</x:f>
        <x:v>0.20318725099601595</x:v>
      </x:c>
      <x:c r="K115" s="312" t="str">
        <x:f>IF(B115="Bilinmeyen Personel","Kontrol","OK")</x:f>
        <x:v>OK</x:v>
      </x:c>
    </x:row>
    <x:row r="116" ht="15.75">
      <x:c r="A116" s="313" t="n">
        <x:f t="shared" si="1">ROW()-ROW($A$2)+1</x:f>
        <x:v>115</x:v>
      </x:c>
      <x:c r="B116" s="313" t="s">
        <x:v>32</x:v>
      </x:c>
      <x:c r="C116" s="313" t="s">
        <x:v>27</x:v>
      </x:c>
      <x:c r="D116" s="314">
        <x:v>3</x:v>
      </x:c>
      <x:c r="E116" s="320">
        <x:v>1100</x:v>
      </x:c>
      <x:c r="F116" s="320">
        <x:v>3300</x:v>
      </x:c>
      <x:c r="G116" s="320">
        <x:v>900</x:v>
      </x:c>
      <x:c r="H116" s="313" t="s">
        <x:v>59</x:v>
      </x:c>
      <x:c r="I116" s="313" t="s">
        <x:v>46</x:v>
      </x:c>
      <x:c r="J116" s="316" t="n">
        <x:f>IFERROR(G116/F116,0)</x:f>
        <x:v>0.2727272727272727</x:v>
      </x:c>
      <x:c r="K116" s="312" t="str">
        <x:f>IF(B116="Bilinmeyen Personel","Kontrol","OK")</x:f>
        <x:v>OK</x:v>
      </x:c>
    </x:row>
    <x:row r="117" ht="15.75">
      <x:c r="A117" s="313" t="n">
        <x:f t="shared" si="1">ROW()-ROW($A$2)+1</x:f>
        <x:v>116</x:v>
      </x:c>
      <x:c r="B117" s="313" t="s">
        <x:v>40</x:v>
      </x:c>
      <x:c r="C117" s="313" t="s">
        <x:v>20</x:v>
      </x:c>
      <x:c r="D117" s="314">
        <x:v>3</x:v>
      </x:c>
      <x:c r="E117" s="320">
        <x:v>1350</x:v>
      </x:c>
      <x:c r="F117" s="320">
        <x:v>4050</x:v>
      </x:c>
      <x:c r="G117" s="320">
        <x:v>1650</x:v>
      </x:c>
      <x:c r="H117" s="313" t="s">
        <x:v>59</x:v>
      </x:c>
      <x:c r="I117" s="313" t="s">
        <x:v>54</x:v>
      </x:c>
      <x:c r="J117" s="316" t="n">
        <x:f>IFERROR(G117/F117,0)</x:f>
        <x:v>0.4074074074074074</x:v>
      </x:c>
      <x:c r="K117" s="312" t="str">
        <x:f>IF(B117="Bilinmeyen Personel","Kontrol","OK")</x:f>
        <x:v>OK</x:v>
      </x:c>
    </x:row>
    <x:row r="118" ht="15.75">
      <x:c r="A118" s="313" t="n">
        <x:f t="shared" si="1">ROW()-ROW($A$2)+1</x:f>
        <x:v>117</x:v>
      </x:c>
      <x:c r="B118" s="313" t="s">
        <x:v>38</x:v>
      </x:c>
      <x:c r="C118" s="313" t="s">
        <x:v>20</x:v>
      </x:c>
      <x:c r="D118" s="314">
        <x:v>1</x:v>
      </x:c>
      <x:c r="E118" s="320">
        <x:v>1350</x:v>
      </x:c>
      <x:c r="F118" s="320">
        <x:v>1350</x:v>
      </x:c>
      <x:c r="G118" s="320">
        <x:v>550</x:v>
      </x:c>
      <x:c r="H118" s="313" t="s">
        <x:v>59</x:v>
      </x:c>
      <x:c r="I118" s="313" t="s">
        <x:v>28</x:v>
      </x:c>
      <x:c r="J118" s="316" t="n">
        <x:f>IFERROR(G118/F118,0)</x:f>
        <x:v>0.4074074074074074</x:v>
      </x:c>
      <x:c r="K118" s="312" t="str">
        <x:f>IF(B118="Bilinmeyen Personel","Kontrol","OK")</x:f>
        <x:v>OK</x:v>
      </x:c>
    </x:row>
    <x:row r="119" ht="15.75">
      <x:c r="A119" s="313" t="n">
        <x:f t="shared" si="1">ROW()-ROW($A$2)+1</x:f>
        <x:v>118</x:v>
      </x:c>
      <x:c r="B119" s="313" t="s">
        <x:v>35</x:v>
      </x:c>
      <x:c r="C119" s="313" t="s">
        <x:v>34</x:v>
      </x:c>
      <x:c r="D119" s="314">
        <x:v>2</x:v>
      </x:c>
      <x:c r="E119" s="320">
        <x:v>1090</x:v>
      </x:c>
      <x:c r="F119" s="320">
        <x:v>2180</x:v>
      </x:c>
      <x:c r="G119" s="320">
        <x:v>580</x:v>
      </x:c>
      <x:c r="H119" s="313" t="s">
        <x:v>59</x:v>
      </x:c>
      <x:c r="I119" s="313" t="s">
        <x:v>21</x:v>
      </x:c>
      <x:c r="J119" s="316" t="n">
        <x:f>IFERROR(G119/F119,0)</x:f>
        <x:v>0.26605504587155965</x:v>
      </x:c>
      <x:c r="K119" s="312" t="str">
        <x:f>IF(B119="Bilinmeyen Personel","Kontrol","OK")</x:f>
        <x:v>OK</x:v>
      </x:c>
    </x:row>
    <x:row r="120" ht="15.75">
      <x:c r="A120" s="313" t="n">
        <x:f t="shared" si="1">ROW()-ROW($A$2)+1</x:f>
        <x:v>119</x:v>
      </x:c>
      <x:c r="B120" s="313" t="s">
        <x:v>35</x:v>
      </x:c>
      <x:c r="C120" s="313" t="s">
        <x:v>45</x:v>
      </x:c>
      <x:c r="D120" s="314">
        <x:v>1</x:v>
      </x:c>
      <x:c r="E120" s="320">
        <x:v>4200</x:v>
      </x:c>
      <x:c r="F120" s="320">
        <x:v>4200</x:v>
      </x:c>
      <x:c r="G120" s="320">
        <x:v>1200</x:v>
      </x:c>
      <x:c r="H120" s="313" t="s">
        <x:v>59</x:v>
      </x:c>
      <x:c r="I120" s="313" t="s">
        <x:v>41</x:v>
      </x:c>
      <x:c r="J120" s="316" t="n">
        <x:f>IFERROR(G120/F120,0)</x:f>
        <x:v>0.2857142857142857</x:v>
      </x:c>
      <x:c r="K120" s="312" t="str">
        <x:f>IF(B120="Bilinmeyen Personel","Kontrol","OK")</x:f>
        <x:v>OK</x:v>
      </x:c>
    </x:row>
    <x:row r="121" ht="15.75">
      <x:c r="A121" s="313" t="n">
        <x:f t="shared" si="1">ROW()-ROW($A$2)+1</x:f>
        <x:v>120</x:v>
      </x:c>
      <x:c r="B121" s="313" t="s">
        <x:v>40</x:v>
      </x:c>
      <x:c r="C121" s="313" t="s">
        <x:v>33</x:v>
      </x:c>
      <x:c r="D121" s="314">
        <x:v>2</x:v>
      </x:c>
      <x:c r="E121" s="320">
        <x:v>1800</x:v>
      </x:c>
      <x:c r="F121" s="320">
        <x:v>3600</x:v>
      </x:c>
      <x:c r="G121" s="320">
        <x:v>2000</x:v>
      </x:c>
      <x:c r="H121" s="313" t="s">
        <x:v>59</x:v>
      </x:c>
      <x:c r="I121" s="313" t="s">
        <x:v>54</x:v>
      </x:c>
      <x:c r="J121" s="316" t="n">
        <x:f>IFERROR(G121/F121,0)</x:f>
        <x:v>0.5555555555555556</x:v>
      </x:c>
      <x:c r="K121" s="312" t="str">
        <x:f>IF(B121="Bilinmeyen Personel","Kontrol","OK")</x:f>
        <x:v>OK</x:v>
      </x:c>
    </x:row>
    <x:row r="122" ht="15.75">
      <x:c r="A122" s="313" t="n">
        <x:f t="shared" si="1">ROW()-ROW($A$2)+1</x:f>
        <x:v>121</x:v>
      </x:c>
      <x:c r="B122" s="313" t="s">
        <x:v>50</x:v>
      </x:c>
      <x:c r="C122" s="313" t="s">
        <x:v>34</x:v>
      </x:c>
      <x:c r="D122" s="314">
        <x:v>1</x:v>
      </x:c>
      <x:c r="E122" s="320">
        <x:v>1090</x:v>
      </x:c>
      <x:c r="F122" s="320">
        <x:v>1090</x:v>
      </x:c>
      <x:c r="G122" s="320">
        <x:v>290</x:v>
      </x:c>
      <x:c r="H122" s="313" t="s">
        <x:v>59</x:v>
      </x:c>
      <x:c r="I122" s="313" t="s">
        <x:v>37</x:v>
      </x:c>
      <x:c r="J122" s="316" t="n">
        <x:f>IFERROR(G122/F122,0)</x:f>
        <x:v>0.26605504587155965</x:v>
      </x:c>
      <x:c r="K122" s="312" t="str">
        <x:f>IF(B122="Bilinmeyen Personel","Kontrol","OK")</x:f>
        <x:v>OK</x:v>
      </x:c>
    </x:row>
    <x:row r="123" ht="15.75">
      <x:c r="A123" s="313" t="n">
        <x:f t="shared" si="1">ROW()-ROW($A$2)+1</x:f>
        <x:v>122</x:v>
      </x:c>
      <x:c r="B123" s="313" t="s">
        <x:v>9</x:v>
      </x:c>
      <x:c r="C123" s="313" t="s">
        <x:v>24</x:v>
      </x:c>
      <x:c r="D123" s="314">
        <x:v>1</x:v>
      </x:c>
      <x:c r="E123" s="320">
        <x:v>7600</x:v>
      </x:c>
      <x:c r="F123" s="320">
        <x:v>7600</x:v>
      </x:c>
      <x:c r="G123" s="320">
        <x:v>1600</x:v>
      </x:c>
      <x:c r="H123" s="313" t="s">
        <x:v>59</x:v>
      </x:c>
      <x:c r="I123" s="313" t="s">
        <x:v>12</x:v>
      </x:c>
      <x:c r="J123" s="316" t="n">
        <x:f>IFERROR(G123/F123,0)</x:f>
        <x:v>0.21052631578947367</x:v>
      </x:c>
      <x:c r="K123" s="312" t="str">
        <x:f>IF(B123="Bilinmeyen Personel","Kontrol","OK")</x:f>
        <x:v>OK</x:v>
      </x:c>
    </x:row>
    <x:row r="124" ht="15.75">
      <x:c r="A124" s="313" t="n">
        <x:f t="shared" si="1">ROW()-ROW($A$2)+1</x:f>
        <x:v>123</x:v>
      </x:c>
      <x:c r="B124" s="313" t="s">
        <x:v>38</x:v>
      </x:c>
      <x:c r="C124" s="313" t="s">
        <x:v>24</x:v>
      </x:c>
      <x:c r="D124" s="314">
        <x:v>3</x:v>
      </x:c>
      <x:c r="E124" s="320">
        <x:v>7600</x:v>
      </x:c>
      <x:c r="F124" s="320">
        <x:v>22800</x:v>
      </x:c>
      <x:c r="G124" s="320">
        <x:v>4800</x:v>
      </x:c>
      <x:c r="H124" s="313" t="s">
        <x:v>59</x:v>
      </x:c>
      <x:c r="I124" s="313" t="s">
        <x:v>18</x:v>
      </x:c>
      <x:c r="J124" s="316" t="n">
        <x:f>IFERROR(G124/F124,0)</x:f>
        <x:v>0.21052631578947367</x:v>
      </x:c>
      <x:c r="K124" s="312" t="str">
        <x:f>IF(B124="Bilinmeyen Personel","Kontrol","OK")</x:f>
        <x:v>OK</x:v>
      </x:c>
    </x:row>
    <x:row r="125" ht="15.75">
      <x:c r="A125" s="313" t="n">
        <x:f t="shared" si="1">ROW()-ROW($A$2)+1</x:f>
        <x:v>124</x:v>
      </x:c>
      <x:c r="B125" s="313" t="s">
        <x:v>16</x:v>
      </x:c>
      <x:c r="C125" s="313" t="s">
        <x:v>58</x:v>
      </x:c>
      <x:c r="D125" s="314">
        <x:v>1</x:v>
      </x:c>
      <x:c r="E125" s="320">
        <x:v>3700</x:v>
      </x:c>
      <x:c r="F125" s="320">
        <x:v>3700</x:v>
      </x:c>
      <x:c r="G125" s="320">
        <x:v>700</x:v>
      </x:c>
      <x:c r="H125" s="313" t="s">
        <x:v>59</x:v>
      </x:c>
      <x:c r="I125" s="313" t="s">
        <x:v>15</x:v>
      </x:c>
      <x:c r="J125" s="316" t="n">
        <x:f>IFERROR(G125/F125,0)</x:f>
        <x:v>0.1891891891891892</x:v>
      </x:c>
      <x:c r="K125" s="312" t="str">
        <x:f>IF(B125="Bilinmeyen Personel","Kontrol","OK")</x:f>
        <x:v>OK</x:v>
      </x:c>
    </x:row>
    <x:row r="126" ht="15.75">
      <x:c r="A126" s="313" t="n">
        <x:f t="shared" si="1">ROW()-ROW($A$2)+1</x:f>
        <x:v>125</x:v>
      </x:c>
      <x:c r="B126" s="313" t="s">
        <x:v>23</x:v>
      </x:c>
      <x:c r="C126" s="313" t="s">
        <x:v>26</x:v>
      </x:c>
      <x:c r="D126" s="314">
        <x:v>3</x:v>
      </x:c>
      <x:c r="E126" s="320">
        <x:v>7250</x:v>
      </x:c>
      <x:c r="F126" s="320">
        <x:v>21750</x:v>
      </x:c>
      <x:c r="G126" s="320">
        <x:v>6750</x:v>
      </x:c>
      <x:c r="H126" s="313" t="s">
        <x:v>59</x:v>
      </x:c>
      <x:c r="I126" s="313" t="s">
        <x:v>37</x:v>
      </x:c>
      <x:c r="J126" s="316" t="n">
        <x:f>IFERROR(G126/F126,0)</x:f>
        <x:v>0.3103448275862069</x:v>
      </x:c>
      <x:c r="K126" s="312" t="str">
        <x:f>IF(B126="Bilinmeyen Personel","Kontrol","OK")</x:f>
        <x:v>OK</x:v>
      </x:c>
    </x:row>
    <x:row r="127" ht="15.75">
      <x:c r="A127" s="313" t="n">
        <x:f t="shared" si="1">ROW()-ROW($A$2)+1</x:f>
        <x:v>126</x:v>
      </x:c>
      <x:c r="B127" s="313" t="s">
        <x:v>13</x:v>
      </x:c>
      <x:c r="C127" s="313" t="s">
        <x:v>24</x:v>
      </x:c>
      <x:c r="D127" s="314">
        <x:v>3</x:v>
      </x:c>
      <x:c r="E127" s="320">
        <x:v>7600</x:v>
      </x:c>
      <x:c r="F127" s="320">
        <x:v>22800</x:v>
      </x:c>
      <x:c r="G127" s="320">
        <x:v>4800</x:v>
      </x:c>
      <x:c r="H127" s="313" t="s">
        <x:v>59</x:v>
      </x:c>
      <x:c r="I127" s="313" t="s">
        <x:v>46</x:v>
      </x:c>
      <x:c r="J127" s="316" t="n">
        <x:f>IFERROR(G127/F127,0)</x:f>
        <x:v>0.21052631578947367</x:v>
      </x:c>
      <x:c r="K127" s="312" t="str">
        <x:f>IF(B127="Bilinmeyen Personel","Kontrol","OK")</x:f>
        <x:v>OK</x:v>
      </x:c>
    </x:row>
    <x:row r="128" ht="15.75">
      <x:c r="A128" s="313" t="n">
        <x:f t="shared" si="1">ROW()-ROW($A$2)+1</x:f>
        <x:v>127</x:v>
      </x:c>
      <x:c r="B128" s="313" t="s">
        <x:v>48</x:v>
      </x:c>
      <x:c r="C128" s="313" t="s">
        <x:v>45</x:v>
      </x:c>
      <x:c r="D128" s="314">
        <x:v>1</x:v>
      </x:c>
      <x:c r="E128" s="320">
        <x:v>4200</x:v>
      </x:c>
      <x:c r="F128" s="320">
        <x:v>4200</x:v>
      </x:c>
      <x:c r="G128" s="320">
        <x:v>1200</x:v>
      </x:c>
      <x:c r="H128" s="313" t="s">
        <x:v>59</x:v>
      </x:c>
      <x:c r="I128" s="313" t="s">
        <x:v>28</x:v>
      </x:c>
      <x:c r="J128" s="316" t="n">
        <x:f>IFERROR(G128/F128,0)</x:f>
        <x:v>0.2857142857142857</x:v>
      </x:c>
      <x:c r="K128" s="312" t="str">
        <x:f>IF(B128="Bilinmeyen Personel","Kontrol","OK")</x:f>
        <x:v>OK</x:v>
      </x:c>
    </x:row>
    <x:row r="129" ht="15.75">
      <x:c r="A129" s="313" t="n">
        <x:f t="shared" si="1">ROW()-ROW($A$2)+1</x:f>
        <x:v>128</x:v>
      </x:c>
      <x:c r="B129" s="313" t="s">
        <x:v>32</x:v>
      </x:c>
      <x:c r="C129" s="313" t="s">
        <x:v>52</x:v>
      </x:c>
      <x:c r="D129" s="314">
        <x:v>3</x:v>
      </x:c>
      <x:c r="E129" s="320">
        <x:v>1250</x:v>
      </x:c>
      <x:c r="F129" s="320">
        <x:v>3750</x:v>
      </x:c>
      <x:c r="G129" s="320">
        <x:v>1350</x:v>
      </x:c>
      <x:c r="H129" s="313" t="s">
        <x:v>59</x:v>
      </x:c>
      <x:c r="I129" s="313" t="s">
        <x:v>25</x:v>
      </x:c>
      <x:c r="J129" s="316" t="n">
        <x:f>IFERROR(G129/F129,0)</x:f>
        <x:v>0.36</x:v>
      </x:c>
      <x:c r="K129" s="312" t="str">
        <x:f>IF(B129="Bilinmeyen Personel","Kontrol","OK")</x:f>
        <x:v>OK</x:v>
      </x:c>
    </x:row>
    <x:row r="130" ht="15.75">
      <x:c r="A130" s="313" t="n">
        <x:f t="shared" si="1">ROW()-ROW($A$2)+1</x:f>
        <x:v>129</x:v>
      </x:c>
      <x:c r="B130" s="313" t="s">
        <x:v>38</x:v>
      </x:c>
      <x:c r="C130" s="313" t="s">
        <x:v>34</x:v>
      </x:c>
      <x:c r="D130" s="314">
        <x:v>1</x:v>
      </x:c>
      <x:c r="E130" s="320">
        <x:v>1090</x:v>
      </x:c>
      <x:c r="F130" s="320">
        <x:v>1090</x:v>
      </x:c>
      <x:c r="G130" s="320">
        <x:v>290</x:v>
      </x:c>
      <x:c r="H130" s="313" t="s">
        <x:v>59</x:v>
      </x:c>
      <x:c r="I130" s="313" t="s">
        <x:v>15</x:v>
      </x:c>
      <x:c r="J130" s="316" t="n">
        <x:f>IFERROR(G130/F130,0)</x:f>
        <x:v>0.26605504587155965</x:v>
      </x:c>
      <x:c r="K130" s="312" t="str">
        <x:f>IF(B130="Bilinmeyen Personel","Kontrol","OK")</x:f>
        <x:v>OK</x:v>
      </x:c>
    </x:row>
    <x:row r="131" ht="15.75">
      <x:c r="A131" s="313" t="n">
        <x:f t="shared" ref="A131:A194" si="2">ROW()-ROW($A$2)+1</x:f>
        <x:v>130</x:v>
      </x:c>
      <x:c r="B131" s="313" t="s">
        <x:v>19</x:v>
      </x:c>
      <x:c r="C131" s="313" t="s">
        <x:v>22</x:v>
      </x:c>
      <x:c r="D131" s="314">
        <x:v>1</x:v>
      </x:c>
      <x:c r="E131" s="320">
        <x:v>2180</x:v>
      </x:c>
      <x:c r="F131" s="320">
        <x:v>2180</x:v>
      </x:c>
      <x:c r="G131" s="320">
        <x:v>680</x:v>
      </x:c>
      <x:c r="H131" s="313" t="s">
        <x:v>59</x:v>
      </x:c>
      <x:c r="I131" s="313" t="s">
        <x:v>37</x:v>
      </x:c>
      <x:c r="J131" s="316" t="n">
        <x:f>IFERROR(G131/F131,0)</x:f>
        <x:v>0.3119266055045872</x:v>
      </x:c>
      <x:c r="K131" s="312" t="str">
        <x:f>IF(B131="Bilinmeyen Personel","Kontrol","OK")</x:f>
        <x:v>OK</x:v>
      </x:c>
    </x:row>
    <x:row r="132" ht="15.75">
      <x:c r="A132" s="313" t="n">
        <x:f t="shared" si="2">ROW()-ROW($A$2)+1</x:f>
        <x:v>131</x:v>
      </x:c>
      <x:c r="B132" s="313" t="s">
        <x:v>50</x:v>
      </x:c>
      <x:c r="C132" s="313" t="s">
        <x:v>58</x:v>
      </x:c>
      <x:c r="D132" s="314">
        <x:v>2</x:v>
      </x:c>
      <x:c r="E132" s="320">
        <x:v>3700</x:v>
      </x:c>
      <x:c r="F132" s="320">
        <x:v>7400</x:v>
      </x:c>
      <x:c r="G132" s="320">
        <x:v>1400</x:v>
      </x:c>
      <x:c r="H132" s="313" t="s">
        <x:v>59</x:v>
      </x:c>
      <x:c r="I132" s="313" t="s">
        <x:v>28</x:v>
      </x:c>
      <x:c r="J132" s="316" t="n">
        <x:f>IFERROR(G132/F132,0)</x:f>
        <x:v>0.1891891891891892</x:v>
      </x:c>
      <x:c r="K132" s="312" t="str">
        <x:f>IF(B132="Bilinmeyen Personel","Kontrol","OK")</x:f>
        <x:v>OK</x:v>
      </x:c>
    </x:row>
    <x:row r="133" ht="15.75">
      <x:c r="A133" s="313" t="n">
        <x:f t="shared" si="2">ROW()-ROW($A$2)+1</x:f>
        <x:v>132</x:v>
      </x:c>
      <x:c r="B133" s="313" t="s">
        <x:v>40</x:v>
      </x:c>
      <x:c r="C133" s="313" t="s">
        <x:v>10</x:v>
      </x:c>
      <x:c r="D133" s="314">
        <x:v>2</x:v>
      </x:c>
      <x:c r="E133" s="320">
        <x:v>6000</x:v>
      </x:c>
      <x:c r="F133" s="320">
        <x:v>12000</x:v>
      </x:c>
      <x:c r="G133" s="320">
        <x:v>4000</x:v>
      </x:c>
      <x:c r="H133" s="313" t="s">
        <x:v>59</x:v>
      </x:c>
      <x:c r="I133" s="313" t="s">
        <x:v>15</x:v>
      </x:c>
      <x:c r="J133" s="316" t="n">
        <x:f>IFERROR(G133/F133,0)</x:f>
        <x:v>0.3333333333333333</x:v>
      </x:c>
      <x:c r="K133" s="312" t="str">
        <x:f>IF(B133="Bilinmeyen Personel","Kontrol","OK")</x:f>
        <x:v>OK</x:v>
      </x:c>
    </x:row>
    <x:row r="134" ht="15.75">
      <x:c r="A134" s="313" t="n">
        <x:f t="shared" si="2">ROW()-ROW($A$2)+1</x:f>
        <x:v>133</x:v>
      </x:c>
      <x:c r="B134" s="313" t="s">
        <x:v>48</x:v>
      </x:c>
      <x:c r="C134" s="313" t="s">
        <x:v>52</x:v>
      </x:c>
      <x:c r="D134" s="314">
        <x:v>2</x:v>
      </x:c>
      <x:c r="E134" s="320">
        <x:v>1250</x:v>
      </x:c>
      <x:c r="F134" s="320">
        <x:v>2500</x:v>
      </x:c>
      <x:c r="G134" s="320">
        <x:v>900</x:v>
      </x:c>
      <x:c r="H134" s="313" t="s">
        <x:v>59</x:v>
      </x:c>
      <x:c r="I134" s="313" t="s">
        <x:v>28</x:v>
      </x:c>
      <x:c r="J134" s="316" t="n">
        <x:f>IFERROR(G134/F134,0)</x:f>
        <x:v>0.36</x:v>
      </x:c>
      <x:c r="K134" s="312" t="str">
        <x:f>IF(B134="Bilinmeyen Personel","Kontrol","OK")</x:f>
        <x:v>OK</x:v>
      </x:c>
    </x:row>
    <x:row r="135" ht="15.75">
      <x:c r="A135" s="313" t="n">
        <x:f t="shared" si="2">ROW()-ROW($A$2)+1</x:f>
        <x:v>134</x:v>
      </x:c>
      <x:c r="B135" s="313" t="s">
        <x:v>50</x:v>
      </x:c>
      <x:c r="C135" s="313" t="s">
        <x:v>24</x:v>
      </x:c>
      <x:c r="D135" s="314">
        <x:v>1</x:v>
      </x:c>
      <x:c r="E135" s="320">
        <x:v>7600</x:v>
      </x:c>
      <x:c r="F135" s="320">
        <x:v>7600</x:v>
      </x:c>
      <x:c r="G135" s="320">
        <x:v>1600</x:v>
      </x:c>
      <x:c r="H135" s="313" t="s">
        <x:v>59</x:v>
      </x:c>
      <x:c r="I135" s="313" t="s">
        <x:v>21</x:v>
      </x:c>
      <x:c r="J135" s="316" t="n">
        <x:f>IFERROR(G135/F135,0)</x:f>
        <x:v>0.21052631578947367</x:v>
      </x:c>
      <x:c r="K135" s="312" t="str">
        <x:f>IF(B135="Bilinmeyen Personel","Kontrol","OK")</x:f>
        <x:v>OK</x:v>
      </x:c>
    </x:row>
    <x:row r="136" ht="15.75">
      <x:c r="A136" s="313" t="n">
        <x:f t="shared" si="2">ROW()-ROW($A$2)+1</x:f>
        <x:v>135</x:v>
      </x:c>
      <x:c r="B136" s="313" t="s">
        <x:v>9</x:v>
      </x:c>
      <x:c r="C136" s="313" t="s">
        <x:v>14</x:v>
      </x:c>
      <x:c r="D136" s="314">
        <x:v>2</x:v>
      </x:c>
      <x:c r="E136" s="320">
        <x:v>1400</x:v>
      </x:c>
      <x:c r="F136" s="320">
        <x:v>2800</x:v>
      </x:c>
      <x:c r="G136" s="320">
        <x:v>1200</x:v>
      </x:c>
      <x:c r="H136" s="313" t="s">
        <x:v>59</x:v>
      </x:c>
      <x:c r="I136" s="313" t="s">
        <x:v>42</x:v>
      </x:c>
      <x:c r="J136" s="316" t="n">
        <x:f>IFERROR(G136/F136,0)</x:f>
        <x:v>0.42857142857142855</x:v>
      </x:c>
      <x:c r="K136" s="312" t="str">
        <x:f>IF(B136="Bilinmeyen Personel","Kontrol","OK")</x:f>
        <x:v>OK</x:v>
      </x:c>
    </x:row>
    <x:row r="137" ht="15.75">
      <x:c r="A137" s="313" t="n">
        <x:f t="shared" si="2">ROW()-ROW($A$2)+1</x:f>
        <x:v>136</x:v>
      </x:c>
      <x:c r="B137" s="313" t="s">
        <x:v>23</x:v>
      </x:c>
      <x:c r="C137" s="313" t="s">
        <x:v>22</x:v>
      </x:c>
      <x:c r="D137" s="314">
        <x:v>2</x:v>
      </x:c>
      <x:c r="E137" s="320">
        <x:v>2180</x:v>
      </x:c>
      <x:c r="F137" s="320">
        <x:v>4360</x:v>
      </x:c>
      <x:c r="G137" s="320">
        <x:v>1360</x:v>
      </x:c>
      <x:c r="H137" s="313" t="s">
        <x:v>59</x:v>
      </x:c>
      <x:c r="I137" s="313" t="s">
        <x:v>44</x:v>
      </x:c>
      <x:c r="J137" s="316" t="n">
        <x:f>IFERROR(G137/F137,0)</x:f>
        <x:v>0.3119266055045872</x:v>
      </x:c>
      <x:c r="K137" s="312" t="str">
        <x:f>IF(B137="Bilinmeyen Personel","Kontrol","OK")</x:f>
        <x:v>OK</x:v>
      </x:c>
    </x:row>
    <x:row r="138" ht="15.75">
      <x:c r="A138" s="313" t="n">
        <x:f t="shared" si="2">ROW()-ROW($A$2)+1</x:f>
        <x:v>137</x:v>
      </x:c>
      <x:c r="B138" s="313" t="s">
        <x:v>9</x:v>
      </x:c>
      <x:c r="C138" s="313" t="s">
        <x:v>51</x:v>
      </x:c>
      <x:c r="D138" s="314">
        <x:v>3</x:v>
      </x:c>
      <x:c r="E138" s="320">
        <x:v>1800</x:v>
      </x:c>
      <x:c r="F138" s="320">
        <x:v>5400</x:v>
      </x:c>
      <x:c r="G138" s="320">
        <x:v>3000</x:v>
      </x:c>
      <x:c r="H138" s="313" t="s">
        <x:v>59</x:v>
      </x:c>
      <x:c r="I138" s="313" t="s">
        <x:v>31</x:v>
      </x:c>
      <x:c r="J138" s="316" t="n">
        <x:f>IFERROR(G138/F138,0)</x:f>
        <x:v>0.5555555555555556</x:v>
      </x:c>
      <x:c r="K138" s="312" t="str">
        <x:f>IF(B138="Bilinmeyen Personel","Kontrol","OK")</x:f>
        <x:v>OK</x:v>
      </x:c>
    </x:row>
    <x:row r="139" ht="15.75">
      <x:c r="A139" s="313" t="n">
        <x:f t="shared" si="2">ROW()-ROW($A$2)+1</x:f>
        <x:v>138</x:v>
      </x:c>
      <x:c r="B139" s="313" t="s">
        <x:v>16</x:v>
      </x:c>
      <x:c r="C139" s="313" t="s">
        <x:v>57</x:v>
      </x:c>
      <x:c r="D139" s="314">
        <x:v>1</x:v>
      </x:c>
      <x:c r="E139" s="320">
        <x:v>1500</x:v>
      </x:c>
      <x:c r="F139" s="320">
        <x:v>1500</x:v>
      </x:c>
      <x:c r="G139" s="320">
        <x:v>700</x:v>
      </x:c>
      <x:c r="H139" s="313" t="s">
        <x:v>59</x:v>
      </x:c>
      <x:c r="I139" s="313" t="s">
        <x:v>15</x:v>
      </x:c>
      <x:c r="J139" s="316" t="n">
        <x:f>IFERROR(G139/F139,0)</x:f>
        <x:v>0.4666666666666667</x:v>
      </x:c>
      <x:c r="K139" s="312" t="str">
        <x:f>IF(B139="Bilinmeyen Personel","Kontrol","OK")</x:f>
        <x:v>OK</x:v>
      </x:c>
    </x:row>
    <x:row r="140" ht="15.75">
      <x:c r="A140" s="313" t="n">
        <x:f t="shared" si="2">ROW()-ROW($A$2)+1</x:f>
        <x:v>139</x:v>
      </x:c>
      <x:c r="B140" s="313" t="s">
        <x:v>32</x:v>
      </x:c>
      <x:c r="C140" s="313" t="s">
        <x:v>17</x:v>
      </x:c>
      <x:c r="D140" s="314">
        <x:v>3</x:v>
      </x:c>
      <x:c r="E140" s="320">
        <x:v>8450</x:v>
      </x:c>
      <x:c r="F140" s="320">
        <x:v>25350</x:v>
      </x:c>
      <x:c r="G140" s="320">
        <x:v>7350</x:v>
      </x:c>
      <x:c r="H140" s="313" t="s">
        <x:v>59</x:v>
      </x:c>
      <x:c r="I140" s="313" t="s">
        <x:v>37</x:v>
      </x:c>
      <x:c r="J140" s="316" t="n">
        <x:f>IFERROR(G140/F140,0)</x:f>
        <x:v>0.28994082840236685</x:v>
      </x:c>
      <x:c r="K140" s="312" t="str">
        <x:f>IF(B140="Bilinmeyen Personel","Kontrol","OK")</x:f>
        <x:v>OK</x:v>
      </x:c>
    </x:row>
    <x:row r="141" ht="15.75">
      <x:c r="A141" s="313" t="n">
        <x:f t="shared" si="2">ROW()-ROW($A$2)+1</x:f>
        <x:v>140</x:v>
      </x:c>
      <x:c r="B141" s="313" t="s">
        <x:v>40</x:v>
      </x:c>
      <x:c r="C141" s="313" t="s">
        <x:v>57</x:v>
      </x:c>
      <x:c r="D141" s="314">
        <x:v>3</x:v>
      </x:c>
      <x:c r="E141" s="320">
        <x:v>1500</x:v>
      </x:c>
      <x:c r="F141" s="320">
        <x:v>4500</x:v>
      </x:c>
      <x:c r="G141" s="320">
        <x:v>2100</x:v>
      </x:c>
      <x:c r="H141" s="313" t="s">
        <x:v>59</x:v>
      </x:c>
      <x:c r="I141" s="313" t="s">
        <x:v>41</x:v>
      </x:c>
      <x:c r="J141" s="316" t="n">
        <x:f>IFERROR(G141/F141,0)</x:f>
        <x:v>0.4666666666666667</x:v>
      </x:c>
      <x:c r="K141" s="312" t="str">
        <x:f>IF(B141="Bilinmeyen Personel","Kontrol","OK")</x:f>
        <x:v>OK</x:v>
      </x:c>
    </x:row>
    <x:row r="142" ht="15.75">
      <x:c r="A142" s="313" t="n">
        <x:f t="shared" si="2">ROW()-ROW($A$2)+1</x:f>
        <x:v>141</x:v>
      </x:c>
      <x:c r="B142" s="313" t="s">
        <x:v>29</x:v>
      </x:c>
      <x:c r="C142" s="313" t="s">
        <x:v>10</x:v>
      </x:c>
      <x:c r="D142" s="314">
        <x:v>3</x:v>
      </x:c>
      <x:c r="E142" s="320">
        <x:v>6000</x:v>
      </x:c>
      <x:c r="F142" s="320">
        <x:v>18000</x:v>
      </x:c>
      <x:c r="G142" s="320">
        <x:v>6000</x:v>
      </x:c>
      <x:c r="H142" s="313" t="s">
        <x:v>59</x:v>
      </x:c>
      <x:c r="I142" s="313" t="s">
        <x:v>54</x:v>
      </x:c>
      <x:c r="J142" s="316" t="n">
        <x:f>IFERROR(G142/F142,0)</x:f>
        <x:v>0.3333333333333333</x:v>
      </x:c>
      <x:c r="K142" s="312" t="str">
        <x:f>IF(B142="Bilinmeyen Personel","Kontrol","OK")</x:f>
        <x:v>OK</x:v>
      </x:c>
    </x:row>
    <x:row r="143" ht="15.75">
      <x:c r="A143" s="313" t="n">
        <x:f t="shared" si="2">ROW()-ROW($A$2)+1</x:f>
        <x:v>142</x:v>
      </x:c>
      <x:c r="B143" s="313" t="s">
        <x:v>50</x:v>
      </x:c>
      <x:c r="C143" s="313" t="s">
        <x:v>53</x:v>
      </x:c>
      <x:c r="D143" s="314">
        <x:v>1</x:v>
      </x:c>
      <x:c r="E143" s="320">
        <x:v>1200</x:v>
      </x:c>
      <x:c r="F143" s="320">
        <x:v>1200</x:v>
      </x:c>
      <x:c r="G143" s="320">
        <x:v>400</x:v>
      </x:c>
      <x:c r="H143" s="313" t="s">
        <x:v>59</x:v>
      </x:c>
      <x:c r="I143" s="313" t="s">
        <x:v>42</x:v>
      </x:c>
      <x:c r="J143" s="316" t="n">
        <x:f>IFERROR(G143/F143,0)</x:f>
        <x:v>0.3333333333333333</x:v>
      </x:c>
      <x:c r="K143" s="312" t="str">
        <x:f>IF(B143="Bilinmeyen Personel","Kontrol","OK")</x:f>
        <x:v>OK</x:v>
      </x:c>
    </x:row>
    <x:row r="144" ht="15.75">
      <x:c r="A144" s="313" t="n">
        <x:f t="shared" si="2">ROW()-ROW($A$2)+1</x:f>
        <x:v>143</x:v>
      </x:c>
      <x:c r="B144" s="313" t="s">
        <x:v>9</x:v>
      </x:c>
      <x:c r="C144" s="313" t="s">
        <x:v>45</x:v>
      </x:c>
      <x:c r="D144" s="314">
        <x:v>3</x:v>
      </x:c>
      <x:c r="E144" s="320">
        <x:v>4200</x:v>
      </x:c>
      <x:c r="F144" s="320">
        <x:v>12600</x:v>
      </x:c>
      <x:c r="G144" s="320">
        <x:v>3600</x:v>
      </x:c>
      <x:c r="H144" s="313" t="s">
        <x:v>59</x:v>
      </x:c>
      <x:c r="I144" s="313" t="s">
        <x:v>28</x:v>
      </x:c>
      <x:c r="J144" s="316" t="n">
        <x:f>IFERROR(G144/F144,0)</x:f>
        <x:v>0.2857142857142857</x:v>
      </x:c>
      <x:c r="K144" s="312" t="str">
        <x:f>IF(B144="Bilinmeyen Personel","Kontrol","OK")</x:f>
        <x:v>OK</x:v>
      </x:c>
    </x:row>
    <x:row r="145" ht="15.75">
      <x:c r="A145" s="313" t="n">
        <x:f t="shared" si="2">ROW()-ROW($A$2)+1</x:f>
        <x:v>144</x:v>
      </x:c>
      <x:c r="B145" s="313" t="s">
        <x:v>48</x:v>
      </x:c>
      <x:c r="C145" s="313" t="s">
        <x:v>24</x:v>
      </x:c>
      <x:c r="D145" s="314">
        <x:v>3</x:v>
      </x:c>
      <x:c r="E145" s="320">
        <x:v>7600</x:v>
      </x:c>
      <x:c r="F145" s="320">
        <x:v>22800</x:v>
      </x:c>
      <x:c r="G145" s="320">
        <x:v>4800</x:v>
      </x:c>
      <x:c r="H145" s="313" t="s">
        <x:v>59</x:v>
      </x:c>
      <x:c r="I145" s="313" t="s">
        <x:v>54</x:v>
      </x:c>
      <x:c r="J145" s="316" t="n">
        <x:f>IFERROR(G145/F145,0)</x:f>
        <x:v>0.21052631578947367</x:v>
      </x:c>
      <x:c r="K145" s="312" t="str">
        <x:f>IF(B145="Bilinmeyen Personel","Kontrol","OK")</x:f>
        <x:v>OK</x:v>
      </x:c>
    </x:row>
    <x:row r="146" ht="15.75">
      <x:c r="A146" s="313" t="n">
        <x:f t="shared" si="2">ROW()-ROW($A$2)+1</x:f>
        <x:v>145</x:v>
      </x:c>
      <x:c r="B146" s="313" t="s">
        <x:v>29</x:v>
      </x:c>
      <x:c r="C146" s="313" t="s">
        <x:v>26</x:v>
      </x:c>
      <x:c r="D146" s="314">
        <x:v>2</x:v>
      </x:c>
      <x:c r="E146" s="320">
        <x:v>7250</x:v>
      </x:c>
      <x:c r="F146" s="320">
        <x:v>14500</x:v>
      </x:c>
      <x:c r="G146" s="320">
        <x:v>4500</x:v>
      </x:c>
      <x:c r="H146" s="313" t="s">
        <x:v>60</x:v>
      </x:c>
      <x:c r="I146" s="313" t="s">
        <x:v>44</x:v>
      </x:c>
      <x:c r="J146" s="316" t="n">
        <x:f>IFERROR(G146/F146,0)</x:f>
        <x:v>0.3103448275862069</x:v>
      </x:c>
      <x:c r="K146" s="312" t="str">
        <x:f>IF(B146="Bilinmeyen Personel","Kontrol","OK")</x:f>
        <x:v>OK</x:v>
      </x:c>
    </x:row>
    <x:row r="147" ht="15.75">
      <x:c r="A147" s="313" t="n">
        <x:f t="shared" si="2">ROW()-ROW($A$2)+1</x:f>
        <x:v>146</x:v>
      </x:c>
      <x:c r="B147" s="313" t="s">
        <x:v>13</x:v>
      </x:c>
      <x:c r="C147" s="313" t="s">
        <x:v>55</x:v>
      </x:c>
      <x:c r="D147" s="314">
        <x:v>2</x:v>
      </x:c>
      <x:c r="E147" s="320">
        <x:v>7530</x:v>
      </x:c>
      <x:c r="F147" s="320">
        <x:v>15060</x:v>
      </x:c>
      <x:c r="G147" s="320">
        <x:v>3060</x:v>
      </x:c>
      <x:c r="H147" s="313" t="s">
        <x:v>60</x:v>
      </x:c>
      <x:c r="I147" s="313" t="s">
        <x:v>18</x:v>
      </x:c>
      <x:c r="J147" s="316" t="n">
        <x:f>IFERROR(G147/F147,0)</x:f>
        <x:v>0.20318725099601595</x:v>
      </x:c>
      <x:c r="K147" s="312" t="str">
        <x:f>IF(B147="Bilinmeyen Personel","Kontrol","OK")</x:f>
        <x:v>OK</x:v>
      </x:c>
    </x:row>
    <x:row r="148" ht="15.75">
      <x:c r="A148" s="313" t="n">
        <x:f t="shared" si="2">ROW()-ROW($A$2)+1</x:f>
        <x:v>147</x:v>
      </x:c>
      <x:c r="B148" s="313" t="s">
        <x:v>16</x:v>
      </x:c>
      <x:c r="C148" s="313" t="s">
        <x:v>26</x:v>
      </x:c>
      <x:c r="D148" s="314">
        <x:v>2</x:v>
      </x:c>
      <x:c r="E148" s="320">
        <x:v>7250</x:v>
      </x:c>
      <x:c r="F148" s="320">
        <x:v>14500</x:v>
      </x:c>
      <x:c r="G148" s="320">
        <x:v>4500</x:v>
      </x:c>
      <x:c r="H148" s="313" t="s">
        <x:v>60</x:v>
      </x:c>
      <x:c r="I148" s="313" t="s">
        <x:v>15</x:v>
      </x:c>
      <x:c r="J148" s="316" t="n">
        <x:f>IFERROR(G148/F148,0)</x:f>
        <x:v>0.3103448275862069</x:v>
      </x:c>
      <x:c r="K148" s="312" t="str">
        <x:f>IF(B148="Bilinmeyen Personel","Kontrol","OK")</x:f>
        <x:v>OK</x:v>
      </x:c>
    </x:row>
    <x:row r="149" ht="15.75">
      <x:c r="A149" s="313" t="n">
        <x:f t="shared" si="2">ROW()-ROW($A$2)+1</x:f>
        <x:v>148</x:v>
      </x:c>
      <x:c r="B149" s="313" t="s">
        <x:v>13</x:v>
      </x:c>
      <x:c r="C149" s="313" t="s">
        <x:v>10</x:v>
      </x:c>
      <x:c r="D149" s="314">
        <x:v>1</x:v>
      </x:c>
      <x:c r="E149" s="320">
        <x:v>6000</x:v>
      </x:c>
      <x:c r="F149" s="320">
        <x:v>6000</x:v>
      </x:c>
      <x:c r="G149" s="320">
        <x:v>2000</x:v>
      </x:c>
      <x:c r="H149" s="313" t="s">
        <x:v>60</x:v>
      </x:c>
      <x:c r="I149" s="313" t="s">
        <x:v>25</x:v>
      </x:c>
      <x:c r="J149" s="316" t="n">
        <x:f>IFERROR(G149/F149,0)</x:f>
        <x:v>0.3333333333333333</x:v>
      </x:c>
      <x:c r="K149" s="312" t="str">
        <x:f>IF(B149="Bilinmeyen Personel","Kontrol","OK")</x:f>
        <x:v>OK</x:v>
      </x:c>
    </x:row>
    <x:row r="150" ht="15.75">
      <x:c r="A150" s="313" t="n">
        <x:f t="shared" si="2">ROW()-ROW($A$2)+1</x:f>
        <x:v>149</x:v>
      </x:c>
      <x:c r="B150" s="313" t="s">
        <x:v>29</x:v>
      </x:c>
      <x:c r="C150" s="313" t="s">
        <x:v>53</x:v>
      </x:c>
      <x:c r="D150" s="314">
        <x:v>3</x:v>
      </x:c>
      <x:c r="E150" s="320">
        <x:v>1200</x:v>
      </x:c>
      <x:c r="F150" s="320">
        <x:v>3600</x:v>
      </x:c>
      <x:c r="G150" s="320">
        <x:v>1200</x:v>
      </x:c>
      <x:c r="H150" s="313" t="s">
        <x:v>60</x:v>
      </x:c>
      <x:c r="I150" s="313" t="s">
        <x:v>18</x:v>
      </x:c>
      <x:c r="J150" s="316" t="n">
        <x:f>IFERROR(G150/F150,0)</x:f>
        <x:v>0.3333333333333333</x:v>
      </x:c>
      <x:c r="K150" s="312" t="str">
        <x:f>IF(B150="Bilinmeyen Personel","Kontrol","OK")</x:f>
        <x:v>OK</x:v>
      </x:c>
    </x:row>
    <x:row r="151" ht="15.75">
      <x:c r="A151" s="313" t="n">
        <x:f t="shared" si="2">ROW()-ROW($A$2)+1</x:f>
        <x:v>150</x:v>
      </x:c>
      <x:c r="B151" s="313" t="s">
        <x:v>50</x:v>
      </x:c>
      <x:c r="C151" s="313" t="s">
        <x:v>56</x:v>
      </x:c>
      <x:c r="D151" s="314">
        <x:v>2</x:v>
      </x:c>
      <x:c r="E151" s="320">
        <x:v>5300</x:v>
      </x:c>
      <x:c r="F151" s="320">
        <x:v>10600</x:v>
      </x:c>
      <x:c r="G151" s="320">
        <x:v>2600</x:v>
      </x:c>
      <x:c r="H151" s="313" t="s">
        <x:v>60</x:v>
      </x:c>
      <x:c r="I151" s="313" t="s">
        <x:v>28</x:v>
      </x:c>
      <x:c r="J151" s="316" t="n">
        <x:f>IFERROR(G151/F151,0)</x:f>
        <x:v>0.24528301886792453</x:v>
      </x:c>
      <x:c r="K151" s="312" t="str">
        <x:f>IF(B151="Bilinmeyen Personel","Kontrol","OK")</x:f>
        <x:v>OK</x:v>
      </x:c>
    </x:row>
    <x:row r="152" ht="15.75">
      <x:c r="A152" s="313" t="n">
        <x:f t="shared" si="2">ROW()-ROW($A$2)+1</x:f>
        <x:v>151</x:v>
      </x:c>
      <x:c r="B152" s="313" t="s">
        <x:v>38</x:v>
      </x:c>
      <x:c r="C152" s="313" t="s">
        <x:v>17</x:v>
      </x:c>
      <x:c r="D152" s="314">
        <x:v>2</x:v>
      </x:c>
      <x:c r="E152" s="320">
        <x:v>8450</x:v>
      </x:c>
      <x:c r="F152" s="320">
        <x:v>16900</x:v>
      </x:c>
      <x:c r="G152" s="320">
        <x:v>4900</x:v>
      </x:c>
      <x:c r="H152" s="313" t="s">
        <x:v>60</x:v>
      </x:c>
      <x:c r="I152" s="313" t="s">
        <x:v>21</x:v>
      </x:c>
      <x:c r="J152" s="316" t="n">
        <x:f>IFERROR(G152/F152,0)</x:f>
        <x:v>0.28994082840236685</x:v>
      </x:c>
      <x:c r="K152" s="312" t="str">
        <x:f>IF(B152="Bilinmeyen Personel","Kontrol","OK")</x:f>
        <x:v>OK</x:v>
      </x:c>
    </x:row>
    <x:row r="153" ht="15.75">
      <x:c r="A153" s="313" t="n">
        <x:f t="shared" si="2">ROW()-ROW($A$2)+1</x:f>
        <x:v>152</x:v>
      </x:c>
      <x:c r="B153" s="313" t="s">
        <x:v>23</x:v>
      </x:c>
      <x:c r="C153" s="313" t="s">
        <x:v>20</x:v>
      </x:c>
      <x:c r="D153" s="314">
        <x:v>1</x:v>
      </x:c>
      <x:c r="E153" s="320">
        <x:v>1350</x:v>
      </x:c>
      <x:c r="F153" s="320">
        <x:v>1350</x:v>
      </x:c>
      <x:c r="G153" s="320">
        <x:v>550</x:v>
      </x:c>
      <x:c r="H153" s="313" t="s">
        <x:v>60</x:v>
      </x:c>
      <x:c r="I153" s="313" t="s">
        <x:v>37</x:v>
      </x:c>
      <x:c r="J153" s="316" t="n">
        <x:f>IFERROR(G153/F153,0)</x:f>
        <x:v>0.4074074074074074</x:v>
      </x:c>
      <x:c r="K153" s="312" t="str">
        <x:f>IF(B153="Bilinmeyen Personel","Kontrol","OK")</x:f>
        <x:v>OK</x:v>
      </x:c>
    </x:row>
    <x:row r="154" ht="15.75">
      <x:c r="A154" s="313" t="n">
        <x:f t="shared" si="2">ROW()-ROW($A$2)+1</x:f>
        <x:v>153</x:v>
      </x:c>
      <x:c r="B154" s="313" t="s">
        <x:v>32</x:v>
      </x:c>
      <x:c r="C154" s="313" t="s">
        <x:v>34</x:v>
      </x:c>
      <x:c r="D154" s="314">
        <x:v>1</x:v>
      </x:c>
      <x:c r="E154" s="320">
        <x:v>1090</x:v>
      </x:c>
      <x:c r="F154" s="320">
        <x:v>1090</x:v>
      </x:c>
      <x:c r="G154" s="320">
        <x:v>290</x:v>
      </x:c>
      <x:c r="H154" s="313" t="s">
        <x:v>60</x:v>
      </x:c>
      <x:c r="I154" s="313" t="s">
        <x:v>15</x:v>
      </x:c>
      <x:c r="J154" s="316" t="n">
        <x:f>IFERROR(G154/F154,0)</x:f>
        <x:v>0.26605504587155965</x:v>
      </x:c>
      <x:c r="K154" s="312" t="str">
        <x:f>IF(B154="Bilinmeyen Personel","Kontrol","OK")</x:f>
        <x:v>OK</x:v>
      </x:c>
    </x:row>
    <x:row r="155" ht="15.75">
      <x:c r="A155" s="313" t="n">
        <x:f t="shared" si="2">ROW()-ROW($A$2)+1</x:f>
        <x:v>154</x:v>
      </x:c>
      <x:c r="B155" s="313" t="s">
        <x:v>23</x:v>
      </x:c>
      <x:c r="C155" s="313" t="s">
        <x:v>22</x:v>
      </x:c>
      <x:c r="D155" s="314">
        <x:v>1</x:v>
      </x:c>
      <x:c r="E155" s="320">
        <x:v>2180</x:v>
      </x:c>
      <x:c r="F155" s="320">
        <x:v>2180</x:v>
      </x:c>
      <x:c r="G155" s="320">
        <x:v>680</x:v>
      </x:c>
      <x:c r="H155" s="313" t="s">
        <x:v>60</x:v>
      </x:c>
      <x:c r="I155" s="313" t="s">
        <x:v>41</x:v>
      </x:c>
      <x:c r="J155" s="316" t="n">
        <x:f>IFERROR(G155/F155,0)</x:f>
        <x:v>0.3119266055045872</x:v>
      </x:c>
      <x:c r="K155" s="312" t="str">
        <x:f>IF(B155="Bilinmeyen Personel","Kontrol","OK")</x:f>
        <x:v>OK</x:v>
      </x:c>
    </x:row>
    <x:row r="156" ht="15.75">
      <x:c r="A156" s="313" t="n">
        <x:f t="shared" si="2">ROW()-ROW($A$2)+1</x:f>
        <x:v>155</x:v>
      </x:c>
      <x:c r="B156" s="313" t="s">
        <x:v>9</x:v>
      </x:c>
      <x:c r="C156" s="313" t="s">
        <x:v>51</x:v>
      </x:c>
      <x:c r="D156" s="314">
        <x:v>2</x:v>
      </x:c>
      <x:c r="E156" s="320">
        <x:v>6000</x:v>
      </x:c>
      <x:c r="F156" s="320">
        <x:v>12000</x:v>
      </x:c>
      <x:c r="G156" s="320">
        <x:v>4000</x:v>
      </x:c>
      <x:c r="H156" s="313" t="s">
        <x:v>60</x:v>
      </x:c>
      <x:c r="I156" s="313" t="s">
        <x:v>42</x:v>
      </x:c>
      <x:c r="J156" s="316" t="n">
        <x:f>IFERROR(G156/F156,0)</x:f>
        <x:v>0.3333333333333333</x:v>
      </x:c>
      <x:c r="K156" s="312" t="str">
        <x:f>IF(B156="Bilinmeyen Personel","Kontrol","OK")</x:f>
        <x:v>OK</x:v>
      </x:c>
    </x:row>
    <x:row r="157" ht="15.75">
      <x:c r="A157" s="313" t="n">
        <x:f t="shared" si="2">ROW()-ROW($A$2)+1</x:f>
        <x:v>156</x:v>
      </x:c>
      <x:c r="B157" s="313" t="s">
        <x:v>13</x:v>
      </x:c>
      <x:c r="C157" s="313" t="s">
        <x:v>14</x:v>
      </x:c>
      <x:c r="D157" s="314">
        <x:v>2</x:v>
      </x:c>
      <x:c r="E157" s="320">
        <x:v>1400</x:v>
      </x:c>
      <x:c r="F157" s="320">
        <x:v>2800</x:v>
      </x:c>
      <x:c r="G157" s="320">
        <x:v>1200</x:v>
      </x:c>
      <x:c r="H157" s="313" t="s">
        <x:v>60</x:v>
      </x:c>
      <x:c r="I157" s="313" t="s">
        <x:v>37</x:v>
      </x:c>
      <x:c r="J157" s="316" t="n">
        <x:f>IFERROR(G157/F157,0)</x:f>
        <x:v>0.42857142857142855</x:v>
      </x:c>
      <x:c r="K157" s="312" t="str">
        <x:f>IF(B157="Bilinmeyen Personel","Kontrol","OK")</x:f>
        <x:v>OK</x:v>
      </x:c>
    </x:row>
    <x:row r="158" ht="15.75">
      <x:c r="A158" s="313" t="n">
        <x:f t="shared" si="2">ROW()-ROW($A$2)+1</x:f>
        <x:v>157</x:v>
      </x:c>
      <x:c r="B158" s="313" t="s">
        <x:v>16</x:v>
      </x:c>
      <x:c r="C158" s="313" t="s">
        <x:v>17</x:v>
      </x:c>
      <x:c r="D158" s="314">
        <x:v>2</x:v>
      </x:c>
      <x:c r="E158" s="320">
        <x:v>8450</x:v>
      </x:c>
      <x:c r="F158" s="320">
        <x:v>16900</x:v>
      </x:c>
      <x:c r="G158" s="320">
        <x:v>4900</x:v>
      </x:c>
      <x:c r="H158" s="313" t="s">
        <x:v>60</x:v>
      </x:c>
      <x:c r="I158" s="313" t="s">
        <x:v>31</x:v>
      </x:c>
      <x:c r="J158" s="316" t="n">
        <x:f>IFERROR(G158/F158,0)</x:f>
        <x:v>0.28994082840236685</x:v>
      </x:c>
      <x:c r="K158" s="312" t="str">
        <x:f>IF(B158="Bilinmeyen Personel","Kontrol","OK")</x:f>
        <x:v>OK</x:v>
      </x:c>
    </x:row>
    <x:row r="159" ht="15.75">
      <x:c r="A159" s="313" t="n">
        <x:f t="shared" si="2">ROW()-ROW($A$2)+1</x:f>
        <x:v>158</x:v>
      </x:c>
      <x:c r="B159" s="313" t="s">
        <x:v>19</x:v>
      </x:c>
      <x:c r="C159" s="313" t="s">
        <x:v>20</x:v>
      </x:c>
      <x:c r="D159" s="314">
        <x:v>3</x:v>
      </x:c>
      <x:c r="E159" s="320">
        <x:v>1350</x:v>
      </x:c>
      <x:c r="F159" s="320">
        <x:v>4050</x:v>
      </x:c>
      <x:c r="G159" s="320">
        <x:v>1650</x:v>
      </x:c>
      <x:c r="H159" s="313" t="s">
        <x:v>60</x:v>
      </x:c>
      <x:c r="I159" s="313" t="s">
        <x:v>44</x:v>
      </x:c>
      <x:c r="J159" s="316" t="n">
        <x:f>IFERROR(G159/F159,0)</x:f>
        <x:v>0.4074074074074074</x:v>
      </x:c>
      <x:c r="K159" s="312" t="str">
        <x:f>IF(B159="Bilinmeyen Personel","Kontrol","OK")</x:f>
        <x:v>OK</x:v>
      </x:c>
    </x:row>
    <x:row r="160" ht="15.75">
      <x:c r="A160" s="313" t="n">
        <x:f t="shared" si="2">ROW()-ROW($A$2)+1</x:f>
        <x:v>159</x:v>
      </x:c>
      <x:c r="B160" s="313" t="s">
        <x:v>9</x:v>
      </x:c>
      <x:c r="C160" s="313" t="s">
        <x:v>22</x:v>
      </x:c>
      <x:c r="D160" s="314">
        <x:v>2</x:v>
      </x:c>
      <x:c r="E160" s="320">
        <x:v>2180</x:v>
      </x:c>
      <x:c r="F160" s="320">
        <x:v>4360</x:v>
      </x:c>
      <x:c r="G160" s="320">
        <x:v>1360</x:v>
      </x:c>
      <x:c r="H160" s="313" t="s">
        <x:v>60</x:v>
      </x:c>
      <x:c r="I160" s="313" t="s">
        <x:v>12</x:v>
      </x:c>
      <x:c r="J160" s="316" t="n">
        <x:f>IFERROR(G160/F160,0)</x:f>
        <x:v>0.3119266055045872</x:v>
      </x:c>
      <x:c r="K160" s="312" t="str">
        <x:f>IF(B160="Bilinmeyen Personel","Kontrol","OK")</x:f>
        <x:v>OK</x:v>
      </x:c>
    </x:row>
    <x:row r="161" ht="15.75">
      <x:c r="A161" s="313" t="n">
        <x:f t="shared" si="2">ROW()-ROW($A$2)+1</x:f>
        <x:v>160</x:v>
      </x:c>
      <x:c r="B161" s="313" t="s">
        <x:v>23</x:v>
      </x:c>
      <x:c r="C161" s="313" t="s">
        <x:v>24</x:v>
      </x:c>
      <x:c r="D161" s="314">
        <x:v>2</x:v>
      </x:c>
      <x:c r="E161" s="320">
        <x:v>7600</x:v>
      </x:c>
      <x:c r="F161" s="320">
        <x:v>15200</x:v>
      </x:c>
      <x:c r="G161" s="320">
        <x:v>3200</x:v>
      </x:c>
      <x:c r="H161" s="313" t="s">
        <x:v>60</x:v>
      </x:c>
      <x:c r="I161" s="313" t="s">
        <x:v>28</x:v>
      </x:c>
      <x:c r="J161" s="316" t="n">
        <x:f>IFERROR(G161/F161,0)</x:f>
        <x:v>0.21052631578947367</x:v>
      </x:c>
      <x:c r="K161" s="312" t="str">
        <x:f>IF(B161="Bilinmeyen Personel","Kontrol","OK")</x:f>
        <x:v>OK</x:v>
      </x:c>
    </x:row>
    <x:row r="162" ht="15.75">
      <x:c r="A162" s="313" t="n">
        <x:f t="shared" si="2">ROW()-ROW($A$2)+1</x:f>
        <x:v>161</x:v>
      </x:c>
      <x:c r="B162" s="313" t="s">
        <x:v>13</x:v>
      </x:c>
      <x:c r="C162" s="313" t="s">
        <x:v>26</x:v>
      </x:c>
      <x:c r="D162" s="314">
        <x:v>2</x:v>
      </x:c>
      <x:c r="E162" s="320">
        <x:v>7250</x:v>
      </x:c>
      <x:c r="F162" s="320">
        <x:v>14500</x:v>
      </x:c>
      <x:c r="G162" s="320">
        <x:v>4500</x:v>
      </x:c>
      <x:c r="H162" s="313" t="s">
        <x:v>60</x:v>
      </x:c>
      <x:c r="I162" s="313" t="s">
        <x:v>44</x:v>
      </x:c>
      <x:c r="J162" s="316" t="n">
        <x:f>IFERROR(G162/F162,0)</x:f>
        <x:v>0.3103448275862069</x:v>
      </x:c>
      <x:c r="K162" s="312" t="str">
        <x:f>IF(B162="Bilinmeyen Personel","Kontrol","OK")</x:f>
        <x:v>OK</x:v>
      </x:c>
    </x:row>
    <x:row r="163" ht="15.75">
      <x:c r="A163" s="313" t="n">
        <x:f t="shared" si="2">ROW()-ROW($A$2)+1</x:f>
        <x:v>162</x:v>
      </x:c>
      <x:c r="B163" s="313" t="s">
        <x:v>19</x:v>
      </x:c>
      <x:c r="C163" s="313" t="s">
        <x:v>58</x:v>
      </x:c>
      <x:c r="D163" s="314">
        <x:v>3</x:v>
      </x:c>
      <x:c r="E163" s="320">
        <x:v>1100</x:v>
      </x:c>
      <x:c r="F163" s="320">
        <x:v>3300</x:v>
      </x:c>
      <x:c r="G163" s="320">
        <x:v>900</x:v>
      </x:c>
      <x:c r="H163" s="313" t="s">
        <x:v>60</x:v>
      </x:c>
      <x:c r="I163" s="313" t="s">
        <x:v>41</x:v>
      </x:c>
      <x:c r="J163" s="316" t="n">
        <x:f>IFERROR(G163/F163,0)</x:f>
        <x:v>0.2727272727272727</x:v>
      </x:c>
      <x:c r="K163" s="312" t="str">
        <x:f>IF(B163="Bilinmeyen Personel","Kontrol","OK")</x:f>
        <x:v>OK</x:v>
      </x:c>
    </x:row>
    <x:row r="164" ht="15.75">
      <x:c r="A164" s="313" t="n">
        <x:f t="shared" si="2">ROW()-ROW($A$2)+1</x:f>
        <x:v>163</x:v>
      </x:c>
      <x:c r="B164" s="313" t="s">
        <x:v>29</x:v>
      </x:c>
      <x:c r="C164" s="313" t="s">
        <x:v>10</x:v>
      </x:c>
      <x:c r="D164" s="314">
        <x:v>2</x:v>
      </x:c>
      <x:c r="E164" s="320">
        <x:v>6000</x:v>
      </x:c>
      <x:c r="F164" s="320">
        <x:v>12000</x:v>
      </x:c>
      <x:c r="G164" s="320">
        <x:v>4000</x:v>
      </x:c>
      <x:c r="H164" s="313" t="s">
        <x:v>60</x:v>
      </x:c>
      <x:c r="I164" s="313" t="s">
        <x:v>18</x:v>
      </x:c>
      <x:c r="J164" s="316" t="n">
        <x:f>IFERROR(G164/F164,0)</x:f>
        <x:v>0.3333333333333333</x:v>
      </x:c>
      <x:c r="K164" s="312" t="str">
        <x:f>IF(B164="Bilinmeyen Personel","Kontrol","OK")</x:f>
        <x:v>OK</x:v>
      </x:c>
    </x:row>
    <x:row r="165" ht="15.75">
      <x:c r="A165" s="313" t="n">
        <x:f t="shared" si="2">ROW()-ROW($A$2)+1</x:f>
        <x:v>164</x:v>
      </x:c>
      <x:c r="B165" s="313" t="s">
        <x:v>9</x:v>
      </x:c>
      <x:c r="C165" s="313" t="s">
        <x:v>30</x:v>
      </x:c>
      <x:c r="D165" s="314">
        <x:v>1</x:v>
      </x:c>
      <x:c r="E165" s="320">
        <x:v>1200</x:v>
      </x:c>
      <x:c r="F165" s="320">
        <x:v>1200</x:v>
      </x:c>
      <x:c r="G165" s="320">
        <x:v>400</x:v>
      </x:c>
      <x:c r="H165" s="313" t="s">
        <x:v>60</x:v>
      </x:c>
      <x:c r="I165" s="313" t="s">
        <x:v>42</x:v>
      </x:c>
      <x:c r="J165" s="316" t="n">
        <x:f>IFERROR(G165/F165,0)</x:f>
        <x:v>0.3333333333333333</x:v>
      </x:c>
      <x:c r="K165" s="312" t="str">
        <x:f>IF(B165="Bilinmeyen Personel","Kontrol","OK")</x:f>
        <x:v>OK</x:v>
      </x:c>
    </x:row>
    <x:row r="166" ht="15.75">
      <x:c r="A166" s="313" t="n">
        <x:f t="shared" si="2">ROW()-ROW($A$2)+1</x:f>
        <x:v>165</x:v>
      </x:c>
      <x:c r="B166" s="313" t="s">
        <x:v>32</x:v>
      </x:c>
      <x:c r="C166" s="313" t="s">
        <x:v>33</x:v>
      </x:c>
      <x:c r="D166" s="314">
        <x:v>2</x:v>
      </x:c>
      <x:c r="E166" s="320">
        <x:v>1800</x:v>
      </x:c>
      <x:c r="F166" s="320">
        <x:v>3600</x:v>
      </x:c>
      <x:c r="G166" s="320">
        <x:v>2000</x:v>
      </x:c>
      <x:c r="H166" s="313" t="s">
        <x:v>60</x:v>
      </x:c>
      <x:c r="I166" s="313" t="s">
        <x:v>42</x:v>
      </x:c>
      <x:c r="J166" s="316" t="n">
        <x:f>IFERROR(G166/F166,0)</x:f>
        <x:v>0.5555555555555556</x:v>
      </x:c>
      <x:c r="K166" s="312" t="str">
        <x:f>IF(B166="Bilinmeyen Personel","Kontrol","OK")</x:f>
        <x:v>OK</x:v>
      </x:c>
    </x:row>
    <x:row r="167" ht="15.75">
      <x:c r="A167" s="313" t="n">
        <x:f t="shared" si="2">ROW()-ROW($A$2)+1</x:f>
        <x:v>166</x:v>
      </x:c>
      <x:c r="B167" s="313" t="s">
        <x:v>32</x:v>
      </x:c>
      <x:c r="C167" s="313" t="s">
        <x:v>34</x:v>
      </x:c>
      <x:c r="D167" s="314">
        <x:v>2</x:v>
      </x:c>
      <x:c r="E167" s="320">
        <x:v>1090</x:v>
      </x:c>
      <x:c r="F167" s="320">
        <x:v>2180</x:v>
      </x:c>
      <x:c r="G167" s="320">
        <x:v>580</x:v>
      </x:c>
      <x:c r="H167" s="313" t="s">
        <x:v>60</x:v>
      </x:c>
      <x:c r="I167" s="313" t="s">
        <x:v>18</x:v>
      </x:c>
      <x:c r="J167" s="316" t="n">
        <x:f>IFERROR(G167/F167,0)</x:f>
        <x:v>0.26605504587155965</x:v>
      </x:c>
      <x:c r="K167" s="312" t="str">
        <x:f>IF(B167="Bilinmeyen Personel","Kontrol","OK")</x:f>
        <x:v>OK</x:v>
      </x:c>
    </x:row>
    <x:row r="168" ht="15.75">
      <x:c r="A168" s="313" t="n">
        <x:f t="shared" si="2">ROW()-ROW($A$2)+1</x:f>
        <x:v>167</x:v>
      </x:c>
      <x:c r="B168" s="313" t="s">
        <x:v>29</x:v>
      </x:c>
      <x:c r="C168" s="313" t="s">
        <x:v>22</x:v>
      </x:c>
      <x:c r="D168" s="314">
        <x:v>3</x:v>
      </x:c>
      <x:c r="E168" s="320">
        <x:v>2180</x:v>
      </x:c>
      <x:c r="F168" s="320">
        <x:v>6540</x:v>
      </x:c>
      <x:c r="G168" s="320">
        <x:v>2040</x:v>
      </x:c>
      <x:c r="H168" s="313" t="s">
        <x:v>60</x:v>
      </x:c>
      <x:c r="I168" s="313" t="s">
        <x:v>44</x:v>
      </x:c>
      <x:c r="J168" s="316" t="n">
        <x:f>IFERROR(G168/F168,0)</x:f>
        <x:v>0.3119266055045872</x:v>
      </x:c>
      <x:c r="K168" s="312" t="str">
        <x:f>IF(B168="Bilinmeyen Personel","Kontrol","OK")</x:f>
        <x:v>OK</x:v>
      </x:c>
    </x:row>
    <x:row r="169" ht="15.75">
      <x:c r="A169" s="313" t="n">
        <x:f t="shared" si="2">ROW()-ROW($A$2)+1</x:f>
        <x:v>168</x:v>
      </x:c>
      <x:c r="B169" s="313" t="s">
        <x:v>35</x:v>
      </x:c>
      <x:c r="C169" s="313" t="s">
        <x:v>33</x:v>
      </x:c>
      <x:c r="D169" s="314">
        <x:v>3</x:v>
      </x:c>
      <x:c r="E169" s="320">
        <x:v>1800</x:v>
      </x:c>
      <x:c r="F169" s="320">
        <x:v>5400</x:v>
      </x:c>
      <x:c r="G169" s="320">
        <x:v>3000</x:v>
      </x:c>
      <x:c r="H169" s="313" t="s">
        <x:v>60</x:v>
      </x:c>
      <x:c r="I169" s="313" t="s">
        <x:v>42</x:v>
      </x:c>
      <x:c r="J169" s="316" t="n">
        <x:f>IFERROR(G169/F169,0)</x:f>
        <x:v>0.5555555555555556</x:v>
      </x:c>
      <x:c r="K169" s="312" t="str">
        <x:f>IF(B169="Bilinmeyen Personel","Kontrol","OK")</x:f>
        <x:v>OK</x:v>
      </x:c>
    </x:row>
    <x:row r="170" ht="15.75">
      <x:c r="A170" s="313" t="n">
        <x:f t="shared" si="2">ROW()-ROW($A$2)+1</x:f>
        <x:v>169</x:v>
      </x:c>
      <x:c r="B170" s="313" t="s">
        <x:v>23</x:v>
      </x:c>
      <x:c r="C170" s="313" t="s">
        <x:v>36</x:v>
      </x:c>
      <x:c r="D170" s="314">
        <x:v>3</x:v>
      </x:c>
      <x:c r="E170" s="320">
        <x:v>8000</x:v>
      </x:c>
      <x:c r="F170" s="320">
        <x:v>24000</x:v>
      </x:c>
      <x:c r="G170" s="320">
        <x:v>6000</x:v>
      </x:c>
      <x:c r="H170" s="313" t="s">
        <x:v>60</x:v>
      </x:c>
      <x:c r="I170" s="313" t="s">
        <x:v>25</x:v>
      </x:c>
      <x:c r="J170" s="316" t="n">
        <x:f>IFERROR(G170/F170,0)</x:f>
        <x:v>0.25</x:v>
      </x:c>
      <x:c r="K170" s="312" t="str">
        <x:f>IF(B170="Bilinmeyen Personel","Kontrol","OK")</x:f>
        <x:v>OK</x:v>
      </x:c>
    </x:row>
    <x:row r="171" ht="15.75">
      <x:c r="A171" s="313" t="n">
        <x:f t="shared" si="2">ROW()-ROW($A$2)+1</x:f>
        <x:v>170</x:v>
      </x:c>
      <x:c r="B171" s="313" t="s">
        <x:v>29</x:v>
      </x:c>
      <x:c r="C171" s="313" t="s">
        <x:v>14</x:v>
      </x:c>
      <x:c r="D171" s="314">
        <x:v>1</x:v>
      </x:c>
      <x:c r="E171" s="320">
        <x:v>1400</x:v>
      </x:c>
      <x:c r="F171" s="320">
        <x:v>1400</x:v>
      </x:c>
      <x:c r="G171" s="320">
        <x:v>600</x:v>
      </x:c>
      <x:c r="H171" s="313" t="s">
        <x:v>60</x:v>
      </x:c>
      <x:c r="I171" s="313" t="s">
        <x:v>25</x:v>
      </x:c>
      <x:c r="J171" s="316" t="n">
        <x:f>IFERROR(G171/F171,0)</x:f>
        <x:v>0.42857142857142855</x:v>
      </x:c>
      <x:c r="K171" s="312" t="str">
        <x:f>IF(B171="Bilinmeyen Personel","Kontrol","OK")</x:f>
        <x:v>OK</x:v>
      </x:c>
    </x:row>
    <x:row r="172" ht="15.75">
      <x:c r="A172" s="313" t="n">
        <x:f t="shared" si="2">ROW()-ROW($A$2)+1</x:f>
        <x:v>171</x:v>
      </x:c>
      <x:c r="B172" s="313" t="s">
        <x:v>38</x:v>
      </x:c>
      <x:c r="C172" s="313" t="s">
        <x:v>51</x:v>
      </x:c>
      <x:c r="D172" s="314">
        <x:v>1</x:v>
      </x:c>
      <x:c r="E172" s="320">
        <x:v>10590</x:v>
      </x:c>
      <x:c r="F172" s="320">
        <x:v>10590</x:v>
      </x:c>
      <x:c r="G172" s="320">
        <x:v>4590</x:v>
      </x:c>
      <x:c r="H172" s="313" t="s">
        <x:v>60</x:v>
      </x:c>
      <x:c r="I172" s="313" t="s">
        <x:v>54</x:v>
      </x:c>
      <x:c r="J172" s="316" t="n">
        <x:f>IFERROR(G172/F172,0)</x:f>
        <x:v>0.43342776203966005</x:v>
      </x:c>
      <x:c r="K172" s="312" t="str">
        <x:f>IF(B172="Bilinmeyen Personel","Kontrol","OK")</x:f>
        <x:v>OK</x:v>
      </x:c>
    </x:row>
    <x:row r="173" ht="15.75">
      <x:c r="A173" s="313" t="n">
        <x:f t="shared" si="2">ROW()-ROW($A$2)+1</x:f>
        <x:v>172</x:v>
      </x:c>
      <x:c r="B173" s="313" t="s">
        <x:v>40</x:v>
      </x:c>
      <x:c r="C173" s="313" t="s">
        <x:v>20</x:v>
      </x:c>
      <x:c r="D173" s="314">
        <x:v>2</x:v>
      </x:c>
      <x:c r="E173" s="320">
        <x:v>1350</x:v>
      </x:c>
      <x:c r="F173" s="320">
        <x:v>2700</x:v>
      </x:c>
      <x:c r="G173" s="320">
        <x:v>1100</x:v>
      </x:c>
      <x:c r="H173" s="313" t="s">
        <x:v>60</x:v>
      </x:c>
      <x:c r="I173" s="313" t="s">
        <x:v>37</x:v>
      </x:c>
      <x:c r="J173" s="316" t="n">
        <x:f>IFERROR(G173/F173,0)</x:f>
        <x:v>0.4074074074074074</x:v>
      </x:c>
      <x:c r="K173" s="312" t="str">
        <x:f>IF(B173="Bilinmeyen Personel","Kontrol","OK")</x:f>
        <x:v>OK</x:v>
      </x:c>
    </x:row>
    <x:row r="174" ht="15.75">
      <x:c r="A174" s="313" t="n">
        <x:f t="shared" si="2">ROW()-ROW($A$2)+1</x:f>
        <x:v>173</x:v>
      </x:c>
      <x:c r="B174" s="313" t="s">
        <x:v>32</x:v>
      </x:c>
      <x:c r="C174" s="313" t="s">
        <x:v>14</x:v>
      </x:c>
      <x:c r="D174" s="314">
        <x:v>2</x:v>
      </x:c>
      <x:c r="E174" s="320">
        <x:v>1400</x:v>
      </x:c>
      <x:c r="F174" s="320">
        <x:v>2800</x:v>
      </x:c>
      <x:c r="G174" s="320">
        <x:v>1200</x:v>
      </x:c>
      <x:c r="H174" s="313" t="s">
        <x:v>60</x:v>
      </x:c>
      <x:c r="I174" s="313" t="s">
        <x:v>31</x:v>
      </x:c>
      <x:c r="J174" s="316" t="n">
        <x:f>IFERROR(G174/F174,0)</x:f>
        <x:v>0.42857142857142855</x:v>
      </x:c>
      <x:c r="K174" s="312" t="str">
        <x:f>IF(B174="Bilinmeyen Personel","Kontrol","OK")</x:f>
        <x:v>OK</x:v>
      </x:c>
    </x:row>
    <x:row r="175" ht="15.75">
      <x:c r="A175" s="313" t="n">
        <x:f t="shared" si="2">ROW()-ROW($A$2)+1</x:f>
        <x:v>174</x:v>
      </x:c>
      <x:c r="B175" s="313" t="s">
        <x:v>19</x:v>
      </x:c>
      <x:c r="C175" s="313" t="s">
        <x:v>10</x:v>
      </x:c>
      <x:c r="D175" s="314">
        <x:v>1</x:v>
      </x:c>
      <x:c r="E175" s="320">
        <x:v>6000</x:v>
      </x:c>
      <x:c r="F175" s="320">
        <x:v>6000</x:v>
      </x:c>
      <x:c r="G175" s="320">
        <x:v>2000</x:v>
      </x:c>
      <x:c r="H175" s="313" t="s">
        <x:v>60</x:v>
      </x:c>
      <x:c r="I175" s="313" t="s">
        <x:v>21</x:v>
      </x:c>
      <x:c r="J175" s="316" t="n">
        <x:f>IFERROR(G175/F175,0)</x:f>
        <x:v>0.3333333333333333</x:v>
      </x:c>
      <x:c r="K175" s="312" t="str">
        <x:f>IF(B175="Bilinmeyen Personel","Kontrol","OK")</x:f>
        <x:v>OK</x:v>
      </x:c>
    </x:row>
    <x:row r="176" ht="15.75">
      <x:c r="A176" s="313" t="n">
        <x:f t="shared" si="2">ROW()-ROW($A$2)+1</x:f>
        <x:v>175</x:v>
      </x:c>
      <x:c r="B176" s="313" t="s">
        <x:v>38</x:v>
      </x:c>
      <x:c r="C176" s="313" t="s">
        <x:v>27</x:v>
      </x:c>
      <x:c r="D176" s="314">
        <x:v>2</x:v>
      </x:c>
      <x:c r="E176" s="320">
        <x:v>1100</x:v>
      </x:c>
      <x:c r="F176" s="320">
        <x:v>2200</x:v>
      </x:c>
      <x:c r="G176" s="320">
        <x:v>600</x:v>
      </x:c>
      <x:c r="H176" s="313" t="s">
        <x:v>60</x:v>
      </x:c>
      <x:c r="I176" s="313" t="s">
        <x:v>44</x:v>
      </x:c>
      <x:c r="J176" s="316" t="n">
        <x:f>IFERROR(G176/F176,0)</x:f>
        <x:v>0.2727272727272727</x:v>
      </x:c>
      <x:c r="K176" s="312" t="str">
        <x:f>IF(B176="Bilinmeyen Personel","Kontrol","OK")</x:f>
        <x:v>OK</x:v>
      </x:c>
    </x:row>
    <x:row r="177" ht="15.75">
      <x:c r="A177" s="313" t="n">
        <x:f t="shared" si="2">ROW()-ROW($A$2)+1</x:f>
        <x:v>176</x:v>
      </x:c>
      <x:c r="B177" s="313" t="s">
        <x:v>16</x:v>
      </x:c>
      <x:c r="C177" s="313" t="s">
        <x:v>10</x:v>
      </x:c>
      <x:c r="D177" s="314">
        <x:v>2</x:v>
      </x:c>
      <x:c r="E177" s="320">
        <x:v>6000</x:v>
      </x:c>
      <x:c r="F177" s="320">
        <x:v>12000</x:v>
      </x:c>
      <x:c r="G177" s="320">
        <x:v>4000</x:v>
      </x:c>
      <x:c r="H177" s="313" t="s">
        <x:v>60</x:v>
      </x:c>
      <x:c r="I177" s="313" t="s">
        <x:v>37</x:v>
      </x:c>
      <x:c r="J177" s="316" t="n">
        <x:f>IFERROR(G177/F177,0)</x:f>
        <x:v>0.3333333333333333</x:v>
      </x:c>
      <x:c r="K177" s="312" t="str">
        <x:f>IF(B177="Bilinmeyen Personel","Kontrol","OK")</x:f>
        <x:v>OK</x:v>
      </x:c>
    </x:row>
    <x:row r="178" ht="15.75">
      <x:c r="A178" s="313" t="n">
        <x:f t="shared" si="2">ROW()-ROW($A$2)+1</x:f>
        <x:v>177</x:v>
      </x:c>
      <x:c r="B178" s="313" t="s">
        <x:v>40</x:v>
      </x:c>
      <x:c r="C178" s="313" t="s">
        <x:v>43</x:v>
      </x:c>
      <x:c r="D178" s="314">
        <x:v>1</x:v>
      </x:c>
      <x:c r="E178" s="320">
        <x:v>1490</x:v>
      </x:c>
      <x:c r="F178" s="320">
        <x:v>1490</x:v>
      </x:c>
      <x:c r="G178" s="320">
        <x:v>690</x:v>
      </x:c>
      <x:c r="H178" s="313" t="s">
        <x:v>60</x:v>
      </x:c>
      <x:c r="I178" s="313" t="s">
        <x:v>12</x:v>
      </x:c>
      <x:c r="J178" s="316" t="n">
        <x:f>IFERROR(G178/F178,0)</x:f>
        <x:v>0.46308724832214765</x:v>
      </x:c>
      <x:c r="K178" s="312" t="str">
        <x:f>IF(B178="Bilinmeyen Personel","Kontrol","OK")</x:f>
        <x:v>OK</x:v>
      </x:c>
    </x:row>
    <x:row r="179" ht="15.75">
      <x:c r="A179" s="313" t="n">
        <x:f t="shared" si="2">ROW()-ROW($A$2)+1</x:f>
        <x:v>178</x:v>
      </x:c>
      <x:c r="B179" s="313" t="s">
        <x:v>38</x:v>
      </x:c>
      <x:c r="C179" s="313" t="s">
        <x:v>39</x:v>
      </x:c>
      <x:c r="D179" s="314">
        <x:v>2</x:v>
      </x:c>
      <x:c r="E179" s="320">
        <x:v>10590</x:v>
      </x:c>
      <x:c r="F179" s="320">
        <x:v>21180</x:v>
      </x:c>
      <x:c r="G179" s="320">
        <x:v>9180</x:v>
      </x:c>
      <x:c r="H179" s="313" t="s">
        <x:v>60</x:v>
      </x:c>
      <x:c r="I179" s="313" t="s">
        <x:v>28</x:v>
      </x:c>
      <x:c r="J179" s="316" t="n">
        <x:f>IFERROR(G179/F179,0)</x:f>
        <x:v>0.43342776203966005</x:v>
      </x:c>
      <x:c r="K179" s="312" t="str">
        <x:f>IF(B179="Bilinmeyen Personel","Kontrol","OK")</x:f>
        <x:v>OK</x:v>
      </x:c>
    </x:row>
    <x:row r="180" ht="15.75">
      <x:c r="A180" s="313" t="n">
        <x:f t="shared" si="2">ROW()-ROW($A$2)+1</x:f>
        <x:v>179</x:v>
      </x:c>
      <x:c r="B180" s="313" t="s">
        <x:v>16</x:v>
      </x:c>
      <x:c r="C180" s="313" t="s">
        <x:v>36</x:v>
      </x:c>
      <x:c r="D180" s="314">
        <x:v>3</x:v>
      </x:c>
      <x:c r="E180" s="320">
        <x:v>8000</x:v>
      </x:c>
      <x:c r="F180" s="320">
        <x:v>24000</x:v>
      </x:c>
      <x:c r="G180" s="320">
        <x:v>6000</x:v>
      </x:c>
      <x:c r="H180" s="313" t="s">
        <x:v>60</x:v>
      </x:c>
      <x:c r="I180" s="313" t="s">
        <x:v>12</x:v>
      </x:c>
      <x:c r="J180" s="316" t="n">
        <x:f>IFERROR(G180/F180,0)</x:f>
        <x:v>0.25</x:v>
      </x:c>
      <x:c r="K180" s="312" t="str">
        <x:f>IF(B180="Bilinmeyen Personel","Kontrol","OK")</x:f>
        <x:v>OK</x:v>
      </x:c>
    </x:row>
    <x:row r="181" ht="15.75">
      <x:c r="A181" s="313" t="n">
        <x:f t="shared" si="2">ROW()-ROW($A$2)+1</x:f>
        <x:v>180</x:v>
      </x:c>
      <x:c r="B181" s="313" t="s">
        <x:v>32</x:v>
      </x:c>
      <x:c r="C181" s="313" t="s">
        <x:v>27</x:v>
      </x:c>
      <x:c r="D181" s="314">
        <x:v>1</x:v>
      </x:c>
      <x:c r="E181" s="320">
        <x:v>1100</x:v>
      </x:c>
      <x:c r="F181" s="320">
        <x:v>1100</x:v>
      </x:c>
      <x:c r="G181" s="320">
        <x:v>300</x:v>
      </x:c>
      <x:c r="H181" s="313" t="s">
        <x:v>60</x:v>
      </x:c>
      <x:c r="I181" s="313" t="s">
        <x:v>54</x:v>
      </x:c>
      <x:c r="J181" s="316" t="n">
        <x:f>IFERROR(G181/F181,0)</x:f>
        <x:v>0.2727272727272727</x:v>
      </x:c>
      <x:c r="K181" s="312" t="str">
        <x:f>IF(B181="Bilinmeyen Personel","Kontrol","OK")</x:f>
        <x:v>OK</x:v>
      </x:c>
    </x:row>
    <x:row r="182" ht="15.75">
      <x:c r="A182" s="313" t="n">
        <x:f t="shared" si="2">ROW()-ROW($A$2)+1</x:f>
        <x:v>181</x:v>
      </x:c>
      <x:c r="B182" s="313" t="s">
        <x:v>40</x:v>
      </x:c>
      <x:c r="C182" s="313" t="s">
        <x:v>30</x:v>
      </x:c>
      <x:c r="D182" s="314">
        <x:v>1</x:v>
      </x:c>
      <x:c r="E182" s="320">
        <x:v>1200</x:v>
      </x:c>
      <x:c r="F182" s="320">
        <x:v>1200</x:v>
      </x:c>
      <x:c r="G182" s="320">
        <x:v>400</x:v>
      </x:c>
      <x:c r="H182" s="313" t="s">
        <x:v>60</x:v>
      </x:c>
      <x:c r="I182" s="313" t="s">
        <x:v>12</x:v>
      </x:c>
      <x:c r="J182" s="316" t="n">
        <x:f>IFERROR(G182/F182,0)</x:f>
        <x:v>0.3333333333333333</x:v>
      </x:c>
      <x:c r="K182" s="312" t="str">
        <x:f>IF(B182="Bilinmeyen Personel","Kontrol","OK")</x:f>
        <x:v>OK</x:v>
      </x:c>
    </x:row>
    <x:row r="183" ht="15.75">
      <x:c r="A183" s="313" t="n">
        <x:f t="shared" si="2">ROW()-ROW($A$2)+1</x:f>
        <x:v>182</x:v>
      </x:c>
      <x:c r="B183" s="313" t="s">
        <x:v>23</x:v>
      </x:c>
      <x:c r="C183" s="313" t="s">
        <x:v>45</x:v>
      </x:c>
      <x:c r="D183" s="314">
        <x:v>2</x:v>
      </x:c>
      <x:c r="E183" s="320">
        <x:v>4200</x:v>
      </x:c>
      <x:c r="F183" s="320">
        <x:v>8400</x:v>
      </x:c>
      <x:c r="G183" s="320">
        <x:v>2400</x:v>
      </x:c>
      <x:c r="H183" s="313" t="s">
        <x:v>60</x:v>
      </x:c>
      <x:c r="I183" s="313" t="s">
        <x:v>21</x:v>
      </x:c>
      <x:c r="J183" s="316" t="n">
        <x:f>IFERROR(G183/F183,0)</x:f>
        <x:v>0.2857142857142857</x:v>
      </x:c>
      <x:c r="K183" s="312" t="str">
        <x:f>IF(B183="Bilinmeyen Personel","Kontrol","OK")</x:f>
        <x:v>OK</x:v>
      </x:c>
    </x:row>
    <x:row r="184" ht="15.75">
      <x:c r="A184" s="313" t="n">
        <x:f t="shared" si="2">ROW()-ROW($A$2)+1</x:f>
        <x:v>183</x:v>
      </x:c>
      <x:c r="B184" s="313" t="s">
        <x:v>13</x:v>
      </x:c>
      <x:c r="C184" s="313" t="s">
        <x:v>47</x:v>
      </x:c>
      <x:c r="D184" s="314">
        <x:v>3</x:v>
      </x:c>
      <x:c r="E184" s="320">
        <x:v>5775</x:v>
      </x:c>
      <x:c r="F184" s="320">
        <x:v>17325</x:v>
      </x:c>
      <x:c r="G184" s="320">
        <x:v>5325</x:v>
      </x:c>
      <x:c r="H184" s="313" t="s">
        <x:v>60</x:v>
      </x:c>
      <x:c r="I184" s="313" t="s">
        <x:v>54</x:v>
      </x:c>
      <x:c r="J184" s="316" t="n">
        <x:f>IFERROR(G184/F184,0)</x:f>
        <x:v>0.30735930735930733</x:v>
      </x:c>
      <x:c r="K184" s="312" t="str">
        <x:f>IF(B184="Bilinmeyen Personel","Kontrol","OK")</x:f>
        <x:v>OK</x:v>
      </x:c>
    </x:row>
    <x:row r="185" ht="15.75">
      <x:c r="A185" s="313" t="n">
        <x:f t="shared" si="2">ROW()-ROW($A$2)+1</x:f>
        <x:v>184</x:v>
      </x:c>
      <x:c r="B185" s="313" t="s">
        <x:v>48</x:v>
      </x:c>
      <x:c r="C185" s="313" t="s">
        <x:v>24</x:v>
      </x:c>
      <x:c r="D185" s="314">
        <x:v>3</x:v>
      </x:c>
      <x:c r="E185" s="320">
        <x:v>7600</x:v>
      </x:c>
      <x:c r="F185" s="320">
        <x:v>22800</x:v>
      </x:c>
      <x:c r="G185" s="320">
        <x:v>4800</x:v>
      </x:c>
      <x:c r="H185" s="313" t="s">
        <x:v>60</x:v>
      </x:c>
      <x:c r="I185" s="313" t="s">
        <x:v>28</x:v>
      </x:c>
      <x:c r="J185" s="316" t="n">
        <x:f>IFERROR(G185/F185,0)</x:f>
        <x:v>0.21052631578947367</x:v>
      </x:c>
      <x:c r="K185" s="312" t="str">
        <x:f>IF(B185="Bilinmeyen Personel","Kontrol","OK")</x:f>
        <x:v>OK</x:v>
      </x:c>
    </x:row>
    <x:row r="186" ht="15.75">
      <x:c r="A186" s="313" t="n">
        <x:f t="shared" si="2">ROW()-ROW($A$2)+1</x:f>
        <x:v>185</x:v>
      </x:c>
      <x:c r="B186" s="313" t="s">
        <x:v>13</x:v>
      </x:c>
      <x:c r="C186" s="313" t="s">
        <x:v>26</x:v>
      </x:c>
      <x:c r="D186" s="314">
        <x:v>3</x:v>
      </x:c>
      <x:c r="E186" s="320">
        <x:v>7250</x:v>
      </x:c>
      <x:c r="F186" s="320">
        <x:v>21750</x:v>
      </x:c>
      <x:c r="G186" s="320">
        <x:v>6750</x:v>
      </x:c>
      <x:c r="H186" s="313" t="s">
        <x:v>60</x:v>
      </x:c>
      <x:c r="I186" s="313" t="s">
        <x:v>37</x:v>
      </x:c>
      <x:c r="J186" s="316" t="n">
        <x:f>IFERROR(G186/F186,0)</x:f>
        <x:v>0.3103448275862069</x:v>
      </x:c>
      <x:c r="K186" s="312" t="str">
        <x:f>IF(B186="Bilinmeyen Personel","Kontrol","OK")</x:f>
        <x:v>OK</x:v>
      </x:c>
    </x:row>
    <x:row r="187" ht="15.75">
      <x:c r="A187" s="313" t="n">
        <x:f t="shared" si="2">ROW()-ROW($A$2)+1</x:f>
        <x:v>186</x:v>
      </x:c>
      <x:c r="B187" s="313" t="s">
        <x:v>9</x:v>
      </x:c>
      <x:c r="C187" s="313" t="s">
        <x:v>26</x:v>
      </x:c>
      <x:c r="D187" s="314">
        <x:v>3</x:v>
      </x:c>
      <x:c r="E187" s="320">
        <x:v>7250</x:v>
      </x:c>
      <x:c r="F187" s="320">
        <x:v>21750</x:v>
      </x:c>
      <x:c r="G187" s="320">
        <x:v>6750</x:v>
      </x:c>
      <x:c r="H187" s="313" t="s">
        <x:v>60</x:v>
      </x:c>
      <x:c r="I187" s="313" t="s">
        <x:v>25</x:v>
      </x:c>
      <x:c r="J187" s="316" t="n">
        <x:f>IFERROR(G187/F187,0)</x:f>
        <x:v>0.3103448275862069</x:v>
      </x:c>
      <x:c r="K187" s="312" t="str">
        <x:f>IF(B187="Bilinmeyen Personel","Kontrol","OK")</x:f>
        <x:v>OK</x:v>
      </x:c>
    </x:row>
    <x:row r="188" ht="15.75">
      <x:c r="A188" s="313" t="n">
        <x:f t="shared" si="2">ROW()-ROW($A$2)+1</x:f>
        <x:v>187</x:v>
      </x:c>
      <x:c r="B188" s="313" t="s">
        <x:v>38</x:v>
      </x:c>
      <x:c r="C188" s="313" t="s">
        <x:v>26</x:v>
      </x:c>
      <x:c r="D188" s="314">
        <x:v>3</x:v>
      </x:c>
      <x:c r="E188" s="320">
        <x:v>7250</x:v>
      </x:c>
      <x:c r="F188" s="320">
        <x:v>21750</x:v>
      </x:c>
      <x:c r="G188" s="320">
        <x:v>6750</x:v>
      </x:c>
      <x:c r="H188" s="313" t="s">
        <x:v>60</x:v>
      </x:c>
      <x:c r="I188" s="313" t="s">
        <x:v>15</x:v>
      </x:c>
      <x:c r="J188" s="316" t="n">
        <x:f>IFERROR(G188/F188,0)</x:f>
        <x:v>0.3103448275862069</x:v>
      </x:c>
      <x:c r="K188" s="312" t="str">
        <x:f>IF(B188="Bilinmeyen Personel","Kontrol","OK")</x:f>
        <x:v>OK</x:v>
      </x:c>
    </x:row>
    <x:row r="189" ht="15.75">
      <x:c r="A189" s="313" t="n">
        <x:f t="shared" si="2">ROW()-ROW($A$2)+1</x:f>
        <x:v>188</x:v>
      </x:c>
      <x:c r="B189" s="313" t="s">
        <x:v>29</x:v>
      </x:c>
      <x:c r="C189" s="313" t="s">
        <x:v>20</x:v>
      </x:c>
      <x:c r="D189" s="314">
        <x:v>1</x:v>
      </x:c>
      <x:c r="E189" s="320">
        <x:v>1350</x:v>
      </x:c>
      <x:c r="F189" s="320">
        <x:v>1350</x:v>
      </x:c>
      <x:c r="G189" s="320">
        <x:v>550</x:v>
      </x:c>
      <x:c r="H189" s="313" t="s">
        <x:v>60</x:v>
      </x:c>
      <x:c r="I189" s="313" t="s">
        <x:v>42</x:v>
      </x:c>
      <x:c r="J189" s="316" t="n">
        <x:f>IFERROR(G189/F189,0)</x:f>
        <x:v>0.4074074074074074</x:v>
      </x:c>
      <x:c r="K189" s="312" t="str">
        <x:f>IF(B189="Bilinmeyen Personel","Kontrol","OK")</x:f>
        <x:v>OK</x:v>
      </x:c>
    </x:row>
    <x:row r="190" ht="15.75">
      <x:c r="A190" s="313" t="n">
        <x:f t="shared" si="2">ROW()-ROW($A$2)+1</x:f>
        <x:v>189</x:v>
      </x:c>
      <x:c r="B190" s="313" t="s">
        <x:v>13</x:v>
      </x:c>
      <x:c r="C190" s="313" t="s">
        <x:v>26</x:v>
      </x:c>
      <x:c r="D190" s="314">
        <x:v>2</x:v>
      </x:c>
      <x:c r="E190" s="320">
        <x:v>7250</x:v>
      </x:c>
      <x:c r="F190" s="320">
        <x:v>14500</x:v>
      </x:c>
      <x:c r="G190" s="320">
        <x:v>4500</x:v>
      </x:c>
      <x:c r="H190" s="313" t="s">
        <x:v>60</x:v>
      </x:c>
      <x:c r="I190" s="313" t="s">
        <x:v>54</x:v>
      </x:c>
      <x:c r="J190" s="316" t="n">
        <x:f>IFERROR(G190/F190,0)</x:f>
        <x:v>0.3103448275862069</x:v>
      </x:c>
      <x:c r="K190" s="312" t="str">
        <x:f>IF(B190="Bilinmeyen Personel","Kontrol","OK")</x:f>
        <x:v>OK</x:v>
      </x:c>
    </x:row>
    <x:row r="191" ht="15.75">
      <x:c r="A191" s="313" t="n">
        <x:f t="shared" si="2">ROW()-ROW($A$2)+1</x:f>
        <x:v>190</x:v>
      </x:c>
      <x:c r="B191" s="313" t="s">
        <x:v>32</x:v>
      </x:c>
      <x:c r="C191" s="313" t="s">
        <x:v>24</x:v>
      </x:c>
      <x:c r="D191" s="314">
        <x:v>1</x:v>
      </x:c>
      <x:c r="E191" s="320">
        <x:v>7600</x:v>
      </x:c>
      <x:c r="F191" s="320">
        <x:v>7600</x:v>
      </x:c>
      <x:c r="G191" s="320">
        <x:v>1600</x:v>
      </x:c>
      <x:c r="H191" s="313" t="s">
        <x:v>60</x:v>
      </x:c>
      <x:c r="I191" s="313" t="s">
        <x:v>25</x:v>
      </x:c>
      <x:c r="J191" s="316" t="n">
        <x:f>IFERROR(G191/F191,0)</x:f>
        <x:v>0.21052631578947367</x:v>
      </x:c>
      <x:c r="K191" s="312" t="str">
        <x:f>IF(B191="Bilinmeyen Personel","Kontrol","OK")</x:f>
        <x:v>OK</x:v>
      </x:c>
    </x:row>
    <x:row r="192" ht="15.75">
      <x:c r="A192" s="313" t="n">
        <x:f t="shared" si="2">ROW()-ROW($A$2)+1</x:f>
        <x:v>191</x:v>
      </x:c>
      <x:c r="B192" s="313" t="s">
        <x:v>50</x:v>
      </x:c>
      <x:c r="C192" s="313" t="s">
        <x:v>24</x:v>
      </x:c>
      <x:c r="D192" s="314">
        <x:v>3</x:v>
      </x:c>
      <x:c r="E192" s="320">
        <x:v>7600</x:v>
      </x:c>
      <x:c r="F192" s="320">
        <x:v>22800</x:v>
      </x:c>
      <x:c r="G192" s="320">
        <x:v>4800</x:v>
      </x:c>
      <x:c r="H192" s="313" t="s">
        <x:v>60</x:v>
      </x:c>
      <x:c r="I192" s="313" t="s">
        <x:v>54</x:v>
      </x:c>
      <x:c r="J192" s="316" t="n">
        <x:f>IFERROR(G192/F192,0)</x:f>
        <x:v>0.21052631578947367</x:v>
      </x:c>
      <x:c r="K192" s="312" t="str">
        <x:f>IF(B192="Bilinmeyen Personel","Kontrol","OK")</x:f>
        <x:v>OK</x:v>
      </x:c>
    </x:row>
    <x:row r="193" ht="15.75">
      <x:c r="A193" s="313" t="n">
        <x:f t="shared" si="2">ROW()-ROW($A$2)+1</x:f>
        <x:v>192</x:v>
      </x:c>
      <x:c r="B193" s="313" t="s">
        <x:v>13</x:v>
      </x:c>
      <x:c r="C193" s="313" t="s">
        <x:v>43</x:v>
      </x:c>
      <x:c r="D193" s="314">
        <x:v>3</x:v>
      </x:c>
      <x:c r="E193" s="320">
        <x:v>1490</x:v>
      </x:c>
      <x:c r="F193" s="320">
        <x:v>4470</x:v>
      </x:c>
      <x:c r="G193" s="320">
        <x:v>2070</x:v>
      </x:c>
      <x:c r="H193" s="313" t="s">
        <x:v>60</x:v>
      </x:c>
      <x:c r="I193" s="313" t="s">
        <x:v>25</x:v>
      </x:c>
      <x:c r="J193" s="316" t="n">
        <x:f>IFERROR(G193/F193,0)</x:f>
        <x:v>0.46308724832214765</x:v>
      </x:c>
      <x:c r="K193" s="312" t="str">
        <x:f>IF(B193="Bilinmeyen Personel","Kontrol","OK")</x:f>
        <x:v>OK</x:v>
      </x:c>
    </x:row>
    <x:row r="194" ht="15.75">
      <x:c r="A194" s="313" t="n">
        <x:f t="shared" si="2">ROW()-ROW($A$2)+1</x:f>
        <x:v>193</x:v>
      </x:c>
      <x:c r="B194" s="313" t="s">
        <x:v>29</x:v>
      </x:c>
      <x:c r="C194" s="313" t="s">
        <x:v>51</x:v>
      </x:c>
      <x:c r="D194" s="314">
        <x:v>2</x:v>
      </x:c>
      <x:c r="E194" s="320">
        <x:v>2900</x:v>
      </x:c>
      <x:c r="F194" s="320">
        <x:v>5800</x:v>
      </x:c>
      <x:c r="G194" s="320">
        <x:v>1800</x:v>
      </x:c>
      <x:c r="H194" s="313" t="s">
        <x:v>60</x:v>
      </x:c>
      <x:c r="I194" s="313" t="s">
        <x:v>25</x:v>
      </x:c>
      <x:c r="J194" s="316" t="n">
        <x:f>IFERROR(G194/F194,0)</x:f>
        <x:v>0.3103448275862069</x:v>
      </x:c>
      <x:c r="K194" s="312" t="str">
        <x:f>IF(B194="Bilinmeyen Personel","Kontrol","OK")</x:f>
        <x:v>OK</x:v>
      </x:c>
    </x:row>
    <x:row r="195" ht="15.75">
      <x:c r="A195" s="313" t="n">
        <x:f t="shared" ref="A195:A258" si="3">ROW()-ROW($A$2)+1</x:f>
        <x:v>194</x:v>
      </x:c>
      <x:c r="B195" s="313" t="s">
        <x:v>40</x:v>
      </x:c>
      <x:c r="C195" s="313" t="s">
        <x:v>43</x:v>
      </x:c>
      <x:c r="D195" s="314">
        <x:v>1</x:v>
      </x:c>
      <x:c r="E195" s="320">
        <x:v>1490</x:v>
      </x:c>
      <x:c r="F195" s="320">
        <x:v>1490</x:v>
      </x:c>
      <x:c r="G195" s="320">
        <x:v>690</x:v>
      </x:c>
      <x:c r="H195" s="313" t="s">
        <x:v>60</x:v>
      </x:c>
      <x:c r="I195" s="313" t="s">
        <x:v>21</x:v>
      </x:c>
      <x:c r="J195" s="316" t="n">
        <x:f>IFERROR(G195/F195,0)</x:f>
        <x:v>0.46308724832214765</x:v>
      </x:c>
      <x:c r="K195" s="312" t="str">
        <x:f>IF(B195="Bilinmeyen Personel","Kontrol","OK")</x:f>
        <x:v>OK</x:v>
      </x:c>
    </x:row>
    <x:row r="196" ht="15.75">
      <x:c r="A196" s="313" t="n">
        <x:f t="shared" si="3">ROW()-ROW($A$2)+1</x:f>
        <x:v>195</x:v>
      </x:c>
      <x:c r="B196" s="313" t="s">
        <x:v>40</x:v>
      </x:c>
      <x:c r="C196" s="313" t="s">
        <x:v>34</x:v>
      </x:c>
      <x:c r="D196" s="314">
        <x:v>2</x:v>
      </x:c>
      <x:c r="E196" s="320">
        <x:v>1090</x:v>
      </x:c>
      <x:c r="F196" s="320">
        <x:v>2180</x:v>
      </x:c>
      <x:c r="G196" s="320">
        <x:v>580</x:v>
      </x:c>
      <x:c r="H196" s="313" t="s">
        <x:v>60</x:v>
      </x:c>
      <x:c r="I196" s="313" t="s">
        <x:v>42</x:v>
      </x:c>
      <x:c r="J196" s="316" t="n">
        <x:f>IFERROR(G196/F196,0)</x:f>
        <x:v>0.26605504587155965</x:v>
      </x:c>
      <x:c r="K196" s="312" t="str">
        <x:f>IF(B196="Bilinmeyen Personel","Kontrol","OK")</x:f>
        <x:v>OK</x:v>
      </x:c>
    </x:row>
    <x:row r="197" ht="15.75">
      <x:c r="A197" s="313" t="n">
        <x:f t="shared" si="3">ROW()-ROW($A$2)+1</x:f>
        <x:v>196</x:v>
      </x:c>
      <x:c r="B197" s="313" t="s">
        <x:v>29</x:v>
      </x:c>
      <x:c r="C197" s="313" t="s">
        <x:v>30</x:v>
      </x:c>
      <x:c r="D197" s="314">
        <x:v>2</x:v>
      </x:c>
      <x:c r="E197" s="320">
        <x:v>1200</x:v>
      </x:c>
      <x:c r="F197" s="320">
        <x:v>2400</x:v>
      </x:c>
      <x:c r="G197" s="320">
        <x:v>800</x:v>
      </x:c>
      <x:c r="H197" s="313" t="s">
        <x:v>60</x:v>
      </x:c>
      <x:c r="I197" s="313" t="s">
        <x:v>37</x:v>
      </x:c>
      <x:c r="J197" s="316" t="n">
        <x:f>IFERROR(G197/F197,0)</x:f>
        <x:v>0.3333333333333333</x:v>
      </x:c>
      <x:c r="K197" s="312" t="str">
        <x:f>IF(B197="Bilinmeyen Personel","Kontrol","OK")</x:f>
        <x:v>OK</x:v>
      </x:c>
    </x:row>
    <x:row r="198" ht="15.75">
      <x:c r="A198" s="313" t="n">
        <x:f t="shared" si="3">ROW()-ROW($A$2)+1</x:f>
        <x:v>197</x:v>
      </x:c>
      <x:c r="B198" s="313" t="s">
        <x:v>38</x:v>
      </x:c>
      <x:c r="C198" s="313" t="s">
        <x:v>39</x:v>
      </x:c>
      <x:c r="D198" s="314">
        <x:v>2</x:v>
      </x:c>
      <x:c r="E198" s="320">
        <x:v>10590</x:v>
      </x:c>
      <x:c r="F198" s="320">
        <x:v>21180</x:v>
      </x:c>
      <x:c r="G198" s="320">
        <x:v>9180</x:v>
      </x:c>
      <x:c r="H198" s="313" t="s">
        <x:v>60</x:v>
      </x:c>
      <x:c r="I198" s="313" t="s">
        <x:v>31</x:v>
      </x:c>
      <x:c r="J198" s="316" t="n">
        <x:f>IFERROR(G198/F198,0)</x:f>
        <x:v>0.43342776203966005</x:v>
      </x:c>
      <x:c r="K198" s="312" t="str">
        <x:f>IF(B198="Bilinmeyen Personel","Kontrol","OK")</x:f>
        <x:v>OK</x:v>
      </x:c>
    </x:row>
    <x:row r="199" ht="15.75">
      <x:c r="A199" s="313" t="n">
        <x:f t="shared" si="3">ROW()-ROW($A$2)+1</x:f>
        <x:v>198</x:v>
      </x:c>
      <x:c r="B199" s="313" t="s">
        <x:v>32</x:v>
      </x:c>
      <x:c r="C199" s="313" t="s">
        <x:v>45</x:v>
      </x:c>
      <x:c r="D199" s="314">
        <x:v>3</x:v>
      </x:c>
      <x:c r="E199" s="320">
        <x:v>4200</x:v>
      </x:c>
      <x:c r="F199" s="320">
        <x:v>12600</x:v>
      </x:c>
      <x:c r="G199" s="320">
        <x:v>3600</x:v>
      </x:c>
      <x:c r="H199" s="313" t="s">
        <x:v>60</x:v>
      </x:c>
      <x:c r="I199" s="313" t="s">
        <x:v>15</x:v>
      </x:c>
      <x:c r="J199" s="316" t="n">
        <x:f>IFERROR(G199/F199,0)</x:f>
        <x:v>0.2857142857142857</x:v>
      </x:c>
      <x:c r="K199" s="312" t="str">
        <x:f>IF(B199="Bilinmeyen Personel","Kontrol","OK")</x:f>
        <x:v>OK</x:v>
      </x:c>
    </x:row>
    <x:row r="200" ht="15.75">
      <x:c r="A200" s="313" t="n">
        <x:f t="shared" si="3">ROW()-ROW($A$2)+1</x:f>
        <x:v>199</x:v>
      </x:c>
      <x:c r="B200" s="313" t="s">
        <x:v>19</x:v>
      </x:c>
      <x:c r="C200" s="313" t="s">
        <x:v>51</x:v>
      </x:c>
      <x:c r="D200" s="314">
        <x:v>3</x:v>
      </x:c>
      <x:c r="E200" s="320">
        <x:v>4200</x:v>
      </x:c>
      <x:c r="F200" s="320">
        <x:v>12600</x:v>
      </x:c>
      <x:c r="G200" s="320">
        <x:v>3600</x:v>
      </x:c>
      <x:c r="H200" s="313" t="s">
        <x:v>60</x:v>
      </x:c>
      <x:c r="I200" s="313" t="s">
        <x:v>21</x:v>
      </x:c>
      <x:c r="J200" s="316" t="n">
        <x:f>IFERROR(G200/F200,0)</x:f>
        <x:v>0.2857142857142857</x:v>
      </x:c>
      <x:c r="K200" s="312" t="str">
        <x:f>IF(B200="Bilinmeyen Personel","Kontrol","OK")</x:f>
        <x:v>OK</x:v>
      </x:c>
    </x:row>
    <x:row r="201" ht="15.75">
      <x:c r="A201" s="313" t="n">
        <x:f t="shared" si="3">ROW()-ROW($A$2)+1</x:f>
        <x:v>200</x:v>
      </x:c>
      <x:c r="B201" s="313" t="s">
        <x:v>35</x:v>
      </x:c>
      <x:c r="C201" s="313" t="s">
        <x:v>39</x:v>
      </x:c>
      <x:c r="D201" s="314">
        <x:v>2</x:v>
      </x:c>
      <x:c r="E201" s="320">
        <x:v>10590</x:v>
      </x:c>
      <x:c r="F201" s="320">
        <x:v>21180</x:v>
      </x:c>
      <x:c r="G201" s="320">
        <x:v>9180</x:v>
      </x:c>
      <x:c r="H201" s="313" t="s">
        <x:v>60</x:v>
      </x:c>
      <x:c r="I201" s="313" t="s">
        <x:v>37</x:v>
      </x:c>
      <x:c r="J201" s="316" t="n">
        <x:f>IFERROR(G201/F201,0)</x:f>
        <x:v>0.43342776203966005</x:v>
      </x:c>
      <x:c r="K201" s="312" t="str">
        <x:f>IF(B201="Bilinmeyen Personel","Kontrol","OK")</x:f>
        <x:v>OK</x:v>
      </x:c>
    </x:row>
    <x:row r="202" ht="15.75">
      <x:c r="A202" s="313" t="n">
        <x:f t="shared" si="3">ROW()-ROW($A$2)+1</x:f>
        <x:v>201</x:v>
      </x:c>
      <x:c r="B202" s="313" t="s">
        <x:v>50</x:v>
      </x:c>
      <x:c r="C202" s="313" t="s">
        <x:v>52</x:v>
      </x:c>
      <x:c r="D202" s="314">
        <x:v>1</x:v>
      </x:c>
      <x:c r="E202" s="320">
        <x:v>1250</x:v>
      </x:c>
      <x:c r="F202" s="320">
        <x:v>1250</x:v>
      </x:c>
      <x:c r="G202" s="320">
        <x:v>450</x:v>
      </x:c>
      <x:c r="H202" s="313" t="s">
        <x:v>60</x:v>
      </x:c>
      <x:c r="I202" s="313" t="s">
        <x:v>54</x:v>
      </x:c>
      <x:c r="J202" s="316" t="n">
        <x:f>IFERROR(G202/F202,0)</x:f>
        <x:v>0.36</x:v>
      </x:c>
      <x:c r="K202" s="312" t="str">
        <x:f>IF(B202="Bilinmeyen Personel","Kontrol","OK")</x:f>
        <x:v>OK</x:v>
      </x:c>
    </x:row>
    <x:row r="203" ht="15.75">
      <x:c r="A203" s="313" t="n">
        <x:f t="shared" si="3">ROW()-ROW($A$2)+1</x:f>
        <x:v>202</x:v>
      </x:c>
      <x:c r="B203" s="313" t="s">
        <x:v>9</x:v>
      </x:c>
      <x:c r="C203" s="313" t="s">
        <x:v>43</x:v>
      </x:c>
      <x:c r="D203" s="314">
        <x:v>3</x:v>
      </x:c>
      <x:c r="E203" s="320">
        <x:v>1490</x:v>
      </x:c>
      <x:c r="F203" s="320">
        <x:v>4470</x:v>
      </x:c>
      <x:c r="G203" s="320">
        <x:v>2070</x:v>
      </x:c>
      <x:c r="H203" s="313" t="s">
        <x:v>60</x:v>
      </x:c>
      <x:c r="I203" s="313" t="s">
        <x:v>21</x:v>
      </x:c>
      <x:c r="J203" s="316" t="n">
        <x:f>IFERROR(G203/F203,0)</x:f>
        <x:v>0.46308724832214765</x:v>
      </x:c>
      <x:c r="K203" s="312" t="str">
        <x:f>IF(B203="Bilinmeyen Personel","Kontrol","OK")</x:f>
        <x:v>OK</x:v>
      </x:c>
    </x:row>
    <x:row r="204" ht="15.75">
      <x:c r="A204" s="313" t="n">
        <x:f t="shared" si="3">ROW()-ROW($A$2)+1</x:f>
        <x:v>203</x:v>
      </x:c>
      <x:c r="B204" s="313" t="s">
        <x:v>32</x:v>
      </x:c>
      <x:c r="C204" s="313" t="s">
        <x:v>30</x:v>
      </x:c>
      <x:c r="D204" s="314">
        <x:v>2</x:v>
      </x:c>
      <x:c r="E204" s="320">
        <x:v>1200</x:v>
      </x:c>
      <x:c r="F204" s="320">
        <x:v>2400</x:v>
      </x:c>
      <x:c r="G204" s="320">
        <x:v>800</x:v>
      </x:c>
      <x:c r="H204" s="313" t="s">
        <x:v>60</x:v>
      </x:c>
      <x:c r="I204" s="313" t="s">
        <x:v>12</x:v>
      </x:c>
      <x:c r="J204" s="316" t="n">
        <x:f>IFERROR(G204/F204,0)</x:f>
        <x:v>0.3333333333333333</x:v>
      </x:c>
      <x:c r="K204" s="312" t="str">
        <x:f>IF(B204="Bilinmeyen Personel","Kontrol","OK")</x:f>
        <x:v>OK</x:v>
      </x:c>
    </x:row>
    <x:row r="205" ht="15.75">
      <x:c r="A205" s="313" t="n">
        <x:f t="shared" si="3">ROW()-ROW($A$2)+1</x:f>
        <x:v>204</x:v>
      </x:c>
      <x:c r="B205" s="313" t="s">
        <x:v>16</x:v>
      </x:c>
      <x:c r="C205" s="313" t="s">
        <x:v>22</x:v>
      </x:c>
      <x:c r="D205" s="314">
        <x:v>3</x:v>
      </x:c>
      <x:c r="E205" s="320">
        <x:v>2180</x:v>
      </x:c>
      <x:c r="F205" s="320">
        <x:v>6540</x:v>
      </x:c>
      <x:c r="G205" s="320">
        <x:v>2040</x:v>
      </x:c>
      <x:c r="H205" s="313" t="s">
        <x:v>60</x:v>
      </x:c>
      <x:c r="I205" s="313" t="s">
        <x:v>31</x:v>
      </x:c>
      <x:c r="J205" s="316" t="n">
        <x:f>IFERROR(G205/F205,0)</x:f>
        <x:v>0.3119266055045872</x:v>
      </x:c>
      <x:c r="K205" s="312" t="str">
        <x:f>IF(B205="Bilinmeyen Personel","Kontrol","OK")</x:f>
        <x:v>OK</x:v>
      </x:c>
    </x:row>
    <x:row r="206" ht="15.75">
      <x:c r="A206" s="313" t="n">
        <x:f t="shared" si="3">ROW()-ROW($A$2)+1</x:f>
        <x:v>205</x:v>
      </x:c>
      <x:c r="B206" s="313" t="s">
        <x:v>40</x:v>
      </x:c>
      <x:c r="C206" s="313" t="s">
        <x:v>53</x:v>
      </x:c>
      <x:c r="D206" s="314">
        <x:v>3</x:v>
      </x:c>
      <x:c r="E206" s="320">
        <x:v>1200</x:v>
      </x:c>
      <x:c r="F206" s="320">
        <x:v>3600</x:v>
      </x:c>
      <x:c r="G206" s="320">
        <x:v>1200</x:v>
      </x:c>
      <x:c r="H206" s="313" t="s">
        <x:v>60</x:v>
      </x:c>
      <x:c r="I206" s="313" t="s">
        <x:v>28</x:v>
      </x:c>
      <x:c r="J206" s="316" t="n">
        <x:f>IFERROR(G206/F206,0)</x:f>
        <x:v>0.3333333333333333</x:v>
      </x:c>
      <x:c r="K206" s="312" t="str">
        <x:f>IF(B206="Bilinmeyen Personel","Kontrol","OK")</x:f>
        <x:v>OK</x:v>
      </x:c>
    </x:row>
    <x:row r="207" ht="15.75">
      <x:c r="A207" s="313" t="n">
        <x:f t="shared" si="3">ROW()-ROW($A$2)+1</x:f>
        <x:v>206</x:v>
      </x:c>
      <x:c r="B207" s="313" t="s">
        <x:v>9</x:v>
      </x:c>
      <x:c r="C207" s="313" t="s">
        <x:v>33</x:v>
      </x:c>
      <x:c r="D207" s="314">
        <x:v>1</x:v>
      </x:c>
      <x:c r="E207" s="320">
        <x:v>1800</x:v>
      </x:c>
      <x:c r="F207" s="320">
        <x:v>1800</x:v>
      </x:c>
      <x:c r="G207" s="320">
        <x:v>1000</x:v>
      </x:c>
      <x:c r="H207" s="313" t="s">
        <x:v>60</x:v>
      </x:c>
      <x:c r="I207" s="313" t="s">
        <x:v>54</x:v>
      </x:c>
      <x:c r="J207" s="316" t="n">
        <x:f>IFERROR(G207/F207,0)</x:f>
        <x:v>0.5555555555555556</x:v>
      </x:c>
      <x:c r="K207" s="312" t="str">
        <x:f>IF(B207="Bilinmeyen Personel","Kontrol","OK")</x:f>
        <x:v>OK</x:v>
      </x:c>
    </x:row>
    <x:row r="208" ht="15.75">
      <x:c r="A208" s="313" t="n">
        <x:f t="shared" si="3">ROW()-ROW($A$2)+1</x:f>
        <x:v>207</x:v>
      </x:c>
      <x:c r="B208" s="313" t="s">
        <x:v>16</x:v>
      </x:c>
      <x:c r="C208" s="313" t="s">
        <x:v>24</x:v>
      </x:c>
      <x:c r="D208" s="314">
        <x:v>1</x:v>
      </x:c>
      <x:c r="E208" s="320">
        <x:v>7600</x:v>
      </x:c>
      <x:c r="F208" s="320">
        <x:v>7600</x:v>
      </x:c>
      <x:c r="G208" s="320">
        <x:v>1600</x:v>
      </x:c>
      <x:c r="H208" s="313" t="s">
        <x:v>60</x:v>
      </x:c>
      <x:c r="I208" s="313" t="s">
        <x:v>12</x:v>
      </x:c>
      <x:c r="J208" s="316" t="n">
        <x:f>IFERROR(G208/F208,0)</x:f>
        <x:v>0.21052631578947367</x:v>
      </x:c>
      <x:c r="K208" s="312" t="str">
        <x:f>IF(B208="Bilinmeyen Personel","Kontrol","OK")</x:f>
        <x:v>OK</x:v>
      </x:c>
    </x:row>
    <x:row r="209" ht="15.75">
      <x:c r="A209" s="313" t="n">
        <x:f t="shared" si="3">ROW()-ROW($A$2)+1</x:f>
        <x:v>208</x:v>
      </x:c>
      <x:c r="B209" s="313" t="s">
        <x:v>35</x:v>
      </x:c>
      <x:c r="C209" s="313" t="s">
        <x:v>55</x:v>
      </x:c>
      <x:c r="D209" s="314">
        <x:v>1</x:v>
      </x:c>
      <x:c r="E209" s="320">
        <x:v>7530</x:v>
      </x:c>
      <x:c r="F209" s="320">
        <x:v>7530</x:v>
      </x:c>
      <x:c r="G209" s="320">
        <x:v>1530</x:v>
      </x:c>
      <x:c r="H209" s="313" t="s">
        <x:v>60</x:v>
      </x:c>
      <x:c r="I209" s="313" t="s">
        <x:v>15</x:v>
      </x:c>
      <x:c r="J209" s="316" t="n">
        <x:f>IFERROR(G209/F209,0)</x:f>
        <x:v>0.20318725099601595</x:v>
      </x:c>
      <x:c r="K209" s="312" t="str">
        <x:f>IF(B209="Bilinmeyen Personel","Kontrol","OK")</x:f>
        <x:v>OK</x:v>
      </x:c>
    </x:row>
    <x:row r="210" ht="15.75">
      <x:c r="A210" s="313" t="n">
        <x:f t="shared" si="3">ROW()-ROW($A$2)+1</x:f>
        <x:v>209</x:v>
      </x:c>
      <x:c r="B210" s="313" t="s">
        <x:v>50</x:v>
      </x:c>
      <x:c r="C210" s="313" t="s">
        <x:v>43</x:v>
      </x:c>
      <x:c r="D210" s="314">
        <x:v>2</x:v>
      </x:c>
      <x:c r="E210" s="320">
        <x:v>1490</x:v>
      </x:c>
      <x:c r="F210" s="320">
        <x:v>2980</x:v>
      </x:c>
      <x:c r="G210" s="320">
        <x:v>1380</x:v>
      </x:c>
      <x:c r="H210" s="313" t="s">
        <x:v>60</x:v>
      </x:c>
      <x:c r="I210" s="313" t="s">
        <x:v>31</x:v>
      </x:c>
      <x:c r="J210" s="316" t="n">
        <x:f>IFERROR(G210/F210,0)</x:f>
        <x:v>0.46308724832214765</x:v>
      </x:c>
      <x:c r="K210" s="312" t="str">
        <x:f>IF(B210="Bilinmeyen Personel","Kontrol","OK")</x:f>
        <x:v>OK</x:v>
      </x:c>
    </x:row>
    <x:row r="211" ht="15.75">
      <x:c r="A211" s="313" t="n">
        <x:f t="shared" si="3">ROW()-ROW($A$2)+1</x:f>
        <x:v>210</x:v>
      </x:c>
      <x:c r="B211" s="313" t="s">
        <x:v>9</x:v>
      </x:c>
      <x:c r="C211" s="313" t="s">
        <x:v>56</x:v>
      </x:c>
      <x:c r="D211" s="314">
        <x:v>1</x:v>
      </x:c>
      <x:c r="E211" s="320">
        <x:v>5300</x:v>
      </x:c>
      <x:c r="F211" s="320">
        <x:v>5300</x:v>
      </x:c>
      <x:c r="G211" s="320">
        <x:v>1300</x:v>
      </x:c>
      <x:c r="H211" s="313" t="s">
        <x:v>60</x:v>
      </x:c>
      <x:c r="I211" s="313" t="s">
        <x:v>12</x:v>
      </x:c>
      <x:c r="J211" s="316" t="n">
        <x:f>IFERROR(G211/F211,0)</x:f>
        <x:v>0.24528301886792453</x:v>
      </x:c>
      <x:c r="K211" s="312" t="str">
        <x:f>IF(B211="Bilinmeyen Personel","Kontrol","OK")</x:f>
        <x:v>OK</x:v>
      </x:c>
    </x:row>
    <x:row r="212" ht="15.75">
      <x:c r="A212" s="313" t="n">
        <x:f t="shared" si="3">ROW()-ROW($A$2)+1</x:f>
        <x:v>211</x:v>
      </x:c>
      <x:c r="B212" s="313" t="s">
        <x:v>23</x:v>
      </x:c>
      <x:c r="C212" s="313" t="s">
        <x:v>30</x:v>
      </x:c>
      <x:c r="D212" s="314">
        <x:v>2</x:v>
      </x:c>
      <x:c r="E212" s="320">
        <x:v>1200</x:v>
      </x:c>
      <x:c r="F212" s="320">
        <x:v>2400</x:v>
      </x:c>
      <x:c r="G212" s="320">
        <x:v>800</x:v>
      </x:c>
      <x:c r="H212" s="313" t="s">
        <x:v>60</x:v>
      </x:c>
      <x:c r="I212" s="313" t="s">
        <x:v>44</x:v>
      </x:c>
      <x:c r="J212" s="316" t="n">
        <x:f>IFERROR(G212/F212,0)</x:f>
        <x:v>0.3333333333333333</x:v>
      </x:c>
      <x:c r="K212" s="312" t="str">
        <x:f>IF(B212="Bilinmeyen Personel","Kontrol","OK")</x:f>
        <x:v>OK</x:v>
      </x:c>
    </x:row>
    <x:row r="213" ht="15.75">
      <x:c r="A213" s="313" t="n">
        <x:f t="shared" si="3">ROW()-ROW($A$2)+1</x:f>
        <x:v>212</x:v>
      </x:c>
      <x:c r="B213" s="313" t="s">
        <x:v>40</x:v>
      </x:c>
      <x:c r="C213" s="313" t="s">
        <x:v>34</x:v>
      </x:c>
      <x:c r="D213" s="314">
        <x:v>1</x:v>
      </x:c>
      <x:c r="E213" s="320">
        <x:v>1090</x:v>
      </x:c>
      <x:c r="F213" s="320">
        <x:v>1090</x:v>
      </x:c>
      <x:c r="G213" s="320">
        <x:v>290</x:v>
      </x:c>
      <x:c r="H213" s="313" t="s">
        <x:v>60</x:v>
      </x:c>
      <x:c r="I213" s="313" t="s">
        <x:v>15</x:v>
      </x:c>
      <x:c r="J213" s="316" t="n">
        <x:f>IFERROR(G213/F213,0)</x:f>
        <x:v>0.26605504587155965</x:v>
      </x:c>
      <x:c r="K213" s="312" t="str">
        <x:f>IF(B213="Bilinmeyen Personel","Kontrol","OK")</x:f>
        <x:v>OK</x:v>
      </x:c>
    </x:row>
    <x:row r="214" ht="15.75">
      <x:c r="A214" s="313" t="n">
        <x:f t="shared" si="3">ROW()-ROW($A$2)+1</x:f>
        <x:v>213</x:v>
      </x:c>
      <x:c r="B214" s="313" t="s">
        <x:v>23</x:v>
      </x:c>
      <x:c r="C214" s="313" t="s">
        <x:v>26</x:v>
      </x:c>
      <x:c r="D214" s="314">
        <x:v>1</x:v>
      </x:c>
      <x:c r="E214" s="320">
        <x:v>7250</x:v>
      </x:c>
      <x:c r="F214" s="320">
        <x:v>7250</x:v>
      </x:c>
      <x:c r="G214" s="320">
        <x:v>2250</x:v>
      </x:c>
      <x:c r="H214" s="313" t="s">
        <x:v>60</x:v>
      </x:c>
      <x:c r="I214" s="313" t="s">
        <x:v>15</x:v>
      </x:c>
      <x:c r="J214" s="316" t="n">
        <x:f>IFERROR(G214/F214,0)</x:f>
        <x:v>0.3103448275862069</x:v>
      </x:c>
      <x:c r="K214" s="312" t="str">
        <x:f>IF(B214="Bilinmeyen Personel","Kontrol","OK")</x:f>
        <x:v>OK</x:v>
      </x:c>
    </x:row>
    <x:row r="215" ht="15.75">
      <x:c r="A215" s="313" t="n">
        <x:f t="shared" si="3">ROW()-ROW($A$2)+1</x:f>
        <x:v>214</x:v>
      </x:c>
      <x:c r="B215" s="313" t="s">
        <x:v>48</x:v>
      </x:c>
      <x:c r="C215" s="313" t="s">
        <x:v>14</x:v>
      </x:c>
      <x:c r="D215" s="314">
        <x:v>3</x:v>
      </x:c>
      <x:c r="E215" s="320">
        <x:v>1400</x:v>
      </x:c>
      <x:c r="F215" s="320">
        <x:v>4200</x:v>
      </x:c>
      <x:c r="G215" s="320">
        <x:v>1800</x:v>
      </x:c>
      <x:c r="H215" s="313" t="s">
        <x:v>60</x:v>
      </x:c>
      <x:c r="I215" s="313" t="s">
        <x:v>44</x:v>
      </x:c>
      <x:c r="J215" s="316" t="n">
        <x:f>IFERROR(G215/F215,0)</x:f>
        <x:v>0.42857142857142855</x:v>
      </x:c>
      <x:c r="K215" s="312" t="str">
        <x:f>IF(B215="Bilinmeyen Personel","Kontrol","OK")</x:f>
        <x:v>OK</x:v>
      </x:c>
    </x:row>
    <x:row r="216" ht="15.75">
      <x:c r="A216" s="313" t="n">
        <x:f t="shared" si="3">ROW()-ROW($A$2)+1</x:f>
        <x:v>215</x:v>
      </x:c>
      <x:c r="B216" s="313" t="s">
        <x:v>16</x:v>
      </x:c>
      <x:c r="C216" s="313" t="s">
        <x:v>57</x:v>
      </x:c>
      <x:c r="D216" s="314">
        <x:v>1</x:v>
      </x:c>
      <x:c r="E216" s="320">
        <x:v>1500</x:v>
      </x:c>
      <x:c r="F216" s="320">
        <x:v>1500</x:v>
      </x:c>
      <x:c r="G216" s="320">
        <x:v>700</x:v>
      </x:c>
      <x:c r="H216" s="313" t="s">
        <x:v>60</x:v>
      </x:c>
      <x:c r="I216" s="313" t="s">
        <x:v>12</x:v>
      </x:c>
      <x:c r="J216" s="316" t="n">
        <x:f>IFERROR(G216/F216,0)</x:f>
        <x:v>0.4666666666666667</x:v>
      </x:c>
      <x:c r="K216" s="312" t="str">
        <x:f>IF(B216="Bilinmeyen Personel","Kontrol","OK")</x:f>
        <x:v>OK</x:v>
      </x:c>
    </x:row>
    <x:row r="217" ht="15.75">
      <x:c r="A217" s="313" t="n">
        <x:f t="shared" si="3">ROW()-ROW($A$2)+1</x:f>
        <x:v>216</x:v>
      </x:c>
      <x:c r="B217" s="313" t="s">
        <x:v>35</x:v>
      </x:c>
      <x:c r="C217" s="313" t="s">
        <x:v>20</x:v>
      </x:c>
      <x:c r="D217" s="314">
        <x:v>1</x:v>
      </x:c>
      <x:c r="E217" s="320">
        <x:v>1350</x:v>
      </x:c>
      <x:c r="F217" s="320">
        <x:v>1350</x:v>
      </x:c>
      <x:c r="G217" s="320">
        <x:v>550</x:v>
      </x:c>
      <x:c r="H217" s="313" t="s">
        <x:v>60</x:v>
      </x:c>
      <x:c r="I217" s="313" t="s">
        <x:v>46</x:v>
      </x:c>
      <x:c r="J217" s="316" t="n">
        <x:f>IFERROR(G217/F217,0)</x:f>
        <x:v>0.4074074074074074</x:v>
      </x:c>
      <x:c r="K217" s="312" t="str">
        <x:f>IF(B217="Bilinmeyen Personel","Kontrol","OK")</x:f>
        <x:v>OK</x:v>
      </x:c>
    </x:row>
    <x:row r="218" ht="15.75">
      <x:c r="A218" s="313" t="n">
        <x:f t="shared" si="3">ROW()-ROW($A$2)+1</x:f>
        <x:v>217</x:v>
      </x:c>
      <x:c r="B218" s="313" t="s">
        <x:v>35</x:v>
      </x:c>
      <x:c r="C218" s="313" t="s">
        <x:v>51</x:v>
      </x:c>
      <x:c r="D218" s="314">
        <x:v>3</x:v>
      </x:c>
      <x:c r="E218" s="320">
        <x:v>1200</x:v>
      </x:c>
      <x:c r="F218" s="320">
        <x:v>3600</x:v>
      </x:c>
      <x:c r="G218" s="320">
        <x:v>1200</x:v>
      </x:c>
      <x:c r="H218" s="313" t="s">
        <x:v>60</x:v>
      </x:c>
      <x:c r="I218" s="313" t="s">
        <x:v>28</x:v>
      </x:c>
      <x:c r="J218" s="316" t="n">
        <x:f>IFERROR(G218/F218,0)</x:f>
        <x:v>0.3333333333333333</x:v>
      </x:c>
      <x:c r="K218" s="312" t="str">
        <x:f>IF(B218="Bilinmeyen Personel","Kontrol","OK")</x:f>
        <x:v>OK</x:v>
      </x:c>
    </x:row>
    <x:row r="219" ht="15.75">
      <x:c r="A219" s="313" t="n">
        <x:f t="shared" si="3">ROW()-ROW($A$2)+1</x:f>
        <x:v>218</x:v>
      </x:c>
      <x:c r="B219" s="313" t="s">
        <x:v>13</x:v>
      </x:c>
      <x:c r="C219" s="313" t="s">
        <x:v>55</x:v>
      </x:c>
      <x:c r="D219" s="314">
        <x:v>3</x:v>
      </x:c>
      <x:c r="E219" s="320">
        <x:v>7530</x:v>
      </x:c>
      <x:c r="F219" s="320">
        <x:v>22590</x:v>
      </x:c>
      <x:c r="G219" s="320">
        <x:v>4590</x:v>
      </x:c>
      <x:c r="H219" s="313" t="s">
        <x:v>60</x:v>
      </x:c>
      <x:c r="I219" s="313" t="s">
        <x:v>31</x:v>
      </x:c>
      <x:c r="J219" s="316" t="n">
        <x:f>IFERROR(G219/F219,0)</x:f>
        <x:v>0.20318725099601595</x:v>
      </x:c>
      <x:c r="K219" s="312" t="str">
        <x:f>IF(B219="Bilinmeyen Personel","Kontrol","OK")</x:f>
        <x:v>OK</x:v>
      </x:c>
    </x:row>
    <x:row r="220" ht="15.75">
      <x:c r="A220" s="313" t="n">
        <x:f t="shared" si="3">ROW()-ROW($A$2)+1</x:f>
        <x:v>219</x:v>
      </x:c>
      <x:c r="B220" s="313" t="s">
        <x:v>48</x:v>
      </x:c>
      <x:c r="C220" s="313" t="s">
        <x:v>30</x:v>
      </x:c>
      <x:c r="D220" s="314">
        <x:v>1</x:v>
      </x:c>
      <x:c r="E220" s="320">
        <x:v>1200</x:v>
      </x:c>
      <x:c r="F220" s="320">
        <x:v>1200</x:v>
      </x:c>
      <x:c r="G220" s="320">
        <x:v>400</x:v>
      </x:c>
      <x:c r="H220" s="313" t="s">
        <x:v>60</x:v>
      </x:c>
      <x:c r="I220" s="313" t="s">
        <x:v>44</x:v>
      </x:c>
      <x:c r="J220" s="316" t="n">
        <x:f>IFERROR(G220/F220,0)</x:f>
        <x:v>0.3333333333333333</x:v>
      </x:c>
      <x:c r="K220" s="312" t="str">
        <x:f>IF(B220="Bilinmeyen Personel","Kontrol","OK")</x:f>
        <x:v>OK</x:v>
      </x:c>
    </x:row>
    <x:row r="221" ht="15.75">
      <x:c r="A221" s="313" t="n">
        <x:f t="shared" si="3">ROW()-ROW($A$2)+1</x:f>
        <x:v>220</x:v>
      </x:c>
      <x:c r="B221" s="313" t="s">
        <x:v>38</x:v>
      </x:c>
      <x:c r="C221" s="313" t="s">
        <x:v>33</x:v>
      </x:c>
      <x:c r="D221" s="314">
        <x:v>3</x:v>
      </x:c>
      <x:c r="E221" s="320">
        <x:v>1800</x:v>
      </x:c>
      <x:c r="F221" s="320">
        <x:v>5400</x:v>
      </x:c>
      <x:c r="G221" s="320">
        <x:v>3000</x:v>
      </x:c>
      <x:c r="H221" s="313" t="s">
        <x:v>60</x:v>
      </x:c>
      <x:c r="I221" s="313" t="s">
        <x:v>15</x:v>
      </x:c>
      <x:c r="J221" s="316" t="n">
        <x:f>IFERROR(G221/F221,0)</x:f>
        <x:v>0.5555555555555556</x:v>
      </x:c>
      <x:c r="K221" s="312" t="str">
        <x:f>IF(B221="Bilinmeyen Personel","Kontrol","OK")</x:f>
        <x:v>OK</x:v>
      </x:c>
    </x:row>
    <x:row r="222" ht="15.75">
      <x:c r="A222" s="313" t="n">
        <x:f t="shared" si="3">ROW()-ROW($A$2)+1</x:f>
        <x:v>221</x:v>
      </x:c>
      <x:c r="B222" s="313" t="s">
        <x:v>9</x:v>
      </x:c>
      <x:c r="C222" s="313" t="s">
        <x:v>26</x:v>
      </x:c>
      <x:c r="D222" s="314">
        <x:v>1</x:v>
      </x:c>
      <x:c r="E222" s="320">
        <x:v>7250</x:v>
      </x:c>
      <x:c r="F222" s="320">
        <x:v>7250</x:v>
      </x:c>
      <x:c r="G222" s="320">
        <x:v>2250</x:v>
      </x:c>
      <x:c r="H222" s="313" t="s">
        <x:v>60</x:v>
      </x:c>
      <x:c r="I222" s="313" t="s">
        <x:v>12</x:v>
      </x:c>
      <x:c r="J222" s="316" t="n">
        <x:f>IFERROR(G222/F222,0)</x:f>
        <x:v>0.3103448275862069</x:v>
      </x:c>
      <x:c r="K222" s="312" t="str">
        <x:f>IF(B222="Bilinmeyen Personel","Kontrol","OK")</x:f>
        <x:v>OK</x:v>
      </x:c>
    </x:row>
    <x:row r="223" ht="15.75">
      <x:c r="A223" s="313" t="n">
        <x:f t="shared" si="3">ROW()-ROW($A$2)+1</x:f>
        <x:v>222</x:v>
      </x:c>
      <x:c r="B223" s="313" t="s">
        <x:v>40</x:v>
      </x:c>
      <x:c r="C223" s="313" t="s">
        <x:v>43</x:v>
      </x:c>
      <x:c r="D223" s="314">
        <x:v>3</x:v>
      </x:c>
      <x:c r="E223" s="320">
        <x:v>1490</x:v>
      </x:c>
      <x:c r="F223" s="320">
        <x:v>4470</x:v>
      </x:c>
      <x:c r="G223" s="320">
        <x:v>2070</x:v>
      </x:c>
      <x:c r="H223" s="313" t="s">
        <x:v>60</x:v>
      </x:c>
      <x:c r="I223" s="313" t="s">
        <x:v>28</x:v>
      </x:c>
      <x:c r="J223" s="316" t="n">
        <x:f>IFERROR(G223/F223,0)</x:f>
        <x:v>0.46308724832214765</x:v>
      </x:c>
      <x:c r="K223" s="312" t="str">
        <x:f>IF(B223="Bilinmeyen Personel","Kontrol","OK")</x:f>
        <x:v>OK</x:v>
      </x:c>
    </x:row>
    <x:row r="224" ht="15.75">
      <x:c r="A224" s="313" t="n">
        <x:f t="shared" si="3">ROW()-ROW($A$2)+1</x:f>
        <x:v>223</x:v>
      </x:c>
      <x:c r="B224" s="313" t="s">
        <x:v>40</x:v>
      </x:c>
      <x:c r="C224" s="313" t="s">
        <x:v>53</x:v>
      </x:c>
      <x:c r="D224" s="314">
        <x:v>1</x:v>
      </x:c>
      <x:c r="E224" s="320">
        <x:v>1200</x:v>
      </x:c>
      <x:c r="F224" s="320">
        <x:v>1200</x:v>
      </x:c>
      <x:c r="G224" s="320">
        <x:v>400</x:v>
      </x:c>
      <x:c r="H224" s="313" t="s">
        <x:v>60</x:v>
      </x:c>
      <x:c r="I224" s="313" t="s">
        <x:v>37</x:v>
      </x:c>
      <x:c r="J224" s="316" t="n">
        <x:f>IFERROR(G224/F224,0)</x:f>
        <x:v>0.3333333333333333</x:v>
      </x:c>
      <x:c r="K224" s="312" t="str">
        <x:f>IF(B224="Bilinmeyen Personel","Kontrol","OK")</x:f>
        <x:v>OK</x:v>
      </x:c>
    </x:row>
    <x:row r="225" ht="15.75">
      <x:c r="A225" s="313" t="n">
        <x:f t="shared" si="3">ROW()-ROW($A$2)+1</x:f>
        <x:v>224</x:v>
      </x:c>
      <x:c r="B225" s="313" t="s">
        <x:v>13</x:v>
      </x:c>
      <x:c r="C225" s="313" t="s">
        <x:v>36</x:v>
      </x:c>
      <x:c r="D225" s="314">
        <x:v>1</x:v>
      </x:c>
      <x:c r="E225" s="320">
        <x:v>8000</x:v>
      </x:c>
      <x:c r="F225" s="320">
        <x:v>8000</x:v>
      </x:c>
      <x:c r="G225" s="320">
        <x:v>2000</x:v>
      </x:c>
      <x:c r="H225" s="313" t="s">
        <x:v>60</x:v>
      </x:c>
      <x:c r="I225" s="313" t="s">
        <x:v>37</x:v>
      </x:c>
      <x:c r="J225" s="316" t="n">
        <x:f>IFERROR(G225/F225,0)</x:f>
        <x:v>0.25</x:v>
      </x:c>
      <x:c r="K225" s="312" t="str">
        <x:f>IF(B225="Bilinmeyen Personel","Kontrol","OK")</x:f>
        <x:v>OK</x:v>
      </x:c>
    </x:row>
    <x:row r="226" ht="15.75">
      <x:c r="A226" s="313" t="n">
        <x:f t="shared" si="3">ROW()-ROW($A$2)+1</x:f>
        <x:v>225</x:v>
      </x:c>
      <x:c r="B226" s="313" t="s">
        <x:v>32</x:v>
      </x:c>
      <x:c r="C226" s="313" t="s">
        <x:v>14</x:v>
      </x:c>
      <x:c r="D226" s="314">
        <x:v>1</x:v>
      </x:c>
      <x:c r="E226" s="320">
        <x:v>1400</x:v>
      </x:c>
      <x:c r="F226" s="320">
        <x:v>1400</x:v>
      </x:c>
      <x:c r="G226" s="320">
        <x:v>600</x:v>
      </x:c>
      <x:c r="H226" s="313" t="s">
        <x:v>60</x:v>
      </x:c>
      <x:c r="I226" s="313" t="s">
        <x:v>21</x:v>
      </x:c>
      <x:c r="J226" s="316" t="n">
        <x:f>IFERROR(G226/F226,0)</x:f>
        <x:v>0.42857142857142855</x:v>
      </x:c>
      <x:c r="K226" s="312" t="str">
        <x:f>IF(B226="Bilinmeyen Personel","Kontrol","OK")</x:f>
        <x:v>OK</x:v>
      </x:c>
    </x:row>
    <x:row r="227" ht="15.75">
      <x:c r="A227" s="313" t="n">
        <x:f t="shared" si="3">ROW()-ROW($A$2)+1</x:f>
        <x:v>226</x:v>
      </x:c>
      <x:c r="B227" s="313" t="s">
        <x:v>29</x:v>
      </x:c>
      <x:c r="C227" s="313" t="s">
        <x:v>20</x:v>
      </x:c>
      <x:c r="D227" s="314">
        <x:v>1</x:v>
      </x:c>
      <x:c r="E227" s="320">
        <x:v>1350</x:v>
      </x:c>
      <x:c r="F227" s="320">
        <x:v>1350</x:v>
      </x:c>
      <x:c r="G227" s="320">
        <x:v>550</x:v>
      </x:c>
      <x:c r="H227" s="313" t="s">
        <x:v>60</x:v>
      </x:c>
      <x:c r="I227" s="313" t="s">
        <x:v>44</x:v>
      </x:c>
      <x:c r="J227" s="316" t="n">
        <x:f>IFERROR(G227/F227,0)</x:f>
        <x:v>0.4074074074074074</x:v>
      </x:c>
      <x:c r="K227" s="312" t="str">
        <x:f>IF(B227="Bilinmeyen Personel","Kontrol","OK")</x:f>
        <x:v>OK</x:v>
      </x:c>
    </x:row>
    <x:row r="228" ht="15.75">
      <x:c r="A228" s="313" t="n">
        <x:f t="shared" si="3">ROW()-ROW($A$2)+1</x:f>
        <x:v>227</x:v>
      </x:c>
      <x:c r="B228" s="313" t="s">
        <x:v>38</x:v>
      </x:c>
      <x:c r="C228" s="313" t="s">
        <x:v>53</x:v>
      </x:c>
      <x:c r="D228" s="314">
        <x:v>1</x:v>
      </x:c>
      <x:c r="E228" s="320">
        <x:v>1200</x:v>
      </x:c>
      <x:c r="F228" s="320">
        <x:v>1200</x:v>
      </x:c>
      <x:c r="G228" s="320">
        <x:v>400</x:v>
      </x:c>
      <x:c r="H228" s="313" t="s">
        <x:v>60</x:v>
      </x:c>
      <x:c r="I228" s="313" t="s">
        <x:v>42</x:v>
      </x:c>
      <x:c r="J228" s="316" t="n">
        <x:f>IFERROR(G228/F228,0)</x:f>
        <x:v>0.3333333333333333</x:v>
      </x:c>
      <x:c r="K228" s="312" t="str">
        <x:f>IF(B228="Bilinmeyen Personel","Kontrol","OK")</x:f>
        <x:v>OK</x:v>
      </x:c>
    </x:row>
    <x:row r="229" ht="15.75">
      <x:c r="A229" s="313" t="n">
        <x:f t="shared" si="3">ROW()-ROW($A$2)+1</x:f>
        <x:v>228</x:v>
      </x:c>
      <x:c r="B229" s="313" t="s">
        <x:v>32</x:v>
      </x:c>
      <x:c r="C229" s="313" t="s">
        <x:v>56</x:v>
      </x:c>
      <x:c r="D229" s="314">
        <x:v>1</x:v>
      </x:c>
      <x:c r="E229" s="320">
        <x:v>5300</x:v>
      </x:c>
      <x:c r="F229" s="320">
        <x:v>5300</x:v>
      </x:c>
      <x:c r="G229" s="320">
        <x:v>1300</x:v>
      </x:c>
      <x:c r="H229" s="313" t="s">
        <x:v>60</x:v>
      </x:c>
      <x:c r="I229" s="313" t="s">
        <x:v>12</x:v>
      </x:c>
      <x:c r="J229" s="316" t="n">
        <x:f>IFERROR(G229/F229,0)</x:f>
        <x:v>0.24528301886792453</x:v>
      </x:c>
      <x:c r="K229" s="312" t="str">
        <x:f>IF(B229="Bilinmeyen Personel","Kontrol","OK")</x:f>
        <x:v>OK</x:v>
      </x:c>
    </x:row>
    <x:row r="230" ht="15.75">
      <x:c r="A230" s="313" t="n">
        <x:f t="shared" si="3">ROW()-ROW($A$2)+1</x:f>
        <x:v>229</x:v>
      </x:c>
      <x:c r="B230" s="313" t="s">
        <x:v>40</x:v>
      </x:c>
      <x:c r="C230" s="313" t="s">
        <x:v>39</x:v>
      </x:c>
      <x:c r="D230" s="314">
        <x:v>3</x:v>
      </x:c>
      <x:c r="E230" s="320">
        <x:v>10590</x:v>
      </x:c>
      <x:c r="F230" s="320">
        <x:v>31770</x:v>
      </x:c>
      <x:c r="G230" s="320">
        <x:v>13770</x:v>
      </x:c>
      <x:c r="H230" s="313" t="s">
        <x:v>60</x:v>
      </x:c>
      <x:c r="I230" s="313" t="s">
        <x:v>54</x:v>
      </x:c>
      <x:c r="J230" s="316" t="n">
        <x:f>IFERROR(G230/F230,0)</x:f>
        <x:v>0.43342776203966005</x:v>
      </x:c>
      <x:c r="K230" s="312" t="str">
        <x:f>IF(B230="Bilinmeyen Personel","Kontrol","OK")</x:f>
        <x:v>OK</x:v>
      </x:c>
    </x:row>
    <x:row r="231" ht="15.75">
      <x:c r="A231" s="313" t="n">
        <x:f t="shared" si="3">ROW()-ROW($A$2)+1</x:f>
        <x:v>230</x:v>
      </x:c>
      <x:c r="B231" s="313" t="s">
        <x:v>23</x:v>
      </x:c>
      <x:c r="C231" s="313" t="s">
        <x:v>52</x:v>
      </x:c>
      <x:c r="D231" s="314">
        <x:v>1</x:v>
      </x:c>
      <x:c r="E231" s="320">
        <x:v>1250</x:v>
      </x:c>
      <x:c r="F231" s="320">
        <x:v>1250</x:v>
      </x:c>
      <x:c r="G231" s="320">
        <x:v>450</x:v>
      </x:c>
      <x:c r="H231" s="313" t="s">
        <x:v>60</x:v>
      </x:c>
      <x:c r="I231" s="313" t="s">
        <x:v>25</x:v>
      </x:c>
      <x:c r="J231" s="316" t="n">
        <x:f>IFERROR(G231/F231,0)</x:f>
        <x:v>0.36</x:v>
      </x:c>
      <x:c r="K231" s="312" t="str">
        <x:f>IF(B231="Bilinmeyen Personel","Kontrol","OK")</x:f>
        <x:v>OK</x:v>
      </x:c>
    </x:row>
    <x:row r="232" ht="15.75">
      <x:c r="A232" s="313" t="n">
        <x:f t="shared" si="3">ROW()-ROW($A$2)+1</x:f>
        <x:v>231</x:v>
      </x:c>
      <x:c r="B232" s="313" t="s">
        <x:v>50</x:v>
      </x:c>
      <x:c r="C232" s="313" t="s">
        <x:v>53</x:v>
      </x:c>
      <x:c r="D232" s="314">
        <x:v>1</x:v>
      </x:c>
      <x:c r="E232" s="320">
        <x:v>1200</x:v>
      </x:c>
      <x:c r="F232" s="320">
        <x:v>1200</x:v>
      </x:c>
      <x:c r="G232" s="320">
        <x:v>400</x:v>
      </x:c>
      <x:c r="H232" s="313" t="s">
        <x:v>60</x:v>
      </x:c>
      <x:c r="I232" s="313" t="s">
        <x:v>41</x:v>
      </x:c>
      <x:c r="J232" s="316" t="n">
        <x:f>IFERROR(G232/F232,0)</x:f>
        <x:v>0.3333333333333333</x:v>
      </x:c>
      <x:c r="K232" s="312" t="str">
        <x:f>IF(B232="Bilinmeyen Personel","Kontrol","OK")</x:f>
        <x:v>OK</x:v>
      </x:c>
    </x:row>
    <x:row r="233" ht="15.75">
      <x:c r="A233" s="313" t="n">
        <x:f t="shared" si="3">ROW()-ROW($A$2)+1</x:f>
        <x:v>232</x:v>
      </x:c>
      <x:c r="B233" s="313" t="s">
        <x:v>23</x:v>
      </x:c>
      <x:c r="C233" s="313" t="s">
        <x:v>14</x:v>
      </x:c>
      <x:c r="D233" s="314">
        <x:v>3</x:v>
      </x:c>
      <x:c r="E233" s="320">
        <x:v>1400</x:v>
      </x:c>
      <x:c r="F233" s="320">
        <x:v>4200</x:v>
      </x:c>
      <x:c r="G233" s="320">
        <x:v>1800</x:v>
      </x:c>
      <x:c r="H233" s="313" t="s">
        <x:v>60</x:v>
      </x:c>
      <x:c r="I233" s="313" t="s">
        <x:v>15</x:v>
      </x:c>
      <x:c r="J233" s="316" t="n">
        <x:f>IFERROR(G233/F233,0)</x:f>
        <x:v>0.42857142857142855</x:v>
      </x:c>
      <x:c r="K233" s="312" t="str">
        <x:f>IF(B233="Bilinmeyen Personel","Kontrol","OK")</x:f>
        <x:v>OK</x:v>
      </x:c>
    </x:row>
    <x:row r="234" ht="15.75">
      <x:c r="A234" s="313" t="n">
        <x:f t="shared" si="3">ROW()-ROW($A$2)+1</x:f>
        <x:v>233</x:v>
      </x:c>
      <x:c r="B234" s="313" t="s">
        <x:v>50</x:v>
      </x:c>
      <x:c r="C234" s="313" t="s">
        <x:v>55</x:v>
      </x:c>
      <x:c r="D234" s="314">
        <x:v>2</x:v>
      </x:c>
      <x:c r="E234" s="320">
        <x:v>7530</x:v>
      </x:c>
      <x:c r="F234" s="320">
        <x:v>15060</x:v>
      </x:c>
      <x:c r="G234" s="320">
        <x:v>3060</x:v>
      </x:c>
      <x:c r="H234" s="313" t="s">
        <x:v>60</x:v>
      </x:c>
      <x:c r="I234" s="313" t="s">
        <x:v>12</x:v>
      </x:c>
      <x:c r="J234" s="316" t="n">
        <x:f>IFERROR(G234/F234,0)</x:f>
        <x:v>0.20318725099601595</x:v>
      </x:c>
      <x:c r="K234" s="312" t="str">
        <x:f>IF(B234="Bilinmeyen Personel","Kontrol","OK")</x:f>
        <x:v>OK</x:v>
      </x:c>
    </x:row>
    <x:row r="235" ht="15.75">
      <x:c r="A235" s="313" t="n">
        <x:f t="shared" si="3">ROW()-ROW($A$2)+1</x:f>
        <x:v>234</x:v>
      </x:c>
      <x:c r="B235" s="313" t="s">
        <x:v>32</x:v>
      </x:c>
      <x:c r="C235" s="313" t="s">
        <x:v>24</x:v>
      </x:c>
      <x:c r="D235" s="314">
        <x:v>1</x:v>
      </x:c>
      <x:c r="E235" s="320">
        <x:v>7600</x:v>
      </x:c>
      <x:c r="F235" s="320">
        <x:v>7600</x:v>
      </x:c>
      <x:c r="G235" s="320">
        <x:v>1600</x:v>
      </x:c>
      <x:c r="H235" s="313" t="s">
        <x:v>60</x:v>
      </x:c>
      <x:c r="I235" s="313" t="s">
        <x:v>25</x:v>
      </x:c>
      <x:c r="J235" s="316" t="n">
        <x:f>IFERROR(G235/F235,0)</x:f>
        <x:v>0.21052631578947367</x:v>
      </x:c>
      <x:c r="K235" s="312" t="str">
        <x:f>IF(B235="Bilinmeyen Personel","Kontrol","OK")</x:f>
        <x:v>OK</x:v>
      </x:c>
    </x:row>
    <x:row r="236" ht="15.75">
      <x:c r="A236" s="313" t="n">
        <x:f t="shared" si="3">ROW()-ROW($A$2)+1</x:f>
        <x:v>235</x:v>
      </x:c>
      <x:c r="B236" s="313" t="s">
        <x:v>50</x:v>
      </x:c>
      <x:c r="C236" s="313" t="s">
        <x:v>57</x:v>
      </x:c>
      <x:c r="D236" s="314">
        <x:v>1</x:v>
      </x:c>
      <x:c r="E236" s="320">
        <x:v>1500</x:v>
      </x:c>
      <x:c r="F236" s="320">
        <x:v>1500</x:v>
      </x:c>
      <x:c r="G236" s="320">
        <x:v>700</x:v>
      </x:c>
      <x:c r="H236" s="313" t="s">
        <x:v>60</x:v>
      </x:c>
      <x:c r="I236" s="313" t="s">
        <x:v>12</x:v>
      </x:c>
      <x:c r="J236" s="316" t="n">
        <x:f>IFERROR(G236/F236,0)</x:f>
        <x:v>0.4666666666666667</x:v>
      </x:c>
      <x:c r="K236" s="312" t="str">
        <x:f>IF(B236="Bilinmeyen Personel","Kontrol","OK")</x:f>
        <x:v>OK</x:v>
      </x:c>
    </x:row>
    <x:row r="237" ht="15.75">
      <x:c r="A237" s="313" t="n">
        <x:f t="shared" si="3">ROW()-ROW($A$2)+1</x:f>
        <x:v>236</x:v>
      </x:c>
      <x:c r="B237" s="313" t="s">
        <x:v>40</x:v>
      </x:c>
      <x:c r="C237" s="313" t="s">
        <x:v>22</x:v>
      </x:c>
      <x:c r="D237" s="314">
        <x:v>2</x:v>
      </x:c>
      <x:c r="E237" s="320">
        <x:v>2180</x:v>
      </x:c>
      <x:c r="F237" s="320">
        <x:v>4360</x:v>
      </x:c>
      <x:c r="G237" s="320">
        <x:v>1360</x:v>
      </x:c>
      <x:c r="H237" s="313" t="s">
        <x:v>60</x:v>
      </x:c>
      <x:c r="I237" s="313" t="s">
        <x:v>15</x:v>
      </x:c>
      <x:c r="J237" s="316" t="n">
        <x:f>IFERROR(G237/F237,0)</x:f>
        <x:v>0.3119266055045872</x:v>
      </x:c>
      <x:c r="K237" s="312" t="str">
        <x:f>IF(B237="Bilinmeyen Personel","Kontrol","OK")</x:f>
        <x:v>OK</x:v>
      </x:c>
    </x:row>
    <x:row r="238" ht="15.75">
      <x:c r="A238" s="313" t="n">
        <x:f t="shared" si="3">ROW()-ROW($A$2)+1</x:f>
        <x:v>237</x:v>
      </x:c>
      <x:c r="B238" s="313" t="s">
        <x:v>19</x:v>
      </x:c>
      <x:c r="C238" s="313" t="s">
        <x:v>22</x:v>
      </x:c>
      <x:c r="D238" s="314">
        <x:v>1</x:v>
      </x:c>
      <x:c r="E238" s="320">
        <x:v>2180</x:v>
      </x:c>
      <x:c r="F238" s="320">
        <x:v>2180</x:v>
      </x:c>
      <x:c r="G238" s="320">
        <x:v>680</x:v>
      </x:c>
      <x:c r="H238" s="313" t="s">
        <x:v>60</x:v>
      </x:c>
      <x:c r="I238" s="313" t="s">
        <x:v>54</x:v>
      </x:c>
      <x:c r="J238" s="316" t="n">
        <x:f>IFERROR(G238/F238,0)</x:f>
        <x:v>0.3119266055045872</x:v>
      </x:c>
      <x:c r="K238" s="312" t="str">
        <x:f>IF(B238="Bilinmeyen Personel","Kontrol","OK")</x:f>
        <x:v>OK</x:v>
      </x:c>
    </x:row>
    <x:row r="239" ht="15.75">
      <x:c r="A239" s="313" t="n">
        <x:f t="shared" si="3">ROW()-ROW($A$2)+1</x:f>
        <x:v>238</x:v>
      </x:c>
      <x:c r="B239" s="313" t="s">
        <x:v>40</x:v>
      </x:c>
      <x:c r="C239" s="313" t="s">
        <x:v>47</x:v>
      </x:c>
      <x:c r="D239" s="314">
        <x:v>1</x:v>
      </x:c>
      <x:c r="E239" s="320">
        <x:v>5775</x:v>
      </x:c>
      <x:c r="F239" s="320">
        <x:v>5775</x:v>
      </x:c>
      <x:c r="G239" s="320">
        <x:v>1775</x:v>
      </x:c>
      <x:c r="H239" s="313" t="s">
        <x:v>60</x:v>
      </x:c>
      <x:c r="I239" s="313" t="s">
        <x:v>42</x:v>
      </x:c>
      <x:c r="J239" s="316" t="n">
        <x:f>IFERROR(G239/F239,0)</x:f>
        <x:v>0.30735930735930733</x:v>
      </x:c>
      <x:c r="K239" s="312" t="str">
        <x:f>IF(B239="Bilinmeyen Personel","Kontrol","OK")</x:f>
        <x:v>OK</x:v>
      </x:c>
    </x:row>
    <x:row r="240" ht="15.75">
      <x:c r="A240" s="313" t="n">
        <x:f t="shared" si="3">ROW()-ROW($A$2)+1</x:f>
        <x:v>239</x:v>
      </x:c>
      <x:c r="B240" s="313" t="s">
        <x:v>40</x:v>
      </x:c>
      <x:c r="C240" s="313" t="s">
        <x:v>27</x:v>
      </x:c>
      <x:c r="D240" s="314">
        <x:v>3</x:v>
      </x:c>
      <x:c r="E240" s="320">
        <x:v>1100</x:v>
      </x:c>
      <x:c r="F240" s="320">
        <x:v>3300</x:v>
      </x:c>
      <x:c r="G240" s="320">
        <x:v>900</x:v>
      </x:c>
      <x:c r="H240" s="313" t="s">
        <x:v>60</x:v>
      </x:c>
      <x:c r="I240" s="313" t="s">
        <x:v>18</x:v>
      </x:c>
      <x:c r="J240" s="316" t="n">
        <x:f>IFERROR(G240/F240,0)</x:f>
        <x:v>0.2727272727272727</x:v>
      </x:c>
      <x:c r="K240" s="312" t="str">
        <x:f>IF(B240="Bilinmeyen Personel","Kontrol","OK")</x:f>
        <x:v>OK</x:v>
      </x:c>
    </x:row>
    <x:row r="241" ht="15.75">
      <x:c r="A241" s="313" t="n">
        <x:f t="shared" si="3">ROW()-ROW($A$2)+1</x:f>
        <x:v>240</x:v>
      </x:c>
      <x:c r="B241" s="313" t="s">
        <x:v>48</x:v>
      </x:c>
      <x:c r="C241" s="313" t="s">
        <x:v>47</x:v>
      </x:c>
      <x:c r="D241" s="314">
        <x:v>1</x:v>
      </x:c>
      <x:c r="E241" s="320">
        <x:v>5775</x:v>
      </x:c>
      <x:c r="F241" s="320">
        <x:v>5775</x:v>
      </x:c>
      <x:c r="G241" s="320">
        <x:v>1775</x:v>
      </x:c>
      <x:c r="H241" s="313" t="s">
        <x:v>60</x:v>
      </x:c>
      <x:c r="I241" s="313" t="s">
        <x:v>21</x:v>
      </x:c>
      <x:c r="J241" s="316" t="n">
        <x:f>IFERROR(G241/F241,0)</x:f>
        <x:v>0.30735930735930733</x:v>
      </x:c>
      <x:c r="K241" s="312" t="str">
        <x:f>IF(B241="Bilinmeyen Personel","Kontrol","OK")</x:f>
        <x:v>OK</x:v>
      </x:c>
    </x:row>
    <x:row r="242" ht="15.75">
      <x:c r="A242" s="313" t="n">
        <x:f t="shared" si="3">ROW()-ROW($A$2)+1</x:f>
        <x:v>241</x:v>
      </x:c>
      <x:c r="B242" s="313" t="s">
        <x:v>35</x:v>
      </x:c>
      <x:c r="C242" s="313" t="s">
        <x:v>20</x:v>
      </x:c>
      <x:c r="D242" s="314">
        <x:v>1</x:v>
      </x:c>
      <x:c r="E242" s="320">
        <x:v>1350</x:v>
      </x:c>
      <x:c r="F242" s="320">
        <x:v>1350</x:v>
      </x:c>
      <x:c r="G242" s="320">
        <x:v>550</x:v>
      </x:c>
      <x:c r="H242" s="313" t="s">
        <x:v>60</x:v>
      </x:c>
      <x:c r="I242" s="313" t="s">
        <x:v>44</x:v>
      </x:c>
      <x:c r="J242" s="316" t="n">
        <x:f>IFERROR(G242/F242,0)</x:f>
        <x:v>0.4074074074074074</x:v>
      </x:c>
      <x:c r="K242" s="312" t="str">
        <x:f>IF(B242="Bilinmeyen Personel","Kontrol","OK")</x:f>
        <x:v>OK</x:v>
      </x:c>
    </x:row>
    <x:row r="243" ht="15.75">
      <x:c r="A243" s="313" t="n">
        <x:f t="shared" si="3">ROW()-ROW($A$2)+1</x:f>
        <x:v>242</x:v>
      </x:c>
      <x:c r="B243" s="313" t="s">
        <x:v>9</x:v>
      </x:c>
      <x:c r="C243" s="313" t="s">
        <x:v>24</x:v>
      </x:c>
      <x:c r="D243" s="314">
        <x:v>3</x:v>
      </x:c>
      <x:c r="E243" s="320">
        <x:v>7600</x:v>
      </x:c>
      <x:c r="F243" s="320">
        <x:v>22800</x:v>
      </x:c>
      <x:c r="G243" s="320">
        <x:v>4800</x:v>
      </x:c>
      <x:c r="H243" s="313" t="s">
        <x:v>60</x:v>
      </x:c>
      <x:c r="I243" s="313" t="s">
        <x:v>15</x:v>
      </x:c>
      <x:c r="J243" s="316" t="n">
        <x:f>IFERROR(G243/F243,0)</x:f>
        <x:v>0.21052631578947367</x:v>
      </x:c>
      <x:c r="K243" s="312" t="str">
        <x:f>IF(B243="Bilinmeyen Personel","Kontrol","OK")</x:f>
        <x:v>OK</x:v>
      </x:c>
    </x:row>
    <x:row r="244" ht="15.75">
      <x:c r="A244" s="313" t="n">
        <x:f t="shared" si="3">ROW()-ROW($A$2)+1</x:f>
        <x:v>243</x:v>
      </x:c>
      <x:c r="B244" s="313" t="s">
        <x:v>16</x:v>
      </x:c>
      <x:c r="C244" s="313" t="s">
        <x:v>26</x:v>
      </x:c>
      <x:c r="D244" s="314">
        <x:v>3</x:v>
      </x:c>
      <x:c r="E244" s="320">
        <x:v>7250</x:v>
      </x:c>
      <x:c r="F244" s="320">
        <x:v>21750</x:v>
      </x:c>
      <x:c r="G244" s="320">
        <x:v>6750</x:v>
      </x:c>
      <x:c r="H244" s="313" t="s">
        <x:v>60</x:v>
      </x:c>
      <x:c r="I244" s="313" t="s">
        <x:v>42</x:v>
      </x:c>
      <x:c r="J244" s="316" t="n">
        <x:f>IFERROR(G244/F244,0)</x:f>
        <x:v>0.3103448275862069</x:v>
      </x:c>
      <x:c r="K244" s="312" t="str">
        <x:f>IF(B244="Bilinmeyen Personel","Kontrol","OK")</x:f>
        <x:v>OK</x:v>
      </x:c>
    </x:row>
    <x:row r="245" ht="15.75">
      <x:c r="A245" s="313" t="n">
        <x:f t="shared" si="3">ROW()-ROW($A$2)+1</x:f>
        <x:v>244</x:v>
      </x:c>
      <x:c r="B245" s="313" t="s">
        <x:v>50</x:v>
      </x:c>
      <x:c r="C245" s="313" t="s">
        <x:v>43</x:v>
      </x:c>
      <x:c r="D245" s="314">
        <x:v>2</x:v>
      </x:c>
      <x:c r="E245" s="320">
        <x:v>1490</x:v>
      </x:c>
      <x:c r="F245" s="320">
        <x:v>2980</x:v>
      </x:c>
      <x:c r="G245" s="320">
        <x:v>1380</x:v>
      </x:c>
      <x:c r="H245" s="313" t="s">
        <x:v>60</x:v>
      </x:c>
      <x:c r="I245" s="313" t="s">
        <x:v>37</x:v>
      </x:c>
      <x:c r="J245" s="316" t="n">
        <x:f>IFERROR(G245/F245,0)</x:f>
        <x:v>0.46308724832214765</x:v>
      </x:c>
      <x:c r="K245" s="312" t="str">
        <x:f>IF(B245="Bilinmeyen Personel","Kontrol","OK")</x:f>
        <x:v>OK</x:v>
      </x:c>
    </x:row>
    <x:row r="246" ht="15.75">
      <x:c r="A246" s="313" t="n">
        <x:f t="shared" si="3">ROW()-ROW($A$2)+1</x:f>
        <x:v>245</x:v>
      </x:c>
      <x:c r="B246" s="313" t="s">
        <x:v>19</x:v>
      </x:c>
      <x:c r="C246" s="313" t="s">
        <x:v>43</x:v>
      </x:c>
      <x:c r="D246" s="314">
        <x:v>2</x:v>
      </x:c>
      <x:c r="E246" s="320">
        <x:v>1490</x:v>
      </x:c>
      <x:c r="F246" s="320">
        <x:v>2980</x:v>
      </x:c>
      <x:c r="G246" s="320">
        <x:v>1380</x:v>
      </x:c>
      <x:c r="H246" s="313" t="s">
        <x:v>60</x:v>
      </x:c>
      <x:c r="I246" s="313" t="s">
        <x:v>41</x:v>
      </x:c>
      <x:c r="J246" s="316" t="n">
        <x:f>IFERROR(G246/F246,0)</x:f>
        <x:v>0.46308724832214765</x:v>
      </x:c>
      <x:c r="K246" s="312" t="str">
        <x:f>IF(B246="Bilinmeyen Personel","Kontrol","OK")</x:f>
        <x:v>OK</x:v>
      </x:c>
    </x:row>
    <x:row r="247" ht="15.75">
      <x:c r="A247" s="313" t="n">
        <x:f t="shared" si="3">ROW()-ROW($A$2)+1</x:f>
        <x:v>246</x:v>
      </x:c>
      <x:c r="B247" s="313" t="s">
        <x:v>38</x:v>
      </x:c>
      <x:c r="C247" s="313" t="s">
        <x:v>34</x:v>
      </x:c>
      <x:c r="D247" s="314">
        <x:v>2</x:v>
      </x:c>
      <x:c r="E247" s="320">
        <x:v>1090</x:v>
      </x:c>
      <x:c r="F247" s="320">
        <x:v>2180</x:v>
      </x:c>
      <x:c r="G247" s="320">
        <x:v>580</x:v>
      </x:c>
      <x:c r="H247" s="313" t="s">
        <x:v>60</x:v>
      </x:c>
      <x:c r="I247" s="313" t="s">
        <x:v>44</x:v>
      </x:c>
      <x:c r="J247" s="316" t="n">
        <x:f>IFERROR(G247/F247,0)</x:f>
        <x:v>0.26605504587155965</x:v>
      </x:c>
      <x:c r="K247" s="312" t="str">
        <x:f>IF(B247="Bilinmeyen Personel","Kontrol","OK")</x:f>
        <x:v>OK</x:v>
      </x:c>
    </x:row>
    <x:row r="248" ht="15.75">
      <x:c r="A248" s="313" t="n">
        <x:f t="shared" si="3">ROW()-ROW($A$2)+1</x:f>
        <x:v>247</x:v>
      </x:c>
      <x:c r="B248" s="313" t="s">
        <x:v>38</x:v>
      </x:c>
      <x:c r="C248" s="313" t="s">
        <x:v>30</x:v>
      </x:c>
      <x:c r="D248" s="314">
        <x:v>3</x:v>
      </x:c>
      <x:c r="E248" s="320">
        <x:v>1200</x:v>
      </x:c>
      <x:c r="F248" s="320">
        <x:v>3600</x:v>
      </x:c>
      <x:c r="G248" s="320">
        <x:v>1200</x:v>
      </x:c>
      <x:c r="H248" s="313" t="s">
        <x:v>60</x:v>
      </x:c>
      <x:c r="I248" s="313" t="s">
        <x:v>18</x:v>
      </x:c>
      <x:c r="J248" s="316" t="n">
        <x:f>IFERROR(G248/F248,0)</x:f>
        <x:v>0.3333333333333333</x:v>
      </x:c>
      <x:c r="K248" s="312" t="str">
        <x:f>IF(B248="Bilinmeyen Personel","Kontrol","OK")</x:f>
        <x:v>OK</x:v>
      </x:c>
    </x:row>
    <x:row r="249" ht="15.75">
      <x:c r="A249" s="313" t="n">
        <x:f t="shared" si="3">ROW()-ROW($A$2)+1</x:f>
        <x:v>248</x:v>
      </x:c>
      <x:c r="B249" s="313" t="s">
        <x:v>50</x:v>
      </x:c>
      <x:c r="C249" s="313" t="s">
        <x:v>34</x:v>
      </x:c>
      <x:c r="D249" s="314">
        <x:v>2</x:v>
      </x:c>
      <x:c r="E249" s="320">
        <x:v>1090</x:v>
      </x:c>
      <x:c r="F249" s="320">
        <x:v>2180</x:v>
      </x:c>
      <x:c r="G249" s="320">
        <x:v>580</x:v>
      </x:c>
      <x:c r="H249" s="313" t="s">
        <x:v>60</x:v>
      </x:c>
      <x:c r="I249" s="313" t="s">
        <x:v>54</x:v>
      </x:c>
      <x:c r="J249" s="316" t="n">
        <x:f>IFERROR(G249/F249,0)</x:f>
        <x:v>0.26605504587155965</x:v>
      </x:c>
      <x:c r="K249" s="312" t="str">
        <x:f>IF(B249="Bilinmeyen Personel","Kontrol","OK")</x:f>
        <x:v>OK</x:v>
      </x:c>
    </x:row>
    <x:row r="250" ht="15.75">
      <x:c r="A250" s="313" t="n">
        <x:f t="shared" si="3">ROW()-ROW($A$2)+1</x:f>
        <x:v>249</x:v>
      </x:c>
      <x:c r="B250" s="313" t="s">
        <x:v>50</x:v>
      </x:c>
      <x:c r="C250" s="313" t="s">
        <x:v>22</x:v>
      </x:c>
      <x:c r="D250" s="314">
        <x:v>3</x:v>
      </x:c>
      <x:c r="E250" s="320">
        <x:v>2180</x:v>
      </x:c>
      <x:c r="F250" s="320">
        <x:v>6540</x:v>
      </x:c>
      <x:c r="G250" s="320">
        <x:v>2040</x:v>
      </x:c>
      <x:c r="H250" s="313" t="s">
        <x:v>60</x:v>
      </x:c>
      <x:c r="I250" s="313" t="s">
        <x:v>15</x:v>
      </x:c>
      <x:c r="J250" s="316" t="n">
        <x:f>IFERROR(G250/F250,0)</x:f>
        <x:v>0.3119266055045872</x:v>
      </x:c>
      <x:c r="K250" s="312" t="str">
        <x:f>IF(B250="Bilinmeyen Personel","Kontrol","OK")</x:f>
        <x:v>OK</x:v>
      </x:c>
    </x:row>
    <x:row r="251" ht="15.75">
      <x:c r="A251" s="313" t="n">
        <x:f t="shared" si="3">ROW()-ROW($A$2)+1</x:f>
        <x:v>250</x:v>
      </x:c>
      <x:c r="B251" s="313" t="s">
        <x:v>16</x:v>
      </x:c>
      <x:c r="C251" s="313" t="s">
        <x:v>56</x:v>
      </x:c>
      <x:c r="D251" s="314">
        <x:v>3</x:v>
      </x:c>
      <x:c r="E251" s="320">
        <x:v>5300</x:v>
      </x:c>
      <x:c r="F251" s="320">
        <x:v>15900</x:v>
      </x:c>
      <x:c r="G251" s="320">
        <x:v>3900</x:v>
      </x:c>
      <x:c r="H251" s="313" t="s">
        <x:v>60</x:v>
      </x:c>
      <x:c r="I251" s="313" t="s">
        <x:v>18</x:v>
      </x:c>
      <x:c r="J251" s="316" t="n">
        <x:f>IFERROR(G251/F251,0)</x:f>
        <x:v>0.24528301886792453</x:v>
      </x:c>
      <x:c r="K251" s="312" t="str">
        <x:f>IF(B251="Bilinmeyen Personel","Kontrol","OK")</x:f>
        <x:v>OK</x:v>
      </x:c>
    </x:row>
    <x:row r="252" ht="15.75">
      <x:c r="A252" s="313" t="n">
        <x:f t="shared" si="3">ROW()-ROW($A$2)+1</x:f>
        <x:v>251</x:v>
      </x:c>
      <x:c r="B252" s="313" t="s">
        <x:v>50</x:v>
      </x:c>
      <x:c r="C252" s="313" t="s">
        <x:v>56</x:v>
      </x:c>
      <x:c r="D252" s="314">
        <x:v>2</x:v>
      </x:c>
      <x:c r="E252" s="320">
        <x:v>5300</x:v>
      </x:c>
      <x:c r="F252" s="320">
        <x:v>10600</x:v>
      </x:c>
      <x:c r="G252" s="320">
        <x:v>2600</x:v>
      </x:c>
      <x:c r="H252" s="313" t="s">
        <x:v>60</x:v>
      </x:c>
      <x:c r="I252" s="313" t="s">
        <x:v>25</x:v>
      </x:c>
      <x:c r="J252" s="316" t="n">
        <x:f>IFERROR(G252/F252,0)</x:f>
        <x:v>0.24528301886792453</x:v>
      </x:c>
      <x:c r="K252" s="312" t="str">
        <x:f>IF(B252="Bilinmeyen Personel","Kontrol","OK")</x:f>
        <x:v>OK</x:v>
      </x:c>
    </x:row>
    <x:row r="253" ht="15.75">
      <x:c r="A253" s="313" t="n">
        <x:f t="shared" si="3">ROW()-ROW($A$2)+1</x:f>
        <x:v>252</x:v>
      </x:c>
      <x:c r="B253" s="313" t="s">
        <x:v>29</x:v>
      </x:c>
      <x:c r="C253" s="313" t="s">
        <x:v>26</x:v>
      </x:c>
      <x:c r="D253" s="314">
        <x:v>2</x:v>
      </x:c>
      <x:c r="E253" s="320">
        <x:v>7250</x:v>
      </x:c>
      <x:c r="F253" s="320">
        <x:v>14500</x:v>
      </x:c>
      <x:c r="G253" s="320">
        <x:v>4500</x:v>
      </x:c>
      <x:c r="H253" s="313" t="s">
        <x:v>60</x:v>
      </x:c>
      <x:c r="I253" s="313" t="s">
        <x:v>31</x:v>
      </x:c>
      <x:c r="J253" s="316" t="n">
        <x:f>IFERROR(G253/F253,0)</x:f>
        <x:v>0.3103448275862069</x:v>
      </x:c>
      <x:c r="K253" s="312" t="str">
        <x:f>IF(B253="Bilinmeyen Personel","Kontrol","OK")</x:f>
        <x:v>OK</x:v>
      </x:c>
    </x:row>
    <x:row r="254" ht="15.75">
      <x:c r="A254" s="313" t="n">
        <x:f t="shared" si="3">ROW()-ROW($A$2)+1</x:f>
        <x:v>253</x:v>
      </x:c>
      <x:c r="B254" s="313" t="s">
        <x:v>29</x:v>
      </x:c>
      <x:c r="C254" s="313" t="s">
        <x:v>53</x:v>
      </x:c>
      <x:c r="D254" s="314">
        <x:v>3</x:v>
      </x:c>
      <x:c r="E254" s="320">
        <x:v>1200</x:v>
      </x:c>
      <x:c r="F254" s="320">
        <x:v>3600</x:v>
      </x:c>
      <x:c r="G254" s="320">
        <x:v>1200</x:v>
      </x:c>
      <x:c r="H254" s="313" t="s">
        <x:v>60</x:v>
      </x:c>
      <x:c r="I254" s="313" t="s">
        <x:v>21</x:v>
      </x:c>
      <x:c r="J254" s="316" t="n">
        <x:f>IFERROR(G254/F254,0)</x:f>
        <x:v>0.3333333333333333</x:v>
      </x:c>
      <x:c r="K254" s="312" t="str">
        <x:f>IF(B254="Bilinmeyen Personel","Kontrol","OK")</x:f>
        <x:v>OK</x:v>
      </x:c>
    </x:row>
    <x:row r="255" ht="15.75">
      <x:c r="A255" s="313" t="n">
        <x:f t="shared" si="3">ROW()-ROW($A$2)+1</x:f>
        <x:v>254</x:v>
      </x:c>
      <x:c r="B255" s="313" t="s">
        <x:v>19</x:v>
      </x:c>
      <x:c r="C255" s="313" t="s">
        <x:v>10</x:v>
      </x:c>
      <x:c r="D255" s="314">
        <x:v>1</x:v>
      </x:c>
      <x:c r="E255" s="320">
        <x:v>6000</x:v>
      </x:c>
      <x:c r="F255" s="320">
        <x:v>6000</x:v>
      </x:c>
      <x:c r="G255" s="320">
        <x:v>2000</x:v>
      </x:c>
      <x:c r="H255" s="313" t="s">
        <x:v>60</x:v>
      </x:c>
      <x:c r="I255" s="313" t="s">
        <x:v>21</x:v>
      </x:c>
      <x:c r="J255" s="316" t="n">
        <x:f>IFERROR(G255/F255,0)</x:f>
        <x:v>0.3333333333333333</x:v>
      </x:c>
      <x:c r="K255" s="312" t="str">
        <x:f>IF(B255="Bilinmeyen Personel","Kontrol","OK")</x:f>
        <x:v>OK</x:v>
      </x:c>
    </x:row>
    <x:row r="256" ht="15.75">
      <x:c r="A256" s="313" t="n">
        <x:f t="shared" si="3">ROW()-ROW($A$2)+1</x:f>
        <x:v>255</x:v>
      </x:c>
      <x:c r="B256" s="313" t="s">
        <x:v>16</x:v>
      </x:c>
      <x:c r="C256" s="313" t="s">
        <x:v>17</x:v>
      </x:c>
      <x:c r="D256" s="314">
        <x:v>3</x:v>
      </x:c>
      <x:c r="E256" s="320">
        <x:v>8450</x:v>
      </x:c>
      <x:c r="F256" s="320">
        <x:v>25350</x:v>
      </x:c>
      <x:c r="G256" s="320">
        <x:v>7350</x:v>
      </x:c>
      <x:c r="H256" s="313" t="s">
        <x:v>60</x:v>
      </x:c>
      <x:c r="I256" s="313" t="s">
        <x:v>28</x:v>
      </x:c>
      <x:c r="J256" s="316" t="n">
        <x:f>IFERROR(G256/F256,0)</x:f>
        <x:v>0.28994082840236685</x:v>
      </x:c>
      <x:c r="K256" s="312" t="str">
        <x:f>IF(B256="Bilinmeyen Personel","Kontrol","OK")</x:f>
        <x:v>OK</x:v>
      </x:c>
    </x:row>
    <x:row r="257" ht="15.75">
      <x:c r="A257" s="313" t="n">
        <x:f t="shared" si="3">ROW()-ROW($A$2)+1</x:f>
        <x:v>256</x:v>
      </x:c>
      <x:c r="B257" s="313" t="s">
        <x:v>32</x:v>
      </x:c>
      <x:c r="C257" s="313" t="s">
        <x:v>45</x:v>
      </x:c>
      <x:c r="D257" s="314">
        <x:v>1</x:v>
      </x:c>
      <x:c r="E257" s="320">
        <x:v>4200</x:v>
      </x:c>
      <x:c r="F257" s="320">
        <x:v>4200</x:v>
      </x:c>
      <x:c r="G257" s="320">
        <x:v>1200</x:v>
      </x:c>
      <x:c r="H257" s="313" t="s">
        <x:v>61</x:v>
      </x:c>
      <x:c r="I257" s="313" t="s">
        <x:v>25</x:v>
      </x:c>
      <x:c r="J257" s="316" t="n">
        <x:f>IFERROR(G257/F257,0)</x:f>
        <x:v>0.2857142857142857</x:v>
      </x:c>
      <x:c r="K257" s="312" t="str">
        <x:f>IF(B257="Bilinmeyen Personel","Kontrol","OK")</x:f>
        <x:v>OK</x:v>
      </x:c>
    </x:row>
    <x:row r="258" ht="15.75">
      <x:c r="A258" s="313" t="n">
        <x:f t="shared" si="3">ROW()-ROW($A$2)+1</x:f>
        <x:v>257</x:v>
      </x:c>
      <x:c r="B258" s="313" t="s">
        <x:v>32</x:v>
      </x:c>
      <x:c r="C258" s="313" t="s">
        <x:v>39</x:v>
      </x:c>
      <x:c r="D258" s="314">
        <x:v>3</x:v>
      </x:c>
      <x:c r="E258" s="320">
        <x:v>10590</x:v>
      </x:c>
      <x:c r="F258" s="320">
        <x:v>31770</x:v>
      </x:c>
      <x:c r="G258" s="320">
        <x:v>13770</x:v>
      </x:c>
      <x:c r="H258" s="313" t="s">
        <x:v>61</x:v>
      </x:c>
      <x:c r="I258" s="313" t="s">
        <x:v>41</x:v>
      </x:c>
      <x:c r="J258" s="316" t="n">
        <x:f>IFERROR(G258/F258,0)</x:f>
        <x:v>0.43342776203966005</x:v>
      </x:c>
      <x:c r="K258" s="312" t="str">
        <x:f>IF(B258="Bilinmeyen Personel","Kontrol","OK")</x:f>
        <x:v>OK</x:v>
      </x:c>
    </x:row>
    <x:row r="259" ht="15.75">
      <x:c r="A259" s="313" t="n">
        <x:f t="shared" ref="A259:A322" si="4">ROW()-ROW($A$2)+1</x:f>
        <x:v>258</x:v>
      </x:c>
      <x:c r="B259" s="313" t="s">
        <x:v>29</x:v>
      </x:c>
      <x:c r="C259" s="313" t="s">
        <x:v>53</x:v>
      </x:c>
      <x:c r="D259" s="314">
        <x:v>1</x:v>
      </x:c>
      <x:c r="E259" s="320">
        <x:v>1200</x:v>
      </x:c>
      <x:c r="F259" s="320">
        <x:v>1200</x:v>
      </x:c>
      <x:c r="G259" s="320">
        <x:v>400</x:v>
      </x:c>
      <x:c r="H259" s="313" t="s">
        <x:v>61</x:v>
      </x:c>
      <x:c r="I259" s="313" t="s">
        <x:v>18</x:v>
      </x:c>
      <x:c r="J259" s="316" t="n">
        <x:f>IFERROR(G259/F259,0)</x:f>
        <x:v>0.3333333333333333</x:v>
      </x:c>
      <x:c r="K259" s="312" t="str">
        <x:f>IF(B259="Bilinmeyen Personel","Kontrol","OK")</x:f>
        <x:v>OK</x:v>
      </x:c>
    </x:row>
    <x:row r="260" ht="15.75">
      <x:c r="A260" s="313" t="n">
        <x:f t="shared" si="4">ROW()-ROW($A$2)+1</x:f>
        <x:v>259</x:v>
      </x:c>
      <x:c r="B260" s="313" t="s">
        <x:v>48</x:v>
      </x:c>
      <x:c r="C260" s="313" t="s">
        <x:v>27</x:v>
      </x:c>
      <x:c r="D260" s="314">
        <x:v>2</x:v>
      </x:c>
      <x:c r="E260" s="320">
        <x:v>1100</x:v>
      </x:c>
      <x:c r="F260" s="320">
        <x:v>2200</x:v>
      </x:c>
      <x:c r="G260" s="320">
        <x:v>600</x:v>
      </x:c>
      <x:c r="H260" s="313" t="s">
        <x:v>61</x:v>
      </x:c>
      <x:c r="I260" s="313" t="s">
        <x:v>21</x:v>
      </x:c>
      <x:c r="J260" s="316" t="n">
        <x:f>IFERROR(G260/F260,0)</x:f>
        <x:v>0.2727272727272727</x:v>
      </x:c>
      <x:c r="K260" s="312" t="str">
        <x:f>IF(B260="Bilinmeyen Personel","Kontrol","OK")</x:f>
        <x:v>OK</x:v>
      </x:c>
    </x:row>
    <x:row r="261" ht="15.75">
      <x:c r="A261" s="313" t="n">
        <x:f t="shared" si="4">ROW()-ROW($A$2)+1</x:f>
        <x:v>260</x:v>
      </x:c>
      <x:c r="B261" s="313" t="s">
        <x:v>40</x:v>
      </x:c>
      <x:c r="C261" s="313" t="s">
        <x:v>58</x:v>
      </x:c>
      <x:c r="D261" s="314">
        <x:v>2</x:v>
      </x:c>
      <x:c r="E261" s="320">
        <x:v>3700</x:v>
      </x:c>
      <x:c r="F261" s="320">
        <x:v>7400</x:v>
      </x:c>
      <x:c r="G261" s="320">
        <x:v>1400</x:v>
      </x:c>
      <x:c r="H261" s="313" t="s">
        <x:v>61</x:v>
      </x:c>
      <x:c r="I261" s="313" t="s">
        <x:v>41</x:v>
      </x:c>
      <x:c r="J261" s="316" t="n">
        <x:f>IFERROR(G261/F261,0)</x:f>
        <x:v>0.1891891891891892</x:v>
      </x:c>
      <x:c r="K261" s="312" t="str">
        <x:f>IF(B261="Bilinmeyen Personel","Kontrol","OK")</x:f>
        <x:v>OK</x:v>
      </x:c>
    </x:row>
    <x:row r="262" ht="15.75">
      <x:c r="A262" s="313" t="n">
        <x:f t="shared" si="4">ROW()-ROW($A$2)+1</x:f>
        <x:v>261</x:v>
      </x:c>
      <x:c r="B262" s="313" t="s">
        <x:v>13</x:v>
      </x:c>
      <x:c r="C262" s="313" t="s">
        <x:v>58</x:v>
      </x:c>
      <x:c r="D262" s="314">
        <x:v>1</x:v>
      </x:c>
      <x:c r="E262" s="320">
        <x:v>3700</x:v>
      </x:c>
      <x:c r="F262" s="320">
        <x:v>3700</x:v>
      </x:c>
      <x:c r="G262" s="320">
        <x:v>700</x:v>
      </x:c>
      <x:c r="H262" s="313" t="s">
        <x:v>61</x:v>
      </x:c>
      <x:c r="I262" s="313" t="s">
        <x:v>44</x:v>
      </x:c>
      <x:c r="J262" s="316" t="n">
        <x:f>IFERROR(G262/F262,0)</x:f>
        <x:v>0.1891891891891892</x:v>
      </x:c>
      <x:c r="K262" s="312" t="str">
        <x:f>IF(B262="Bilinmeyen Personel","Kontrol","OK")</x:f>
        <x:v>OK</x:v>
      </x:c>
    </x:row>
    <x:row r="263" ht="15.75">
      <x:c r="A263" s="313" t="n">
        <x:f t="shared" si="4">ROW()-ROW($A$2)+1</x:f>
        <x:v>262</x:v>
      </x:c>
      <x:c r="B263" s="313" t="s">
        <x:v>32</x:v>
      </x:c>
      <x:c r="C263" s="313" t="s">
        <x:v>27</x:v>
      </x:c>
      <x:c r="D263" s="314">
        <x:v>3</x:v>
      </x:c>
      <x:c r="E263" s="320">
        <x:v>1100</x:v>
      </x:c>
      <x:c r="F263" s="320">
        <x:v>3300</x:v>
      </x:c>
      <x:c r="G263" s="320">
        <x:v>900</x:v>
      </x:c>
      <x:c r="H263" s="313" t="s">
        <x:v>61</x:v>
      </x:c>
      <x:c r="I263" s="313" t="s">
        <x:v>42</x:v>
      </x:c>
      <x:c r="J263" s="316" t="n">
        <x:f>IFERROR(G263/F263,0)</x:f>
        <x:v>0.2727272727272727</x:v>
      </x:c>
      <x:c r="K263" s="312" t="str">
        <x:f>IF(B263="Bilinmeyen Personel","Kontrol","OK")</x:f>
        <x:v>OK</x:v>
      </x:c>
    </x:row>
    <x:row r="264" ht="15.75">
      <x:c r="A264" s="313" t="n">
        <x:f t="shared" si="4">ROW()-ROW($A$2)+1</x:f>
        <x:v>263</x:v>
      </x:c>
      <x:c r="B264" s="313" t="s">
        <x:v>29</x:v>
      </x:c>
      <x:c r="C264" s="313" t="s">
        <x:v>58</x:v>
      </x:c>
      <x:c r="D264" s="314">
        <x:v>1</x:v>
      </x:c>
      <x:c r="E264" s="320">
        <x:v>3700</x:v>
      </x:c>
      <x:c r="F264" s="320">
        <x:v>3700</x:v>
      </x:c>
      <x:c r="G264" s="320">
        <x:v>700</x:v>
      </x:c>
      <x:c r="H264" s="313" t="s">
        <x:v>61</x:v>
      </x:c>
      <x:c r="I264" s="313" t="s">
        <x:v>41</x:v>
      </x:c>
      <x:c r="J264" s="316" t="n">
        <x:f>IFERROR(G264/F264,0)</x:f>
        <x:v>0.1891891891891892</x:v>
      </x:c>
      <x:c r="K264" s="312" t="str">
        <x:f>IF(B264="Bilinmeyen Personel","Kontrol","OK")</x:f>
        <x:v>OK</x:v>
      </x:c>
    </x:row>
    <x:row r="265" ht="15.75">
      <x:c r="A265" s="313" t="n">
        <x:f t="shared" si="4">ROW()-ROW($A$2)+1</x:f>
        <x:v>264</x:v>
      </x:c>
      <x:c r="B265" s="313" t="s">
        <x:v>48</x:v>
      </x:c>
      <x:c r="C265" s="313" t="s">
        <x:v>43</x:v>
      </x:c>
      <x:c r="D265" s="314">
        <x:v>1</x:v>
      </x:c>
      <x:c r="E265" s="320">
        <x:v>1490</x:v>
      </x:c>
      <x:c r="F265" s="320">
        <x:v>1490</x:v>
      </x:c>
      <x:c r="G265" s="320">
        <x:v>690</x:v>
      </x:c>
      <x:c r="H265" s="313" t="s">
        <x:v>61</x:v>
      </x:c>
      <x:c r="I265" s="313" t="s">
        <x:v>25</x:v>
      </x:c>
      <x:c r="J265" s="316" t="n">
        <x:f>IFERROR(G265/F265,0)</x:f>
        <x:v>0.46308724832214765</x:v>
      </x:c>
      <x:c r="K265" s="312" t="str">
        <x:f>IF(B265="Bilinmeyen Personel","Kontrol","OK")</x:f>
        <x:v>OK</x:v>
      </x:c>
    </x:row>
    <x:row r="266" ht="15.75">
      <x:c r="A266" s="313" t="n">
        <x:f t="shared" si="4">ROW()-ROW($A$2)+1</x:f>
        <x:v>265</x:v>
      </x:c>
      <x:c r="B266" s="313" t="s">
        <x:v>40</x:v>
      </x:c>
      <x:c r="C266" s="313" t="s">
        <x:v>57</x:v>
      </x:c>
      <x:c r="D266" s="314">
        <x:v>1</x:v>
      </x:c>
      <x:c r="E266" s="320">
        <x:v>1500</x:v>
      </x:c>
      <x:c r="F266" s="320">
        <x:v>1500</x:v>
      </x:c>
      <x:c r="G266" s="320">
        <x:v>700</x:v>
      </x:c>
      <x:c r="H266" s="313" t="s">
        <x:v>61</x:v>
      </x:c>
      <x:c r="I266" s="313" t="s">
        <x:v>37</x:v>
      </x:c>
      <x:c r="J266" s="316" t="n">
        <x:f>IFERROR(G266/F266,0)</x:f>
        <x:v>0.4666666666666667</x:v>
      </x:c>
      <x:c r="K266" s="312" t="str">
        <x:f>IF(B266="Bilinmeyen Personel","Kontrol","OK")</x:f>
        <x:v>OK</x:v>
      </x:c>
    </x:row>
    <x:row r="267" ht="15.75">
      <x:c r="A267" s="313" t="n">
        <x:f t="shared" si="4">ROW()-ROW($A$2)+1</x:f>
        <x:v>266</x:v>
      </x:c>
      <x:c r="B267" s="313" t="s">
        <x:v>38</x:v>
      </x:c>
      <x:c r="C267" s="313" t="s">
        <x:v>34</x:v>
      </x:c>
      <x:c r="D267" s="314">
        <x:v>2</x:v>
      </x:c>
      <x:c r="E267" s="320">
        <x:v>1090</x:v>
      </x:c>
      <x:c r="F267" s="320">
        <x:v>2180</x:v>
      </x:c>
      <x:c r="G267" s="320">
        <x:v>580</x:v>
      </x:c>
      <x:c r="H267" s="313" t="s">
        <x:v>61</x:v>
      </x:c>
      <x:c r="I267" s="313" t="s">
        <x:v>15</x:v>
      </x:c>
      <x:c r="J267" s="316" t="n">
        <x:f>IFERROR(G267/F267,0)</x:f>
        <x:v>0.26605504587155965</x:v>
      </x:c>
      <x:c r="K267" s="312" t="str">
        <x:f>IF(B267="Bilinmeyen Personel","Kontrol","OK")</x:f>
        <x:v>OK</x:v>
      </x:c>
    </x:row>
    <x:row r="268" ht="15.75">
      <x:c r="A268" s="313" t="n">
        <x:f t="shared" si="4">ROW()-ROW($A$2)+1</x:f>
        <x:v>267</x:v>
      </x:c>
      <x:c r="B268" s="313" t="s">
        <x:v>48</x:v>
      </x:c>
      <x:c r="C268" s="313" t="s">
        <x:v>33</x:v>
      </x:c>
      <x:c r="D268" s="314">
        <x:v>3</x:v>
      </x:c>
      <x:c r="E268" s="320">
        <x:v>1800</x:v>
      </x:c>
      <x:c r="F268" s="320">
        <x:v>5400</x:v>
      </x:c>
      <x:c r="G268" s="320">
        <x:v>3000</x:v>
      </x:c>
      <x:c r="H268" s="313" t="s">
        <x:v>61</x:v>
      </x:c>
      <x:c r="I268" s="313" t="s">
        <x:v>25</x:v>
      </x:c>
      <x:c r="J268" s="316" t="n">
        <x:f>IFERROR(G268/F268,0)</x:f>
        <x:v>0.5555555555555556</x:v>
      </x:c>
      <x:c r="K268" s="312" t="str">
        <x:f>IF(B268="Bilinmeyen Personel","Kontrol","OK")</x:f>
        <x:v>OK</x:v>
      </x:c>
    </x:row>
    <x:row r="269" ht="15.75">
      <x:c r="A269" s="313" t="n">
        <x:f t="shared" si="4">ROW()-ROW($A$2)+1</x:f>
        <x:v>268</x:v>
      </x:c>
      <x:c r="B269" s="313" t="s">
        <x:v>35</x:v>
      </x:c>
      <x:c r="C269" s="313" t="s">
        <x:v>55</x:v>
      </x:c>
      <x:c r="D269" s="314">
        <x:v>2</x:v>
      </x:c>
      <x:c r="E269" s="320">
        <x:v>7530</x:v>
      </x:c>
      <x:c r="F269" s="320">
        <x:v>15060</x:v>
      </x:c>
      <x:c r="G269" s="320">
        <x:v>3060</x:v>
      </x:c>
      <x:c r="H269" s="313" t="s">
        <x:v>61</x:v>
      </x:c>
      <x:c r="I269" s="313" t="s">
        <x:v>44</x:v>
      </x:c>
      <x:c r="J269" s="316" t="n">
        <x:f>IFERROR(G269/F269,0)</x:f>
        <x:v>0.20318725099601595</x:v>
      </x:c>
      <x:c r="K269" s="312" t="str">
        <x:f>IF(B269="Bilinmeyen Personel","Kontrol","OK")</x:f>
        <x:v>OK</x:v>
      </x:c>
    </x:row>
    <x:row r="270" ht="15.75">
      <x:c r="A270" s="313" t="n">
        <x:f t="shared" si="4">ROW()-ROW($A$2)+1</x:f>
        <x:v>269</x:v>
      </x:c>
      <x:c r="B270" s="313" t="s">
        <x:v>32</x:v>
      </x:c>
      <x:c r="C270" s="313" t="s">
        <x:v>27</x:v>
      </x:c>
      <x:c r="D270" s="314">
        <x:v>3</x:v>
      </x:c>
      <x:c r="E270" s="320">
        <x:v>1100</x:v>
      </x:c>
      <x:c r="F270" s="320">
        <x:v>3300</x:v>
      </x:c>
      <x:c r="G270" s="320">
        <x:v>900</x:v>
      </x:c>
      <x:c r="H270" s="313" t="s">
        <x:v>61</x:v>
      </x:c>
      <x:c r="I270" s="313" t="s">
        <x:v>54</x:v>
      </x:c>
      <x:c r="J270" s="316" t="n">
        <x:f>IFERROR(G270/F270,0)</x:f>
        <x:v>0.2727272727272727</x:v>
      </x:c>
      <x:c r="K270" s="312" t="str">
        <x:f>IF(B270="Bilinmeyen Personel","Kontrol","OK")</x:f>
        <x:v>OK</x:v>
      </x:c>
    </x:row>
    <x:row r="271" ht="15.75">
      <x:c r="A271" s="313" t="n">
        <x:f t="shared" si="4">ROW()-ROW($A$2)+1</x:f>
        <x:v>270</x:v>
      </x:c>
      <x:c r="B271" s="313" t="s">
        <x:v>40</x:v>
      </x:c>
      <x:c r="C271" s="313" t="s">
        <x:v>20</x:v>
      </x:c>
      <x:c r="D271" s="314">
        <x:v>3</x:v>
      </x:c>
      <x:c r="E271" s="320">
        <x:v>1350</x:v>
      </x:c>
      <x:c r="F271" s="320">
        <x:v>4050</x:v>
      </x:c>
      <x:c r="G271" s="320">
        <x:v>1650</x:v>
      </x:c>
      <x:c r="H271" s="313" t="s">
        <x:v>61</x:v>
      </x:c>
      <x:c r="I271" s="313" t="s">
        <x:v>54</x:v>
      </x:c>
      <x:c r="J271" s="316" t="n">
        <x:f>IFERROR(G271/F271,0)</x:f>
        <x:v>0.4074074074074074</x:v>
      </x:c>
      <x:c r="K271" s="312" t="str">
        <x:f>IF(B271="Bilinmeyen Personel","Kontrol","OK")</x:f>
        <x:v>OK</x:v>
      </x:c>
    </x:row>
    <x:row r="272" ht="15.75">
      <x:c r="A272" s="313" t="n">
        <x:f t="shared" si="4">ROW()-ROW($A$2)+1</x:f>
        <x:v>271</x:v>
      </x:c>
      <x:c r="B272" s="313" t="s">
        <x:v>38</x:v>
      </x:c>
      <x:c r="C272" s="313" t="s">
        <x:v>20</x:v>
      </x:c>
      <x:c r="D272" s="314">
        <x:v>1</x:v>
      </x:c>
      <x:c r="E272" s="320">
        <x:v>1350</x:v>
      </x:c>
      <x:c r="F272" s="320">
        <x:v>1350</x:v>
      </x:c>
      <x:c r="G272" s="320">
        <x:v>550</x:v>
      </x:c>
      <x:c r="H272" s="313" t="s">
        <x:v>61</x:v>
      </x:c>
      <x:c r="I272" s="313" t="s">
        <x:v>54</x:v>
      </x:c>
      <x:c r="J272" s="316" t="n">
        <x:f>IFERROR(G272/F272,0)</x:f>
        <x:v>0.4074074074074074</x:v>
      </x:c>
      <x:c r="K272" s="312" t="str">
        <x:f>IF(B272="Bilinmeyen Personel","Kontrol","OK")</x:f>
        <x:v>OK</x:v>
      </x:c>
    </x:row>
    <x:row r="273" ht="15.75">
      <x:c r="A273" s="313" t="n">
        <x:f t="shared" si="4">ROW()-ROW($A$2)+1</x:f>
        <x:v>272</x:v>
      </x:c>
      <x:c r="B273" s="313" t="s">
        <x:v>35</x:v>
      </x:c>
      <x:c r="C273" s="313" t="s">
        <x:v>34</x:v>
      </x:c>
      <x:c r="D273" s="314">
        <x:v>2</x:v>
      </x:c>
      <x:c r="E273" s="320">
        <x:v>1090</x:v>
      </x:c>
      <x:c r="F273" s="320">
        <x:v>2180</x:v>
      </x:c>
      <x:c r="G273" s="320">
        <x:v>580</x:v>
      </x:c>
      <x:c r="H273" s="313" t="s">
        <x:v>61</x:v>
      </x:c>
      <x:c r="I273" s="313" t="s">
        <x:v>54</x:v>
      </x:c>
      <x:c r="J273" s="316" t="n">
        <x:f>IFERROR(G273/F273,0)</x:f>
        <x:v>0.26605504587155965</x:v>
      </x:c>
      <x:c r="K273" s="312" t="str">
        <x:f>IF(B273="Bilinmeyen Personel","Kontrol","OK")</x:f>
        <x:v>OK</x:v>
      </x:c>
    </x:row>
    <x:row r="274" ht="15.75">
      <x:c r="A274" s="313" t="n">
        <x:f t="shared" si="4">ROW()-ROW($A$2)+1</x:f>
        <x:v>273</x:v>
      </x:c>
      <x:c r="B274" s="313" t="s">
        <x:v>35</x:v>
      </x:c>
      <x:c r="C274" s="313" t="s">
        <x:v>45</x:v>
      </x:c>
      <x:c r="D274" s="314">
        <x:v>1</x:v>
      </x:c>
      <x:c r="E274" s="320">
        <x:v>4200</x:v>
      </x:c>
      <x:c r="F274" s="320">
        <x:v>4200</x:v>
      </x:c>
      <x:c r="G274" s="320">
        <x:v>1200</x:v>
      </x:c>
      <x:c r="H274" s="313" t="s">
        <x:v>61</x:v>
      </x:c>
      <x:c r="I274" s="313" t="s">
        <x:v>37</x:v>
      </x:c>
      <x:c r="J274" s="316" t="n">
        <x:f>IFERROR(G274/F274,0)</x:f>
        <x:v>0.2857142857142857</x:v>
      </x:c>
      <x:c r="K274" s="312" t="str">
        <x:f>IF(B274="Bilinmeyen Personel","Kontrol","OK")</x:f>
        <x:v>OK</x:v>
      </x:c>
    </x:row>
    <x:row r="275" ht="15.75">
      <x:c r="A275" s="313" t="n">
        <x:f t="shared" si="4">ROW()-ROW($A$2)+1</x:f>
        <x:v>274</x:v>
      </x:c>
      <x:c r="B275" s="313" t="s">
        <x:v>40</x:v>
      </x:c>
      <x:c r="C275" s="313" t="s">
        <x:v>33</x:v>
      </x:c>
      <x:c r="D275" s="314">
        <x:v>2</x:v>
      </x:c>
      <x:c r="E275" s="320">
        <x:v>1800</x:v>
      </x:c>
      <x:c r="F275" s="320">
        <x:v>3600</x:v>
      </x:c>
      <x:c r="G275" s="320">
        <x:v>2000</x:v>
      </x:c>
      <x:c r="H275" s="313" t="s">
        <x:v>61</x:v>
      </x:c>
      <x:c r="I275" s="313" t="s">
        <x:v>37</x:v>
      </x:c>
      <x:c r="J275" s="316" t="n">
        <x:f>IFERROR(G275/F275,0)</x:f>
        <x:v>0.5555555555555556</x:v>
      </x:c>
      <x:c r="K275" s="312" t="str">
        <x:f>IF(B275="Bilinmeyen Personel","Kontrol","OK")</x:f>
        <x:v>OK</x:v>
      </x:c>
    </x:row>
    <x:row r="276" ht="15.75">
      <x:c r="A276" s="313" t="n">
        <x:f t="shared" si="4">ROW()-ROW($A$2)+1</x:f>
        <x:v>275</x:v>
      </x:c>
      <x:c r="B276" s="313" t="s">
        <x:v>50</x:v>
      </x:c>
      <x:c r="C276" s="313" t="s">
        <x:v>34</x:v>
      </x:c>
      <x:c r="D276" s="314">
        <x:v>1</x:v>
      </x:c>
      <x:c r="E276" s="320">
        <x:v>1090</x:v>
      </x:c>
      <x:c r="F276" s="320">
        <x:v>1090</x:v>
      </x:c>
      <x:c r="G276" s="320">
        <x:v>290</x:v>
      </x:c>
      <x:c r="H276" s="313" t="s">
        <x:v>61</x:v>
      </x:c>
      <x:c r="I276" s="313" t="s">
        <x:v>18</x:v>
      </x:c>
      <x:c r="J276" s="316" t="n">
        <x:f>IFERROR(G276/F276,0)</x:f>
        <x:v>0.26605504587155965</x:v>
      </x:c>
      <x:c r="K276" s="312" t="str">
        <x:f>IF(B276="Bilinmeyen Personel","Kontrol","OK")</x:f>
        <x:v>OK</x:v>
      </x:c>
    </x:row>
    <x:row r="277" ht="15.75">
      <x:c r="A277" s="313" t="n">
        <x:f t="shared" si="4">ROW()-ROW($A$2)+1</x:f>
        <x:v>276</x:v>
      </x:c>
      <x:c r="B277" s="313" t="s">
        <x:v>9</x:v>
      </x:c>
      <x:c r="C277" s="313" t="s">
        <x:v>24</x:v>
      </x:c>
      <x:c r="D277" s="314">
        <x:v>1</x:v>
      </x:c>
      <x:c r="E277" s="320">
        <x:v>7600</x:v>
      </x:c>
      <x:c r="F277" s="320">
        <x:v>7600</x:v>
      </x:c>
      <x:c r="G277" s="320">
        <x:v>1600</x:v>
      </x:c>
      <x:c r="H277" s="313" t="s">
        <x:v>61</x:v>
      </x:c>
      <x:c r="I277" s="313" t="s">
        <x:v>18</x:v>
      </x:c>
      <x:c r="J277" s="316" t="n">
        <x:f>IFERROR(G277/F277,0)</x:f>
        <x:v>0.21052631578947367</x:v>
      </x:c>
      <x:c r="K277" s="312" t="str">
        <x:f>IF(B277="Bilinmeyen Personel","Kontrol","OK")</x:f>
        <x:v>OK</x:v>
      </x:c>
    </x:row>
    <x:row r="278" ht="15.75">
      <x:c r="A278" s="313" t="n">
        <x:f t="shared" si="4">ROW()-ROW($A$2)+1</x:f>
        <x:v>277</x:v>
      </x:c>
      <x:c r="B278" s="313" t="s">
        <x:v>38</x:v>
      </x:c>
      <x:c r="C278" s="313" t="s">
        <x:v>24</x:v>
      </x:c>
      <x:c r="D278" s="314">
        <x:v>3</x:v>
      </x:c>
      <x:c r="E278" s="320">
        <x:v>7600</x:v>
      </x:c>
      <x:c r="F278" s="320">
        <x:v>22800</x:v>
      </x:c>
      <x:c r="G278" s="320">
        <x:v>4800</x:v>
      </x:c>
      <x:c r="H278" s="313" t="s">
        <x:v>61</x:v>
      </x:c>
      <x:c r="I278" s="313" t="s">
        <x:v>18</x:v>
      </x:c>
      <x:c r="J278" s="316" t="n">
        <x:f>IFERROR(G278/F278,0)</x:f>
        <x:v>0.21052631578947367</x:v>
      </x:c>
      <x:c r="K278" s="312" t="str">
        <x:f>IF(B278="Bilinmeyen Personel","Kontrol","OK")</x:f>
        <x:v>OK</x:v>
      </x:c>
    </x:row>
    <x:row r="279" ht="15.75">
      <x:c r="A279" s="313" t="n">
        <x:f t="shared" si="4">ROW()-ROW($A$2)+1</x:f>
        <x:v>278</x:v>
      </x:c>
      <x:c r="B279" s="313" t="s">
        <x:v>16</x:v>
      </x:c>
      <x:c r="C279" s="313" t="s">
        <x:v>58</x:v>
      </x:c>
      <x:c r="D279" s="314">
        <x:v>1</x:v>
      </x:c>
      <x:c r="E279" s="320">
        <x:v>3700</x:v>
      </x:c>
      <x:c r="F279" s="320">
        <x:v>3700</x:v>
      </x:c>
      <x:c r="G279" s="320">
        <x:v>700</x:v>
      </x:c>
      <x:c r="H279" s="313" t="s">
        <x:v>61</x:v>
      </x:c>
      <x:c r="I279" s="313" t="s">
        <x:v>42</x:v>
      </x:c>
      <x:c r="J279" s="316" t="n">
        <x:f>IFERROR(G279/F279,0)</x:f>
        <x:v>0.1891891891891892</x:v>
      </x:c>
      <x:c r="K279" s="312" t="str">
        <x:f>IF(B279="Bilinmeyen Personel","Kontrol","OK")</x:f>
        <x:v>OK</x:v>
      </x:c>
    </x:row>
    <x:row r="280" ht="15.75">
      <x:c r="A280" s="313" t="n">
        <x:f t="shared" si="4">ROW()-ROW($A$2)+1</x:f>
        <x:v>279</x:v>
      </x:c>
      <x:c r="B280" s="313" t="s">
        <x:v>23</x:v>
      </x:c>
      <x:c r="C280" s="313" t="s">
        <x:v>26</x:v>
      </x:c>
      <x:c r="D280" s="314">
        <x:v>3</x:v>
      </x:c>
      <x:c r="E280" s="320">
        <x:v>7250</x:v>
      </x:c>
      <x:c r="F280" s="320">
        <x:v>21750</x:v>
      </x:c>
      <x:c r="G280" s="320">
        <x:v>6750</x:v>
      </x:c>
      <x:c r="H280" s="313" t="s">
        <x:v>61</x:v>
      </x:c>
      <x:c r="I280" s="313" t="s">
        <x:v>46</x:v>
      </x:c>
      <x:c r="J280" s="316" t="n">
        <x:f>IFERROR(G280/F280,0)</x:f>
        <x:v>0.3103448275862069</x:v>
      </x:c>
      <x:c r="K280" s="312" t="str">
        <x:f>IF(B280="Bilinmeyen Personel","Kontrol","OK")</x:f>
        <x:v>OK</x:v>
      </x:c>
    </x:row>
    <x:row r="281" ht="15.75">
      <x:c r="A281" s="313" t="n">
        <x:f t="shared" si="4">ROW()-ROW($A$2)+1</x:f>
        <x:v>280</x:v>
      </x:c>
      <x:c r="B281" s="313" t="s">
        <x:v>13</x:v>
      </x:c>
      <x:c r="C281" s="313" t="s">
        <x:v>24</x:v>
      </x:c>
      <x:c r="D281" s="314">
        <x:v>3</x:v>
      </x:c>
      <x:c r="E281" s="320">
        <x:v>7600</x:v>
      </x:c>
      <x:c r="F281" s="320">
        <x:v>22800</x:v>
      </x:c>
      <x:c r="G281" s="320">
        <x:v>4800</x:v>
      </x:c>
      <x:c r="H281" s="313" t="s">
        <x:v>61</x:v>
      </x:c>
      <x:c r="I281" s="313" t="s">
        <x:v>25</x:v>
      </x:c>
      <x:c r="J281" s="316" t="n">
        <x:f>IFERROR(G281/F281,0)</x:f>
        <x:v>0.21052631578947367</x:v>
      </x:c>
      <x:c r="K281" s="312" t="str">
        <x:f>IF(B281="Bilinmeyen Personel","Kontrol","OK")</x:f>
        <x:v>OK</x:v>
      </x:c>
    </x:row>
    <x:row r="282" ht="15.75">
      <x:c r="A282" s="313" t="n">
        <x:f t="shared" si="4">ROW()-ROW($A$2)+1</x:f>
        <x:v>281</x:v>
      </x:c>
      <x:c r="B282" s="313" t="s">
        <x:v>48</x:v>
      </x:c>
      <x:c r="C282" s="313" t="s">
        <x:v>45</x:v>
      </x:c>
      <x:c r="D282" s="314">
        <x:v>1</x:v>
      </x:c>
      <x:c r="E282" s="320">
        <x:v>4200</x:v>
      </x:c>
      <x:c r="F282" s="320">
        <x:v>4200</x:v>
      </x:c>
      <x:c r="G282" s="320">
        <x:v>1200</x:v>
      </x:c>
      <x:c r="H282" s="313" t="s">
        <x:v>61</x:v>
      </x:c>
      <x:c r="I282" s="313" t="s">
        <x:v>44</x:v>
      </x:c>
      <x:c r="J282" s="316" t="n">
        <x:f>IFERROR(G282/F282,0)</x:f>
        <x:v>0.2857142857142857</x:v>
      </x:c>
      <x:c r="K282" s="312" t="str">
        <x:f>IF(B282="Bilinmeyen Personel","Kontrol","OK")</x:f>
        <x:v>OK</x:v>
      </x:c>
    </x:row>
    <x:row r="283" ht="15.75">
      <x:c r="A283" s="313" t="n">
        <x:f t="shared" si="4">ROW()-ROW($A$2)+1</x:f>
        <x:v>282</x:v>
      </x:c>
      <x:c r="B283" s="313" t="s">
        <x:v>32</x:v>
      </x:c>
      <x:c r="C283" s="313" t="s">
        <x:v>52</x:v>
      </x:c>
      <x:c r="D283" s="314">
        <x:v>3</x:v>
      </x:c>
      <x:c r="E283" s="320">
        <x:v>1250</x:v>
      </x:c>
      <x:c r="F283" s="320">
        <x:v>3750</x:v>
      </x:c>
      <x:c r="G283" s="320">
        <x:v>1350</x:v>
      </x:c>
      <x:c r="H283" s="313" t="s">
        <x:v>61</x:v>
      </x:c>
      <x:c r="I283" s="313" t="s">
        <x:v>44</x:v>
      </x:c>
      <x:c r="J283" s="316" t="n">
        <x:f>IFERROR(G283/F283,0)</x:f>
        <x:v>0.36</x:v>
      </x:c>
      <x:c r="K283" s="312" t="str">
        <x:f>IF(B283="Bilinmeyen Personel","Kontrol","OK")</x:f>
        <x:v>OK</x:v>
      </x:c>
    </x:row>
    <x:row r="284" ht="15.75">
      <x:c r="A284" s="313" t="n">
        <x:f t="shared" si="4">ROW()-ROW($A$2)+1</x:f>
        <x:v>283</x:v>
      </x:c>
      <x:c r="B284" s="313" t="s">
        <x:v>38</x:v>
      </x:c>
      <x:c r="C284" s="313" t="s">
        <x:v>34</x:v>
      </x:c>
      <x:c r="D284" s="314">
        <x:v>1</x:v>
      </x:c>
      <x:c r="E284" s="320">
        <x:v>1090</x:v>
      </x:c>
      <x:c r="F284" s="320">
        <x:v>1090</x:v>
      </x:c>
      <x:c r="G284" s="320">
        <x:v>290</x:v>
      </x:c>
      <x:c r="H284" s="313" t="s">
        <x:v>61</x:v>
      </x:c>
      <x:c r="I284" s="313" t="s">
        <x:v>21</x:v>
      </x:c>
      <x:c r="J284" s="316" t="n">
        <x:f>IFERROR(G284/F284,0)</x:f>
        <x:v>0.26605504587155965</x:v>
      </x:c>
      <x:c r="K284" s="312" t="str">
        <x:f>IF(B284="Bilinmeyen Personel","Kontrol","OK")</x:f>
        <x:v>OK</x:v>
      </x:c>
    </x:row>
    <x:row r="285" ht="15.75">
      <x:c r="A285" s="313" t="n">
        <x:f t="shared" si="4">ROW()-ROW($A$2)+1</x:f>
        <x:v>284</x:v>
      </x:c>
      <x:c r="B285" s="313" t="s">
        <x:v>19</x:v>
      </x:c>
      <x:c r="C285" s="313" t="s">
        <x:v>22</x:v>
      </x:c>
      <x:c r="D285" s="314">
        <x:v>1</x:v>
      </x:c>
      <x:c r="E285" s="320">
        <x:v>2180</x:v>
      </x:c>
      <x:c r="F285" s="320">
        <x:v>2180</x:v>
      </x:c>
      <x:c r="G285" s="320">
        <x:v>680</x:v>
      </x:c>
      <x:c r="H285" s="313" t="s">
        <x:v>61</x:v>
      </x:c>
      <x:c r="I285" s="313" t="s">
        <x:v>21</x:v>
      </x:c>
      <x:c r="J285" s="316" t="n">
        <x:f>IFERROR(G285/F285,0)</x:f>
        <x:v>0.3119266055045872</x:v>
      </x:c>
      <x:c r="K285" s="312" t="str">
        <x:f>IF(B285="Bilinmeyen Personel","Kontrol","OK")</x:f>
        <x:v>OK</x:v>
      </x:c>
    </x:row>
    <x:row r="286" ht="15.75">
      <x:c r="A286" s="313" t="n">
        <x:f t="shared" si="4">ROW()-ROW($A$2)+1</x:f>
        <x:v>285</x:v>
      </x:c>
      <x:c r="B286" s="313" t="s">
        <x:v>50</x:v>
      </x:c>
      <x:c r="C286" s="313" t="s">
        <x:v>58</x:v>
      </x:c>
      <x:c r="D286" s="314">
        <x:v>2</x:v>
      </x:c>
      <x:c r="E286" s="320">
        <x:v>3700</x:v>
      </x:c>
      <x:c r="F286" s="320">
        <x:v>7400</x:v>
      </x:c>
      <x:c r="G286" s="320">
        <x:v>1400</x:v>
      </x:c>
      <x:c r="H286" s="313" t="s">
        <x:v>61</x:v>
      </x:c>
      <x:c r="I286" s="313" t="s">
        <x:v>31</x:v>
      </x:c>
      <x:c r="J286" s="316" t="n">
        <x:f>IFERROR(G286/F286,0)</x:f>
        <x:v>0.1891891891891892</x:v>
      </x:c>
      <x:c r="K286" s="312" t="str">
        <x:f>IF(B286="Bilinmeyen Personel","Kontrol","OK")</x:f>
        <x:v>OK</x:v>
      </x:c>
    </x:row>
    <x:row r="287" ht="15.75">
      <x:c r="A287" s="313" t="n">
        <x:f t="shared" si="4">ROW()-ROW($A$2)+1</x:f>
        <x:v>286</x:v>
      </x:c>
      <x:c r="B287" s="313" t="s">
        <x:v>40</x:v>
      </x:c>
      <x:c r="C287" s="313" t="s">
        <x:v>10</x:v>
      </x:c>
      <x:c r="D287" s="314">
        <x:v>2</x:v>
      </x:c>
      <x:c r="E287" s="320">
        <x:v>6000</x:v>
      </x:c>
      <x:c r="F287" s="320">
        <x:v>12000</x:v>
      </x:c>
      <x:c r="G287" s="320">
        <x:v>4000</x:v>
      </x:c>
      <x:c r="H287" s="313" t="s">
        <x:v>61</x:v>
      </x:c>
      <x:c r="I287" s="313" t="s">
        <x:v>37</x:v>
      </x:c>
      <x:c r="J287" s="316" t="n">
        <x:f>IFERROR(G287/F287,0)</x:f>
        <x:v>0.3333333333333333</x:v>
      </x:c>
      <x:c r="K287" s="312" t="str">
        <x:f>IF(B287="Bilinmeyen Personel","Kontrol","OK")</x:f>
        <x:v>OK</x:v>
      </x:c>
    </x:row>
    <x:row r="288" ht="15.75">
      <x:c r="A288" s="313" t="n">
        <x:f t="shared" si="4">ROW()-ROW($A$2)+1</x:f>
        <x:v>287</x:v>
      </x:c>
      <x:c r="B288" s="313" t="s">
        <x:v>48</x:v>
      </x:c>
      <x:c r="C288" s="313" t="s">
        <x:v>52</x:v>
      </x:c>
      <x:c r="D288" s="314">
        <x:v>2</x:v>
      </x:c>
      <x:c r="E288" s="320">
        <x:v>1250</x:v>
      </x:c>
      <x:c r="F288" s="320">
        <x:v>2500</x:v>
      </x:c>
      <x:c r="G288" s="320">
        <x:v>900</x:v>
      </x:c>
      <x:c r="H288" s="313" t="s">
        <x:v>61</x:v>
      </x:c>
      <x:c r="I288" s="313" t="s">
        <x:v>37</x:v>
      </x:c>
      <x:c r="J288" s="316" t="n">
        <x:f>IFERROR(G288/F288,0)</x:f>
        <x:v>0.36</x:v>
      </x:c>
      <x:c r="K288" s="312" t="str">
        <x:f>IF(B288="Bilinmeyen Personel","Kontrol","OK")</x:f>
        <x:v>OK</x:v>
      </x:c>
    </x:row>
    <x:row r="289" ht="15.75">
      <x:c r="A289" s="313" t="n">
        <x:f t="shared" si="4">ROW()-ROW($A$2)+1</x:f>
        <x:v>288</x:v>
      </x:c>
      <x:c r="B289" s="313" t="s">
        <x:v>50</x:v>
      </x:c>
      <x:c r="C289" s="313" t="s">
        <x:v>24</x:v>
      </x:c>
      <x:c r="D289" s="314">
        <x:v>1</x:v>
      </x:c>
      <x:c r="E289" s="320">
        <x:v>7600</x:v>
      </x:c>
      <x:c r="F289" s="320">
        <x:v>7600</x:v>
      </x:c>
      <x:c r="G289" s="320">
        <x:v>1600</x:v>
      </x:c>
      <x:c r="H289" s="313" t="s">
        <x:v>61</x:v>
      </x:c>
      <x:c r="I289" s="313" t="s">
        <x:v>44</x:v>
      </x:c>
      <x:c r="J289" s="316" t="n">
        <x:f>IFERROR(G289/F289,0)</x:f>
        <x:v>0.21052631578947367</x:v>
      </x:c>
      <x:c r="K289" s="312" t="str">
        <x:f>IF(B289="Bilinmeyen Personel","Kontrol","OK")</x:f>
        <x:v>OK</x:v>
      </x:c>
    </x:row>
    <x:row r="290" ht="15.75">
      <x:c r="A290" s="313" t="n">
        <x:f t="shared" si="4">ROW()-ROW($A$2)+1</x:f>
        <x:v>289</x:v>
      </x:c>
      <x:c r="B290" s="313" t="s">
        <x:v>9</x:v>
      </x:c>
      <x:c r="C290" s="313" t="s">
        <x:v>14</x:v>
      </x:c>
      <x:c r="D290" s="314">
        <x:v>2</x:v>
      </x:c>
      <x:c r="E290" s="320">
        <x:v>1400</x:v>
      </x:c>
      <x:c r="F290" s="320">
        <x:v>2800</x:v>
      </x:c>
      <x:c r="G290" s="320">
        <x:v>1200</x:v>
      </x:c>
      <x:c r="H290" s="313" t="s">
        <x:v>61</x:v>
      </x:c>
      <x:c r="I290" s="313" t="s">
        <x:v>25</x:v>
      </x:c>
      <x:c r="J290" s="316" t="n">
        <x:f>IFERROR(G290/F290,0)</x:f>
        <x:v>0.42857142857142855</x:v>
      </x:c>
      <x:c r="K290" s="312" t="str">
        <x:f>IF(B290="Bilinmeyen Personel","Kontrol","OK")</x:f>
        <x:v>OK</x:v>
      </x:c>
    </x:row>
    <x:row r="291" ht="15.75">
      <x:c r="A291" s="313" t="n">
        <x:f t="shared" si="4">ROW()-ROW($A$2)+1</x:f>
        <x:v>290</x:v>
      </x:c>
      <x:c r="B291" s="313" t="s">
        <x:v>23</x:v>
      </x:c>
      <x:c r="C291" s="313" t="s">
        <x:v>22</x:v>
      </x:c>
      <x:c r="D291" s="314">
        <x:v>2</x:v>
      </x:c>
      <x:c r="E291" s="320">
        <x:v>2180</x:v>
      </x:c>
      <x:c r="F291" s="320">
        <x:v>4360</x:v>
      </x:c>
      <x:c r="G291" s="320">
        <x:v>1360</x:v>
      </x:c>
      <x:c r="H291" s="313" t="s">
        <x:v>61</x:v>
      </x:c>
      <x:c r="I291" s="313" t="s">
        <x:v>54</x:v>
      </x:c>
      <x:c r="J291" s="316" t="n">
        <x:f>IFERROR(G291/F291,0)</x:f>
        <x:v>0.3119266055045872</x:v>
      </x:c>
      <x:c r="K291" s="312" t="str">
        <x:f>IF(B291="Bilinmeyen Personel","Kontrol","OK")</x:f>
        <x:v>OK</x:v>
      </x:c>
    </x:row>
    <x:row r="292" ht="15.75">
      <x:c r="A292" s="313" t="n">
        <x:f t="shared" si="4">ROW()-ROW($A$2)+1</x:f>
        <x:v>291</x:v>
      </x:c>
      <x:c r="B292" s="313" t="s">
        <x:v>9</x:v>
      </x:c>
      <x:c r="C292" s="313" t="s">
        <x:v>33</x:v>
      </x:c>
      <x:c r="D292" s="314">
        <x:v>3</x:v>
      </x:c>
      <x:c r="E292" s="320">
        <x:v>1800</x:v>
      </x:c>
      <x:c r="F292" s="320">
        <x:v>5400</x:v>
      </x:c>
      <x:c r="G292" s="320">
        <x:v>3000</x:v>
      </x:c>
      <x:c r="H292" s="313" t="s">
        <x:v>61</x:v>
      </x:c>
      <x:c r="I292" s="313" t="s">
        <x:v>31</x:v>
      </x:c>
      <x:c r="J292" s="316" t="n">
        <x:f>IFERROR(G292/F292,0)</x:f>
        <x:v>0.5555555555555556</x:v>
      </x:c>
      <x:c r="K292" s="312" t="str">
        <x:f>IF(B292="Bilinmeyen Personel","Kontrol","OK")</x:f>
        <x:v>OK</x:v>
      </x:c>
    </x:row>
    <x:row r="293" ht="15.75">
      <x:c r="A293" s="313" t="n">
        <x:f t="shared" si="4">ROW()-ROW($A$2)+1</x:f>
        <x:v>292</x:v>
      </x:c>
      <x:c r="B293" s="313" t="s">
        <x:v>16</x:v>
      </x:c>
      <x:c r="C293" s="313" t="s">
        <x:v>57</x:v>
      </x:c>
      <x:c r="D293" s="314">
        <x:v>1</x:v>
      </x:c>
      <x:c r="E293" s="320">
        <x:v>1500</x:v>
      </x:c>
      <x:c r="F293" s="320">
        <x:v>1500</x:v>
      </x:c>
      <x:c r="G293" s="320">
        <x:v>700</x:v>
      </x:c>
      <x:c r="H293" s="313" t="s">
        <x:v>61</x:v>
      </x:c>
      <x:c r="I293" s="313" t="s">
        <x:v>44</x:v>
      </x:c>
      <x:c r="J293" s="316" t="n">
        <x:f>IFERROR(G293/F293,0)</x:f>
        <x:v>0.4666666666666667</x:v>
      </x:c>
      <x:c r="K293" s="312" t="str">
        <x:f>IF(B293="Bilinmeyen Personel","Kontrol","OK")</x:f>
        <x:v>OK</x:v>
      </x:c>
    </x:row>
    <x:row r="294" ht="15.75">
      <x:c r="A294" s="313" t="n">
        <x:f t="shared" si="4">ROW()-ROW($A$2)+1</x:f>
        <x:v>293</x:v>
      </x:c>
      <x:c r="B294" s="313" t="s">
        <x:v>32</x:v>
      </x:c>
      <x:c r="C294" s="313" t="s">
        <x:v>17</x:v>
      </x:c>
      <x:c r="D294" s="314">
        <x:v>3</x:v>
      </x:c>
      <x:c r="E294" s="320">
        <x:v>8450</x:v>
      </x:c>
      <x:c r="F294" s="320">
        <x:v>25350</x:v>
      </x:c>
      <x:c r="G294" s="320">
        <x:v>7350</x:v>
      </x:c>
      <x:c r="H294" s="313" t="s">
        <x:v>61</x:v>
      </x:c>
      <x:c r="I294" s="313" t="s">
        <x:v>42</x:v>
      </x:c>
      <x:c r="J294" s="316" t="n">
        <x:f>IFERROR(G294/F294,0)</x:f>
        <x:v>0.28994082840236685</x:v>
      </x:c>
      <x:c r="K294" s="312" t="str">
        <x:f>IF(B294="Bilinmeyen Personel","Kontrol","OK")</x:f>
        <x:v>OK</x:v>
      </x:c>
    </x:row>
    <x:row r="295" ht="15.75">
      <x:c r="A295" s="313" t="n">
        <x:f t="shared" si="4">ROW()-ROW($A$2)+1</x:f>
        <x:v>294</x:v>
      </x:c>
      <x:c r="B295" s="313" t="s">
        <x:v>40</x:v>
      </x:c>
      <x:c r="C295" s="313" t="s">
        <x:v>57</x:v>
      </x:c>
      <x:c r="D295" s="314">
        <x:v>3</x:v>
      </x:c>
      <x:c r="E295" s="320">
        <x:v>1500</x:v>
      </x:c>
      <x:c r="F295" s="320">
        <x:v>4500</x:v>
      </x:c>
      <x:c r="G295" s="320">
        <x:v>2100</x:v>
      </x:c>
      <x:c r="H295" s="313" t="s">
        <x:v>61</x:v>
      </x:c>
      <x:c r="I295" s="313" t="s">
        <x:v>42</x:v>
      </x:c>
      <x:c r="J295" s="316" t="n">
        <x:f>IFERROR(G295/F295,0)</x:f>
        <x:v>0.4666666666666667</x:v>
      </x:c>
      <x:c r="K295" s="312" t="str">
        <x:f>IF(B295="Bilinmeyen Personel","Kontrol","OK")</x:f>
        <x:v>OK</x:v>
      </x:c>
    </x:row>
    <x:row r="296" ht="15.75">
      <x:c r="A296" s="313" t="n">
        <x:f t="shared" si="4">ROW()-ROW($A$2)+1</x:f>
        <x:v>295</x:v>
      </x:c>
      <x:c r="B296" s="313" t="s">
        <x:v>29</x:v>
      </x:c>
      <x:c r="C296" s="313" t="s">
        <x:v>10</x:v>
      </x:c>
      <x:c r="D296" s="314">
        <x:v>3</x:v>
      </x:c>
      <x:c r="E296" s="320">
        <x:v>6000</x:v>
      </x:c>
      <x:c r="F296" s="320">
        <x:v>18000</x:v>
      </x:c>
      <x:c r="G296" s="320">
        <x:v>6000</x:v>
      </x:c>
      <x:c r="H296" s="313" t="s">
        <x:v>61</x:v>
      </x:c>
      <x:c r="I296" s="313" t="s">
        <x:v>28</x:v>
      </x:c>
      <x:c r="J296" s="316" t="n">
        <x:f>IFERROR(G296/F296,0)</x:f>
        <x:v>0.3333333333333333</x:v>
      </x:c>
      <x:c r="K296" s="312" t="str">
        <x:f>IF(B296="Bilinmeyen Personel","Kontrol","OK")</x:f>
        <x:v>OK</x:v>
      </x:c>
    </x:row>
    <x:row r="297" ht="15.75">
      <x:c r="A297" s="313" t="n">
        <x:f t="shared" si="4">ROW()-ROW($A$2)+1</x:f>
        <x:v>296</x:v>
      </x:c>
      <x:c r="B297" s="313" t="s">
        <x:v>50</x:v>
      </x:c>
      <x:c r="C297" s="313" t="s">
        <x:v>53</x:v>
      </x:c>
      <x:c r="D297" s="314">
        <x:v>1</x:v>
      </x:c>
      <x:c r="E297" s="320">
        <x:v>1200</x:v>
      </x:c>
      <x:c r="F297" s="320">
        <x:v>1200</x:v>
      </x:c>
      <x:c r="G297" s="320">
        <x:v>400</x:v>
      </x:c>
      <x:c r="H297" s="313" t="s">
        <x:v>61</x:v>
      </x:c>
      <x:c r="I297" s="313" t="s">
        <x:v>31</x:v>
      </x:c>
      <x:c r="J297" s="316" t="n">
        <x:f>IFERROR(G297/F297,0)</x:f>
        <x:v>0.3333333333333333</x:v>
      </x:c>
      <x:c r="K297" s="312" t="str">
        <x:f>IF(B297="Bilinmeyen Personel","Kontrol","OK")</x:f>
        <x:v>OK</x:v>
      </x:c>
    </x:row>
    <x:row r="298" ht="15.75">
      <x:c r="A298" s="313" t="n">
        <x:f t="shared" si="4">ROW()-ROW($A$2)+1</x:f>
        <x:v>297</x:v>
      </x:c>
      <x:c r="B298" s="313" t="s">
        <x:v>9</x:v>
      </x:c>
      <x:c r="C298" s="313" t="s">
        <x:v>45</x:v>
      </x:c>
      <x:c r="D298" s="314">
        <x:v>3</x:v>
      </x:c>
      <x:c r="E298" s="320">
        <x:v>4200</x:v>
      </x:c>
      <x:c r="F298" s="320">
        <x:v>12600</x:v>
      </x:c>
      <x:c r="G298" s="320">
        <x:v>3600</x:v>
      </x:c>
      <x:c r="H298" s="313" t="s">
        <x:v>61</x:v>
      </x:c>
      <x:c r="I298" s="313" t="s">
        <x:v>46</x:v>
      </x:c>
      <x:c r="J298" s="316" t="n">
        <x:f>IFERROR(G298/F298,0)</x:f>
        <x:v>0.2857142857142857</x:v>
      </x:c>
      <x:c r="K298" s="312" t="str">
        <x:f>IF(B298="Bilinmeyen Personel","Kontrol","OK")</x:f>
        <x:v>OK</x:v>
      </x:c>
    </x:row>
    <x:row r="299" ht="15.75">
      <x:c r="A299" s="313" t="n">
        <x:f t="shared" si="4">ROW()-ROW($A$2)+1</x:f>
        <x:v>298</x:v>
      </x:c>
      <x:c r="B299" s="313" t="s">
        <x:v>48</x:v>
      </x:c>
      <x:c r="C299" s="313" t="s">
        <x:v>24</x:v>
      </x:c>
      <x:c r="D299" s="314">
        <x:v>3</x:v>
      </x:c>
      <x:c r="E299" s="320">
        <x:v>7600</x:v>
      </x:c>
      <x:c r="F299" s="320">
        <x:v>22800</x:v>
      </x:c>
      <x:c r="G299" s="320">
        <x:v>4800</x:v>
      </x:c>
      <x:c r="H299" s="313" t="s">
        <x:v>61</x:v>
      </x:c>
      <x:c r="I299" s="313" t="s">
        <x:v>54</x:v>
      </x:c>
      <x:c r="J299" s="316" t="n">
        <x:f>IFERROR(G299/F299,0)</x:f>
        <x:v>0.21052631578947367</x:v>
      </x:c>
      <x:c r="K299" s="312" t="str">
        <x:f>IF(B299="Bilinmeyen Personel","Kontrol","OK")</x:f>
        <x:v>OK</x:v>
      </x:c>
    </x:row>
    <x:row r="300" ht="15.75">
      <x:c r="A300" s="313" t="n">
        <x:f t="shared" si="4">ROW()-ROW($A$2)+1</x:f>
        <x:v>299</x:v>
      </x:c>
      <x:c r="B300" s="313" t="s">
        <x:v>29</x:v>
      </x:c>
      <x:c r="C300" s="313" t="s">
        <x:v>26</x:v>
      </x:c>
      <x:c r="D300" s="314">
        <x:v>2</x:v>
      </x:c>
      <x:c r="E300" s="320">
        <x:v>7250</x:v>
      </x:c>
      <x:c r="F300" s="320">
        <x:v>14500</x:v>
      </x:c>
      <x:c r="G300" s="320">
        <x:v>4500</x:v>
      </x:c>
      <x:c r="H300" s="313" t="s">
        <x:v>61</x:v>
      </x:c>
      <x:c r="I300" s="313" t="s">
        <x:v>44</x:v>
      </x:c>
      <x:c r="J300" s="316" t="n">
        <x:f>IFERROR(G300/F300,0)</x:f>
        <x:v>0.3103448275862069</x:v>
      </x:c>
      <x:c r="K300" s="312" t="str">
        <x:f>IF(B300="Bilinmeyen Personel","Kontrol","OK")</x:f>
        <x:v>OK</x:v>
      </x:c>
    </x:row>
    <x:row r="301" ht="15.75">
      <x:c r="A301" s="313" t="n">
        <x:f t="shared" si="4">ROW()-ROW($A$2)+1</x:f>
        <x:v>300</x:v>
      </x:c>
      <x:c r="B301" s="313" t="s">
        <x:v>13</x:v>
      </x:c>
      <x:c r="C301" s="313" t="s">
        <x:v>55</x:v>
      </x:c>
      <x:c r="D301" s="314">
        <x:v>2</x:v>
      </x:c>
      <x:c r="E301" s="320">
        <x:v>7530</x:v>
      </x:c>
      <x:c r="F301" s="320">
        <x:v>15060</x:v>
      </x:c>
      <x:c r="G301" s="320">
        <x:v>3060</x:v>
      </x:c>
      <x:c r="H301" s="313" t="s">
        <x:v>61</x:v>
      </x:c>
      <x:c r="I301" s="313" t="s">
        <x:v>25</x:v>
      </x:c>
      <x:c r="J301" s="316" t="n">
        <x:f>IFERROR(G301/F301,0)</x:f>
        <x:v>0.20318725099601595</x:v>
      </x:c>
      <x:c r="K301" s="312" t="str">
        <x:f>IF(B301="Bilinmeyen Personel","Kontrol","OK")</x:f>
        <x:v>OK</x:v>
      </x:c>
    </x:row>
    <x:row r="302" ht="15.75">
      <x:c r="A302" s="313" t="n">
        <x:f t="shared" si="4">ROW()-ROW($A$2)+1</x:f>
        <x:v>301</x:v>
      </x:c>
      <x:c r="B302" s="313" t="s">
        <x:v>16</x:v>
      </x:c>
      <x:c r="C302" s="313" t="s">
        <x:v>26</x:v>
      </x:c>
      <x:c r="D302" s="314">
        <x:v>2</x:v>
      </x:c>
      <x:c r="E302" s="320">
        <x:v>7250</x:v>
      </x:c>
      <x:c r="F302" s="320">
        <x:v>14500</x:v>
      </x:c>
      <x:c r="G302" s="320">
        <x:v>4500</x:v>
      </x:c>
      <x:c r="H302" s="313" t="s">
        <x:v>61</x:v>
      </x:c>
      <x:c r="I302" s="313" t="s">
        <x:v>44</x:v>
      </x:c>
      <x:c r="J302" s="316" t="n">
        <x:f>IFERROR(G302/F302,0)</x:f>
        <x:v>0.3103448275862069</x:v>
      </x:c>
      <x:c r="K302" s="312" t="str">
        <x:f>IF(B302="Bilinmeyen Personel","Kontrol","OK")</x:f>
        <x:v>OK</x:v>
      </x:c>
    </x:row>
    <x:row r="303" ht="15.75">
      <x:c r="A303" s="313" t="n">
        <x:f t="shared" si="4">ROW()-ROW($A$2)+1</x:f>
        <x:v>302</x:v>
      </x:c>
      <x:c r="B303" s="313" t="s">
        <x:v>13</x:v>
      </x:c>
      <x:c r="C303" s="313" t="s">
        <x:v>10</x:v>
      </x:c>
      <x:c r="D303" s="314">
        <x:v>1</x:v>
      </x:c>
      <x:c r="E303" s="320">
        <x:v>6000</x:v>
      </x:c>
      <x:c r="F303" s="320">
        <x:v>6000</x:v>
      </x:c>
      <x:c r="G303" s="320">
        <x:v>2000</x:v>
      </x:c>
      <x:c r="H303" s="313" t="s">
        <x:v>61</x:v>
      </x:c>
      <x:c r="I303" s="313" t="s">
        <x:v>18</x:v>
      </x:c>
      <x:c r="J303" s="316" t="n">
        <x:f>IFERROR(G303/F303,0)</x:f>
        <x:v>0.3333333333333333</x:v>
      </x:c>
      <x:c r="K303" s="312" t="str">
        <x:f>IF(B303="Bilinmeyen Personel","Kontrol","OK")</x:f>
        <x:v>OK</x:v>
      </x:c>
    </x:row>
    <x:row r="304" ht="15.75">
      <x:c r="A304" s="313" t="n">
        <x:f t="shared" si="4">ROW()-ROW($A$2)+1</x:f>
        <x:v>303</x:v>
      </x:c>
      <x:c r="B304" s="313" t="s">
        <x:v>29</x:v>
      </x:c>
      <x:c r="C304" s="313" t="s">
        <x:v>53</x:v>
      </x:c>
      <x:c r="D304" s="314">
        <x:v>3</x:v>
      </x:c>
      <x:c r="E304" s="320">
        <x:v>1200</x:v>
      </x:c>
      <x:c r="F304" s="320">
        <x:v>3600</x:v>
      </x:c>
      <x:c r="G304" s="320">
        <x:v>1200</x:v>
      </x:c>
      <x:c r="H304" s="313" t="s">
        <x:v>61</x:v>
      </x:c>
      <x:c r="I304" s="313" t="s">
        <x:v>44</x:v>
      </x:c>
      <x:c r="J304" s="316" t="n">
        <x:f>IFERROR(G304/F304,0)</x:f>
        <x:v>0.3333333333333333</x:v>
      </x:c>
      <x:c r="K304" s="312" t="str">
        <x:f>IF(B304="Bilinmeyen Personel","Kontrol","OK")</x:f>
        <x:v>OK</x:v>
      </x:c>
    </x:row>
    <x:row r="305" ht="15.75">
      <x:c r="A305" s="313" t="n">
        <x:f t="shared" si="4">ROW()-ROW($A$2)+1</x:f>
        <x:v>304</x:v>
      </x:c>
      <x:c r="B305" s="313" t="s">
        <x:v>50</x:v>
      </x:c>
      <x:c r="C305" s="313" t="s">
        <x:v>56</x:v>
      </x:c>
      <x:c r="D305" s="314">
        <x:v>2</x:v>
      </x:c>
      <x:c r="E305" s="320">
        <x:v>5300</x:v>
      </x:c>
      <x:c r="F305" s="320">
        <x:v>10600</x:v>
      </x:c>
      <x:c r="G305" s="320">
        <x:v>2600</x:v>
      </x:c>
      <x:c r="H305" s="313" t="s">
        <x:v>61</x:v>
      </x:c>
      <x:c r="I305" s="313" t="s">
        <x:v>31</x:v>
      </x:c>
      <x:c r="J305" s="316" t="n">
        <x:f>IFERROR(G305/F305,0)</x:f>
        <x:v>0.24528301886792453</x:v>
      </x:c>
      <x:c r="K305" s="312" t="str">
        <x:f>IF(B305="Bilinmeyen Personel","Kontrol","OK")</x:f>
        <x:v>OK</x:v>
      </x:c>
    </x:row>
    <x:row r="306" ht="15.75">
      <x:c r="A306" s="313" t="n">
        <x:f t="shared" si="4">ROW()-ROW($A$2)+1</x:f>
        <x:v>305</x:v>
      </x:c>
      <x:c r="B306" s="313" t="s">
        <x:v>38</x:v>
      </x:c>
      <x:c r="C306" s="313" t="s">
        <x:v>17</x:v>
      </x:c>
      <x:c r="D306" s="314">
        <x:v>2</x:v>
      </x:c>
      <x:c r="E306" s="320">
        <x:v>8450</x:v>
      </x:c>
      <x:c r="F306" s="320">
        <x:v>16900</x:v>
      </x:c>
      <x:c r="G306" s="320">
        <x:v>4900</x:v>
      </x:c>
      <x:c r="H306" s="313" t="s">
        <x:v>61</x:v>
      </x:c>
      <x:c r="I306" s="313" t="s">
        <x:v>54</x:v>
      </x:c>
      <x:c r="J306" s="316" t="n">
        <x:f>IFERROR(G306/F306,0)</x:f>
        <x:v>0.28994082840236685</x:v>
      </x:c>
      <x:c r="K306" s="312" t="str">
        <x:f>IF(B306="Bilinmeyen Personel","Kontrol","OK")</x:f>
        <x:v>OK</x:v>
      </x:c>
    </x:row>
    <x:row r="307" ht="15.75">
      <x:c r="A307" s="313" t="n">
        <x:f t="shared" si="4">ROW()-ROW($A$2)+1</x:f>
        <x:v>306</x:v>
      </x:c>
      <x:c r="B307" s="313" t="s">
        <x:v>23</x:v>
      </x:c>
      <x:c r="C307" s="313" t="s">
        <x:v>20</x:v>
      </x:c>
      <x:c r="D307" s="314">
        <x:v>1</x:v>
      </x:c>
      <x:c r="E307" s="320">
        <x:v>1350</x:v>
      </x:c>
      <x:c r="F307" s="320">
        <x:v>1350</x:v>
      </x:c>
      <x:c r="G307" s="320">
        <x:v>550</x:v>
      </x:c>
      <x:c r="H307" s="313" t="s">
        <x:v>61</x:v>
      </x:c>
      <x:c r="I307" s="313" t="s">
        <x:v>42</x:v>
      </x:c>
      <x:c r="J307" s="316" t="n">
        <x:f>IFERROR(G307/F307,0)</x:f>
        <x:v>0.4074074074074074</x:v>
      </x:c>
      <x:c r="K307" s="312" t="str">
        <x:f>IF(B307="Bilinmeyen Personel","Kontrol","OK")</x:f>
        <x:v>OK</x:v>
      </x:c>
    </x:row>
    <x:row r="308" ht="15.75">
      <x:c r="A308" s="313" t="n">
        <x:f t="shared" si="4">ROW()-ROW($A$2)+1</x:f>
        <x:v>307</x:v>
      </x:c>
      <x:c r="B308" s="313" t="s">
        <x:v>32</x:v>
      </x:c>
      <x:c r="C308" s="313" t="s">
        <x:v>34</x:v>
      </x:c>
      <x:c r="D308" s="314">
        <x:v>1</x:v>
      </x:c>
      <x:c r="E308" s="320">
        <x:v>1090</x:v>
      </x:c>
      <x:c r="F308" s="320">
        <x:v>1090</x:v>
      </x:c>
      <x:c r="G308" s="320">
        <x:v>290</x:v>
      </x:c>
      <x:c r="H308" s="313" t="s">
        <x:v>61</x:v>
      </x:c>
      <x:c r="I308" s="313" t="s">
        <x:v>37</x:v>
      </x:c>
      <x:c r="J308" s="316" t="n">
        <x:f>IFERROR(G308/F308,0)</x:f>
        <x:v>0.26605504587155965</x:v>
      </x:c>
      <x:c r="K308" s="312" t="str">
        <x:f>IF(B308="Bilinmeyen Personel","Kontrol","OK")</x:f>
        <x:v>OK</x:v>
      </x:c>
    </x:row>
    <x:row r="309" ht="15.75">
      <x:c r="A309" s="313" t="n">
        <x:f t="shared" si="4">ROW()-ROW($A$2)+1</x:f>
        <x:v>308</x:v>
      </x:c>
      <x:c r="B309" s="313" t="s">
        <x:v>23</x:v>
      </x:c>
      <x:c r="C309" s="313" t="s">
        <x:v>22</x:v>
      </x:c>
      <x:c r="D309" s="314">
        <x:v>1</x:v>
      </x:c>
      <x:c r="E309" s="320">
        <x:v>2180</x:v>
      </x:c>
      <x:c r="F309" s="320">
        <x:v>2180</x:v>
      </x:c>
      <x:c r="G309" s="320">
        <x:v>680</x:v>
      </x:c>
      <x:c r="H309" s="313" t="s">
        <x:v>61</x:v>
      </x:c>
      <x:c r="I309" s="313" t="s">
        <x:v>54</x:v>
      </x:c>
      <x:c r="J309" s="316" t="n">
        <x:f>IFERROR(G309/F309,0)</x:f>
        <x:v>0.3119266055045872</x:v>
      </x:c>
      <x:c r="K309" s="312" t="str">
        <x:f>IF(B309="Bilinmeyen Personel","Kontrol","OK")</x:f>
        <x:v>OK</x:v>
      </x:c>
    </x:row>
    <x:row r="310" ht="15.75">
      <x:c r="A310" s="313" t="n">
        <x:f t="shared" si="4">ROW()-ROW($A$2)+1</x:f>
        <x:v>309</x:v>
      </x:c>
      <x:c r="B310" s="313" t="s">
        <x:v>13</x:v>
      </x:c>
      <x:c r="C310" s="313" t="s">
        <x:v>58</x:v>
      </x:c>
      <x:c r="D310" s="314">
        <x:v>1</x:v>
      </x:c>
      <x:c r="E310" s="320">
        <x:v>3700</x:v>
      </x:c>
      <x:c r="F310" s="320">
        <x:v>3700</x:v>
      </x:c>
      <x:c r="G310" s="320">
        <x:v>700</x:v>
      </x:c>
      <x:c r="H310" s="313" t="s">
        <x:v>61</x:v>
      </x:c>
      <x:c r="I310" s="313" t="s">
        <x:v>25</x:v>
      </x:c>
      <x:c r="J310" s="316" t="n">
        <x:f>IFERROR(G310/F310,0)</x:f>
        <x:v>0.1891891891891892</x:v>
      </x:c>
      <x:c r="K310" s="312" t="str">
        <x:f>IF(B310="Bilinmeyen Personel","Kontrol","OK")</x:f>
        <x:v>OK</x:v>
      </x:c>
    </x:row>
    <x:row r="311" ht="15.75">
      <x:c r="A311" s="313" t="n">
        <x:f t="shared" si="4">ROW()-ROW($A$2)+1</x:f>
        <x:v>310</x:v>
      </x:c>
      <x:c r="B311" s="313" t="s">
        <x:v>32</x:v>
      </x:c>
      <x:c r="C311" s="313" t="s">
        <x:v>27</x:v>
      </x:c>
      <x:c r="D311" s="314">
        <x:v>3</x:v>
      </x:c>
      <x:c r="E311" s="320">
        <x:v>1100</x:v>
      </x:c>
      <x:c r="F311" s="320">
        <x:v>3300</x:v>
      </x:c>
      <x:c r="G311" s="320">
        <x:v>900</x:v>
      </x:c>
      <x:c r="H311" s="313" t="s">
        <x:v>61</x:v>
      </x:c>
      <x:c r="I311" s="313" t="s">
        <x:v>46</x:v>
      </x:c>
      <x:c r="J311" s="316" t="n">
        <x:f>IFERROR(G311/F311,0)</x:f>
        <x:v>0.2727272727272727</x:v>
      </x:c>
      <x:c r="K311" s="312" t="str">
        <x:f>IF(B311="Bilinmeyen Personel","Kontrol","OK")</x:f>
        <x:v>OK</x:v>
      </x:c>
    </x:row>
    <x:row r="312" ht="15.75">
      <x:c r="A312" s="313" t="n">
        <x:f t="shared" si="4">ROW()-ROW($A$2)+1</x:f>
        <x:v>311</x:v>
      </x:c>
      <x:c r="B312" s="313" t="s">
        <x:v>29</x:v>
      </x:c>
      <x:c r="C312" s="313" t="s">
        <x:v>58</x:v>
      </x:c>
      <x:c r="D312" s="314">
        <x:v>1</x:v>
      </x:c>
      <x:c r="E312" s="320">
        <x:v>3700</x:v>
      </x:c>
      <x:c r="F312" s="320">
        <x:v>3700</x:v>
      </x:c>
      <x:c r="G312" s="320">
        <x:v>700</x:v>
      </x:c>
      <x:c r="H312" s="313" t="s">
        <x:v>61</x:v>
      </x:c>
      <x:c r="I312" s="313" t="s">
        <x:v>15</x:v>
      </x:c>
      <x:c r="J312" s="316" t="n">
        <x:f>IFERROR(G312/F312,0)</x:f>
        <x:v>0.1891891891891892</x:v>
      </x:c>
      <x:c r="K312" s="312" t="str">
        <x:f>IF(B312="Bilinmeyen Personel","Kontrol","OK")</x:f>
        <x:v>OK</x:v>
      </x:c>
    </x:row>
    <x:row r="313" ht="15.75">
      <x:c r="A313" s="313" t="n">
        <x:f t="shared" si="4">ROW()-ROW($A$2)+1</x:f>
        <x:v>312</x:v>
      </x:c>
      <x:c r="B313" s="313" t="s">
        <x:v>48</x:v>
      </x:c>
      <x:c r="C313" s="313" t="s">
        <x:v>43</x:v>
      </x:c>
      <x:c r="D313" s="314">
        <x:v>1</x:v>
      </x:c>
      <x:c r="E313" s="320">
        <x:v>1490</x:v>
      </x:c>
      <x:c r="F313" s="320">
        <x:v>1490</x:v>
      </x:c>
      <x:c r="G313" s="320">
        <x:v>690</x:v>
      </x:c>
      <x:c r="H313" s="313" t="s">
        <x:v>61</x:v>
      </x:c>
      <x:c r="I313" s="313" t="s">
        <x:v>44</x:v>
      </x:c>
      <x:c r="J313" s="316" t="n">
        <x:f>IFERROR(G313/F313,0)</x:f>
        <x:v>0.46308724832214765</x:v>
      </x:c>
      <x:c r="K313" s="312" t="str">
        <x:f>IF(B313="Bilinmeyen Personel","Kontrol","OK")</x:f>
        <x:v>OK</x:v>
      </x:c>
    </x:row>
    <x:row r="314" ht="15.75">
      <x:c r="A314" s="313" t="n">
        <x:f t="shared" si="4">ROW()-ROW($A$2)+1</x:f>
        <x:v>313</x:v>
      </x:c>
      <x:c r="B314" s="313" t="s">
        <x:v>40</x:v>
      </x:c>
      <x:c r="C314" s="313" t="s">
        <x:v>57</x:v>
      </x:c>
      <x:c r="D314" s="314">
        <x:v>1</x:v>
      </x:c>
      <x:c r="E314" s="320">
        <x:v>1500</x:v>
      </x:c>
      <x:c r="F314" s="320">
        <x:v>1500</x:v>
      </x:c>
      <x:c r="G314" s="320">
        <x:v>700</x:v>
      </x:c>
      <x:c r="H314" s="313" t="s">
        <x:v>61</x:v>
      </x:c>
      <x:c r="I314" s="313" t="s">
        <x:v>44</x:v>
      </x:c>
      <x:c r="J314" s="316" t="n">
        <x:f>IFERROR(G314/F314,0)</x:f>
        <x:v>0.4666666666666667</x:v>
      </x:c>
      <x:c r="K314" s="312" t="str">
        <x:f>IF(B314="Bilinmeyen Personel","Kontrol","OK")</x:f>
        <x:v>OK</x:v>
      </x:c>
    </x:row>
    <x:row r="315" ht="15.75">
      <x:c r="A315" s="313" t="n">
        <x:f t="shared" si="4">ROW()-ROW($A$2)+1</x:f>
        <x:v>314</x:v>
      </x:c>
      <x:c r="B315" s="313" t="s">
        <x:v>38</x:v>
      </x:c>
      <x:c r="C315" s="313" t="s">
        <x:v>34</x:v>
      </x:c>
      <x:c r="D315" s="314">
        <x:v>2</x:v>
      </x:c>
      <x:c r="E315" s="320">
        <x:v>1090</x:v>
      </x:c>
      <x:c r="F315" s="320">
        <x:v>2180</x:v>
      </x:c>
      <x:c r="G315" s="320">
        <x:v>580</x:v>
      </x:c>
      <x:c r="H315" s="313" t="s">
        <x:v>61</x:v>
      </x:c>
      <x:c r="I315" s="313" t="s">
        <x:v>18</x:v>
      </x:c>
      <x:c r="J315" s="316" t="n">
        <x:f>IFERROR(G315/F315,0)</x:f>
        <x:v>0.26605504587155965</x:v>
      </x:c>
      <x:c r="K315" s="312" t="str">
        <x:f>IF(B315="Bilinmeyen Personel","Kontrol","OK")</x:f>
        <x:v>OK</x:v>
      </x:c>
    </x:row>
    <x:row r="316" ht="15.75">
      <x:c r="A316" s="313" t="n">
        <x:f t="shared" si="4">ROW()-ROW($A$2)+1</x:f>
        <x:v>315</x:v>
      </x:c>
      <x:c r="B316" s="313" t="s">
        <x:v>48</x:v>
      </x:c>
      <x:c r="C316" s="313" t="s">
        <x:v>33</x:v>
      </x:c>
      <x:c r="D316" s="314">
        <x:v>3</x:v>
      </x:c>
      <x:c r="E316" s="320">
        <x:v>1800</x:v>
      </x:c>
      <x:c r="F316" s="320">
        <x:v>5400</x:v>
      </x:c>
      <x:c r="G316" s="320">
        <x:v>3000</x:v>
      </x:c>
      <x:c r="H316" s="313" t="s">
        <x:v>61</x:v>
      </x:c>
      <x:c r="I316" s="313" t="s">
        <x:v>15</x:v>
      </x:c>
      <x:c r="J316" s="316" t="n">
        <x:f>IFERROR(G316/F316,0)</x:f>
        <x:v>0.5555555555555556</x:v>
      </x:c>
      <x:c r="K316" s="312" t="str">
        <x:f>IF(B316="Bilinmeyen Personel","Kontrol","OK")</x:f>
        <x:v>OK</x:v>
      </x:c>
    </x:row>
    <x:row r="317" ht="15.75">
      <x:c r="A317" s="313" t="n">
        <x:f t="shared" si="4">ROW()-ROW($A$2)+1</x:f>
        <x:v>316</x:v>
      </x:c>
      <x:c r="B317" s="313" t="s">
        <x:v>35</x:v>
      </x:c>
      <x:c r="C317" s="313" t="s">
        <x:v>55</x:v>
      </x:c>
      <x:c r="D317" s="314">
        <x:v>2</x:v>
      </x:c>
      <x:c r="E317" s="320">
        <x:v>7530</x:v>
      </x:c>
      <x:c r="F317" s="320">
        <x:v>15060</x:v>
      </x:c>
      <x:c r="G317" s="320">
        <x:v>3060</x:v>
      </x:c>
      <x:c r="H317" s="313" t="s">
        <x:v>61</x:v>
      </x:c>
      <x:c r="I317" s="313" t="s">
        <x:v>15</x:v>
      </x:c>
      <x:c r="J317" s="316" t="n">
        <x:f>IFERROR(G317/F317,0)</x:f>
        <x:v>0.20318725099601595</x:v>
      </x:c>
      <x:c r="K317" s="312" t="str">
        <x:f>IF(B317="Bilinmeyen Personel","Kontrol","OK")</x:f>
        <x:v>OK</x:v>
      </x:c>
    </x:row>
    <x:row r="318" ht="15.75">
      <x:c r="A318" s="313" t="n">
        <x:f t="shared" si="4">ROW()-ROW($A$2)+1</x:f>
        <x:v>317</x:v>
      </x:c>
      <x:c r="B318" s="313" t="s">
        <x:v>32</x:v>
      </x:c>
      <x:c r="C318" s="313" t="s">
        <x:v>27</x:v>
      </x:c>
      <x:c r="D318" s="314">
        <x:v>3</x:v>
      </x:c>
      <x:c r="E318" s="320">
        <x:v>1100</x:v>
      </x:c>
      <x:c r="F318" s="320">
        <x:v>3300</x:v>
      </x:c>
      <x:c r="G318" s="320">
        <x:v>900</x:v>
      </x:c>
      <x:c r="H318" s="313" t="s">
        <x:v>61</x:v>
      </x:c>
      <x:c r="I318" s="313" t="s">
        <x:v>12</x:v>
      </x:c>
      <x:c r="J318" s="316" t="n">
        <x:f>IFERROR(G318/F318,0)</x:f>
        <x:v>0.2727272727272727</x:v>
      </x:c>
      <x:c r="K318" s="312" t="str">
        <x:f>IF(B318="Bilinmeyen Personel","Kontrol","OK")</x:f>
        <x:v>OK</x:v>
      </x:c>
    </x:row>
    <x:row r="319" ht="15.75">
      <x:c r="A319" s="313" t="n">
        <x:f t="shared" si="4">ROW()-ROW($A$2)+1</x:f>
        <x:v>318</x:v>
      </x:c>
      <x:c r="B319" s="313" t="s">
        <x:v>40</x:v>
      </x:c>
      <x:c r="C319" s="313" t="s">
        <x:v>20</x:v>
      </x:c>
      <x:c r="D319" s="314">
        <x:v>3</x:v>
      </x:c>
      <x:c r="E319" s="320">
        <x:v>1350</x:v>
      </x:c>
      <x:c r="F319" s="320">
        <x:v>4050</x:v>
      </x:c>
      <x:c r="G319" s="320">
        <x:v>1650</x:v>
      </x:c>
      <x:c r="H319" s="313" t="s">
        <x:v>61</x:v>
      </x:c>
      <x:c r="I319" s="313" t="s">
        <x:v>21</x:v>
      </x:c>
      <x:c r="J319" s="316" t="n">
        <x:f>IFERROR(G319/F319,0)</x:f>
        <x:v>0.4074074074074074</x:v>
      </x:c>
      <x:c r="K319" s="312" t="str">
        <x:f>IF(B319="Bilinmeyen Personel","Kontrol","OK")</x:f>
        <x:v>OK</x:v>
      </x:c>
    </x:row>
    <x:row r="320" ht="15.75">
      <x:c r="A320" s="313" t="n">
        <x:f t="shared" si="4">ROW()-ROW($A$2)+1</x:f>
        <x:v>319</x:v>
      </x:c>
      <x:c r="B320" s="313" t="s">
        <x:v>38</x:v>
      </x:c>
      <x:c r="C320" s="313" t="s">
        <x:v>20</x:v>
      </x:c>
      <x:c r="D320" s="314">
        <x:v>1</x:v>
      </x:c>
      <x:c r="E320" s="320">
        <x:v>1350</x:v>
      </x:c>
      <x:c r="F320" s="320">
        <x:v>1350</x:v>
      </x:c>
      <x:c r="G320" s="320">
        <x:v>550</x:v>
      </x:c>
      <x:c r="H320" s="313" t="s">
        <x:v>61</x:v>
      </x:c>
      <x:c r="I320" s="313" t="s">
        <x:v>41</x:v>
      </x:c>
      <x:c r="J320" s="316" t="n">
        <x:f>IFERROR(G320/F320,0)</x:f>
        <x:v>0.4074074074074074</x:v>
      </x:c>
      <x:c r="K320" s="312" t="str">
        <x:f>IF(B320="Bilinmeyen Personel","Kontrol","OK")</x:f>
        <x:v>OK</x:v>
      </x:c>
    </x:row>
    <x:row r="321" ht="15.75">
      <x:c r="A321" s="313" t="n">
        <x:f t="shared" si="4">ROW()-ROW($A$2)+1</x:f>
        <x:v>320</x:v>
      </x:c>
      <x:c r="B321" s="313" t="s">
        <x:v>35</x:v>
      </x:c>
      <x:c r="C321" s="313" t="s">
        <x:v>34</x:v>
      </x:c>
      <x:c r="D321" s="314">
        <x:v>2</x:v>
      </x:c>
      <x:c r="E321" s="320">
        <x:v>1090</x:v>
      </x:c>
      <x:c r="F321" s="320">
        <x:v>2180</x:v>
      </x:c>
      <x:c r="G321" s="320">
        <x:v>580</x:v>
      </x:c>
      <x:c r="H321" s="313" t="s">
        <x:v>61</x:v>
      </x:c>
      <x:c r="I321" s="313" t="s">
        <x:v>25</x:v>
      </x:c>
      <x:c r="J321" s="316" t="n">
        <x:f>IFERROR(G321/F321,0)</x:f>
        <x:v>0.26605504587155965</x:v>
      </x:c>
      <x:c r="K321" s="312" t="str">
        <x:f>IF(B321="Bilinmeyen Personel","Kontrol","OK")</x:f>
        <x:v>OK</x:v>
      </x:c>
    </x:row>
    <x:row r="322" ht="15.75">
      <x:c r="A322" s="313" t="n">
        <x:f t="shared" si="4">ROW()-ROW($A$2)+1</x:f>
        <x:v>321</x:v>
      </x:c>
      <x:c r="B322" s="313" t="s">
        <x:v>35</x:v>
      </x:c>
      <x:c r="C322" s="313" t="s">
        <x:v>45</x:v>
      </x:c>
      <x:c r="D322" s="314">
        <x:v>1</x:v>
      </x:c>
      <x:c r="E322" s="320">
        <x:v>4200</x:v>
      </x:c>
      <x:c r="F322" s="320">
        <x:v>4200</x:v>
      </x:c>
      <x:c r="G322" s="320">
        <x:v>1200</x:v>
      </x:c>
      <x:c r="H322" s="313" t="s">
        <x:v>61</x:v>
      </x:c>
      <x:c r="I322" s="313" t="s">
        <x:v>44</x:v>
      </x:c>
      <x:c r="J322" s="316" t="n">
        <x:f>IFERROR(G322/F322,0)</x:f>
        <x:v>0.2857142857142857</x:v>
      </x:c>
      <x:c r="K322" s="312" t="str">
        <x:f>IF(B322="Bilinmeyen Personel","Kontrol","OK")</x:f>
        <x:v>OK</x:v>
      </x:c>
    </x:row>
    <x:row r="323" ht="15.75">
      <x:c r="A323" s="313" t="n">
        <x:f t="shared" ref="A323:A386" si="5">ROW()-ROW($A$2)+1</x:f>
        <x:v>322</x:v>
      </x:c>
      <x:c r="B323" s="313" t="s">
        <x:v>40</x:v>
      </x:c>
      <x:c r="C323" s="313" t="s">
        <x:v>33</x:v>
      </x:c>
      <x:c r="D323" s="314">
        <x:v>2</x:v>
      </x:c>
      <x:c r="E323" s="320">
        <x:v>1800</x:v>
      </x:c>
      <x:c r="F323" s="320">
        <x:v>3600</x:v>
      </x:c>
      <x:c r="G323" s="320">
        <x:v>2000</x:v>
      </x:c>
      <x:c r="H323" s="313" t="s">
        <x:v>61</x:v>
      </x:c>
      <x:c r="I323" s="313" t="s">
        <x:v>28</x:v>
      </x:c>
      <x:c r="J323" s="316" t="n">
        <x:f>IFERROR(G323/F323,0)</x:f>
        <x:v>0.5555555555555556</x:v>
      </x:c>
      <x:c r="K323" s="312" t="str">
        <x:f>IF(B323="Bilinmeyen Personel","Kontrol","OK")</x:f>
        <x:v>OK</x:v>
      </x:c>
    </x:row>
    <x:row r="324" ht="15.75">
      <x:c r="A324" s="313" t="n">
        <x:f t="shared" si="5">ROW()-ROW($A$2)+1</x:f>
        <x:v>323</x:v>
      </x:c>
      <x:c r="B324" s="313" t="s">
        <x:v>50</x:v>
      </x:c>
      <x:c r="C324" s="313" t="s">
        <x:v>34</x:v>
      </x:c>
      <x:c r="D324" s="314">
        <x:v>1</x:v>
      </x:c>
      <x:c r="E324" s="320">
        <x:v>1090</x:v>
      </x:c>
      <x:c r="F324" s="320">
        <x:v>1090</x:v>
      </x:c>
      <x:c r="G324" s="320">
        <x:v>290</x:v>
      </x:c>
      <x:c r="H324" s="313" t="s">
        <x:v>61</x:v>
      </x:c>
      <x:c r="I324" s="313" t="s">
        <x:v>42</x:v>
      </x:c>
      <x:c r="J324" s="316" t="n">
        <x:f>IFERROR(G324/F324,0)</x:f>
        <x:v>0.26605504587155965</x:v>
      </x:c>
      <x:c r="K324" s="312" t="str">
        <x:f>IF(B324="Bilinmeyen Personel","Kontrol","OK")</x:f>
        <x:v>OK</x:v>
      </x:c>
    </x:row>
    <x:row r="325" ht="15.75">
      <x:c r="A325" s="313" t="n">
        <x:f t="shared" si="5">ROW()-ROW($A$2)+1</x:f>
        <x:v>324</x:v>
      </x:c>
      <x:c r="B325" s="313" t="s">
        <x:v>9</x:v>
      </x:c>
      <x:c r="C325" s="313" t="s">
        <x:v>24</x:v>
      </x:c>
      <x:c r="D325" s="314">
        <x:v>1</x:v>
      </x:c>
      <x:c r="E325" s="320">
        <x:v>7600</x:v>
      </x:c>
      <x:c r="F325" s="320">
        <x:v>7600</x:v>
      </x:c>
      <x:c r="G325" s="320">
        <x:v>1600</x:v>
      </x:c>
      <x:c r="H325" s="313" t="s">
        <x:v>61</x:v>
      </x:c>
      <x:c r="I325" s="313" t="s">
        <x:v>42</x:v>
      </x:c>
      <x:c r="J325" s="316" t="n">
        <x:f>IFERROR(G325/F325,0)</x:f>
        <x:v>0.21052631578947367</x:v>
      </x:c>
      <x:c r="K325" s="312" t="str">
        <x:f>IF(B325="Bilinmeyen Personel","Kontrol","OK")</x:f>
        <x:v>OK</x:v>
      </x:c>
    </x:row>
    <x:row r="326" ht="15.75">
      <x:c r="A326" s="313" t="n">
        <x:f t="shared" si="5">ROW()-ROW($A$2)+1</x:f>
        <x:v>325</x:v>
      </x:c>
      <x:c r="B326" s="313" t="s">
        <x:v>38</x:v>
      </x:c>
      <x:c r="C326" s="313" t="s">
        <x:v>24</x:v>
      </x:c>
      <x:c r="D326" s="314">
        <x:v>3</x:v>
      </x:c>
      <x:c r="E326" s="320">
        <x:v>7600</x:v>
      </x:c>
      <x:c r="F326" s="320">
        <x:v>22800</x:v>
      </x:c>
      <x:c r="G326" s="320">
        <x:v>4800</x:v>
      </x:c>
      <x:c r="H326" s="313" t="s">
        <x:v>61</x:v>
      </x:c>
      <x:c r="I326" s="313" t="s">
        <x:v>41</x:v>
      </x:c>
      <x:c r="J326" s="316" t="n">
        <x:f>IFERROR(G326/F326,0)</x:f>
        <x:v>0.21052631578947367</x:v>
      </x:c>
      <x:c r="K326" s="312" t="str">
        <x:f>IF(B326="Bilinmeyen Personel","Kontrol","OK")</x:f>
        <x:v>OK</x:v>
      </x:c>
    </x:row>
    <x:row r="327" ht="15.75">
      <x:c r="A327" s="313" t="n">
        <x:f t="shared" si="5">ROW()-ROW($A$2)+1</x:f>
        <x:v>326</x:v>
      </x:c>
      <x:c r="B327" s="313" t="s">
        <x:v>16</x:v>
      </x:c>
      <x:c r="C327" s="313" t="s">
        <x:v>58</x:v>
      </x:c>
      <x:c r="D327" s="314">
        <x:v>1</x:v>
      </x:c>
      <x:c r="E327" s="320">
        <x:v>3700</x:v>
      </x:c>
      <x:c r="F327" s="320">
        <x:v>3700</x:v>
      </x:c>
      <x:c r="G327" s="320">
        <x:v>700</x:v>
      </x:c>
      <x:c r="H327" s="313" t="s">
        <x:v>61</x:v>
      </x:c>
      <x:c r="I327" s="313" t="s">
        <x:v>41</x:v>
      </x:c>
      <x:c r="J327" s="316" t="n">
        <x:f>IFERROR(G327/F327,0)</x:f>
        <x:v>0.1891891891891892</x:v>
      </x:c>
      <x:c r="K327" s="312" t="str">
        <x:f>IF(B327="Bilinmeyen Personel","Kontrol","OK")</x:f>
        <x:v>OK</x:v>
      </x:c>
    </x:row>
    <x:row r="328" ht="15.75">
      <x:c r="A328" s="313" t="n">
        <x:f t="shared" si="5">ROW()-ROW($A$2)+1</x:f>
        <x:v>327</x:v>
      </x:c>
      <x:c r="B328" s="313" t="s">
        <x:v>23</x:v>
      </x:c>
      <x:c r="C328" s="313" t="s">
        <x:v>26</x:v>
      </x:c>
      <x:c r="D328" s="314">
        <x:v>3</x:v>
      </x:c>
      <x:c r="E328" s="320">
        <x:v>7250</x:v>
      </x:c>
      <x:c r="F328" s="320">
        <x:v>21750</x:v>
      </x:c>
      <x:c r="G328" s="320">
        <x:v>6750</x:v>
      </x:c>
      <x:c r="H328" s="313" t="s">
        <x:v>61</x:v>
      </x:c>
      <x:c r="I328" s="313" t="s">
        <x:v>54</x:v>
      </x:c>
      <x:c r="J328" s="316" t="n">
        <x:f>IFERROR(G328/F328,0)</x:f>
        <x:v>0.3103448275862069</x:v>
      </x:c>
      <x:c r="K328" s="312" t="str">
        <x:f>IF(B328="Bilinmeyen Personel","Kontrol","OK")</x:f>
        <x:v>OK</x:v>
      </x:c>
    </x:row>
    <x:row r="329" ht="15.75">
      <x:c r="A329" s="313" t="n">
        <x:f t="shared" si="5">ROW()-ROW($A$2)+1</x:f>
        <x:v>328</x:v>
      </x:c>
      <x:c r="B329" s="313" t="s">
        <x:v>13</x:v>
      </x:c>
      <x:c r="C329" s="313" t="s">
        <x:v>24</x:v>
      </x:c>
      <x:c r="D329" s="314">
        <x:v>3</x:v>
      </x:c>
      <x:c r="E329" s="320">
        <x:v>7600</x:v>
      </x:c>
      <x:c r="F329" s="320">
        <x:v>22800</x:v>
      </x:c>
      <x:c r="G329" s="320">
        <x:v>4800</x:v>
      </x:c>
      <x:c r="H329" s="313" t="s">
        <x:v>61</x:v>
      </x:c>
      <x:c r="I329" s="313" t="s">
        <x:v>46</x:v>
      </x:c>
      <x:c r="J329" s="316" t="n">
        <x:f>IFERROR(G329/F329,0)</x:f>
        <x:v>0.21052631578947367</x:v>
      </x:c>
      <x:c r="K329" s="312" t="str">
        <x:f>IF(B329="Bilinmeyen Personel","Kontrol","OK")</x:f>
        <x:v>OK</x:v>
      </x:c>
    </x:row>
    <x:row r="330" ht="15.75">
      <x:c r="A330" s="313" t="n">
        <x:f t="shared" si="5">ROW()-ROW($A$2)+1</x:f>
        <x:v>329</x:v>
      </x:c>
      <x:c r="B330" s="313" t="s">
        <x:v>48</x:v>
      </x:c>
      <x:c r="C330" s="313" t="s">
        <x:v>45</x:v>
      </x:c>
      <x:c r="D330" s="314">
        <x:v>1</x:v>
      </x:c>
      <x:c r="E330" s="320">
        <x:v>4200</x:v>
      </x:c>
      <x:c r="F330" s="320">
        <x:v>4200</x:v>
      </x:c>
      <x:c r="G330" s="320">
        <x:v>1200</x:v>
      </x:c>
      <x:c r="H330" s="313" t="s">
        <x:v>61</x:v>
      </x:c>
      <x:c r="I330" s="313" t="s">
        <x:v>28</x:v>
      </x:c>
      <x:c r="J330" s="316" t="n">
        <x:f>IFERROR(G330/F330,0)</x:f>
        <x:v>0.2857142857142857</x:v>
      </x:c>
      <x:c r="K330" s="312" t="str">
        <x:f>IF(B330="Bilinmeyen Personel","Kontrol","OK")</x:f>
        <x:v>OK</x:v>
      </x:c>
    </x:row>
    <x:row r="331" ht="15.75">
      <x:c r="A331" s="313" t="n">
        <x:f t="shared" si="5">ROW()-ROW($A$2)+1</x:f>
        <x:v>330</x:v>
      </x:c>
      <x:c r="B331" s="313" t="s">
        <x:v>32</x:v>
      </x:c>
      <x:c r="C331" s="313" t="s">
        <x:v>52</x:v>
      </x:c>
      <x:c r="D331" s="314">
        <x:v>3</x:v>
      </x:c>
      <x:c r="E331" s="320">
        <x:v>1250</x:v>
      </x:c>
      <x:c r="F331" s="320">
        <x:v>3750</x:v>
      </x:c>
      <x:c r="G331" s="320">
        <x:v>1350</x:v>
      </x:c>
      <x:c r="H331" s="313" t="s">
        <x:v>61</x:v>
      </x:c>
      <x:c r="I331" s="313" t="s">
        <x:v>46</x:v>
      </x:c>
      <x:c r="J331" s="316" t="n">
        <x:f>IFERROR(G331/F331,0)</x:f>
        <x:v>0.36</x:v>
      </x:c>
      <x:c r="K331" s="312" t="str">
        <x:f>IF(B331="Bilinmeyen Personel","Kontrol","OK")</x:f>
        <x:v>OK</x:v>
      </x:c>
    </x:row>
    <x:row r="332" ht="15.75">
      <x:c r="A332" s="313" t="n">
        <x:f t="shared" si="5">ROW()-ROW($A$2)+1</x:f>
        <x:v>331</x:v>
      </x:c>
      <x:c r="B332" s="313" t="s">
        <x:v>38</x:v>
      </x:c>
      <x:c r="C332" s="313" t="s">
        <x:v>34</x:v>
      </x:c>
      <x:c r="D332" s="314">
        <x:v>1</x:v>
      </x:c>
      <x:c r="E332" s="320">
        <x:v>1090</x:v>
      </x:c>
      <x:c r="F332" s="320">
        <x:v>1090</x:v>
      </x:c>
      <x:c r="G332" s="320">
        <x:v>290</x:v>
      </x:c>
      <x:c r="H332" s="313" t="s">
        <x:v>61</x:v>
      </x:c>
      <x:c r="I332" s="313" t="s">
        <x:v>28</x:v>
      </x:c>
      <x:c r="J332" s="316" t="n">
        <x:f>IFERROR(G332/F332,0)</x:f>
        <x:v>0.26605504587155965</x:v>
      </x:c>
      <x:c r="K332" s="312" t="str">
        <x:f>IF(B332="Bilinmeyen Personel","Kontrol","OK")</x:f>
        <x:v>OK</x:v>
      </x:c>
    </x:row>
    <x:row r="333" ht="15.75">
      <x:c r="A333" s="313" t="n">
        <x:f t="shared" si="5">ROW()-ROW($A$2)+1</x:f>
        <x:v>332</x:v>
      </x:c>
      <x:c r="B333" s="313" t="s">
        <x:v>19</x:v>
      </x:c>
      <x:c r="C333" s="313" t="s">
        <x:v>22</x:v>
      </x:c>
      <x:c r="D333" s="314">
        <x:v>1</x:v>
      </x:c>
      <x:c r="E333" s="320">
        <x:v>2180</x:v>
      </x:c>
      <x:c r="F333" s="320">
        <x:v>2180</x:v>
      </x:c>
      <x:c r="G333" s="320">
        <x:v>680</x:v>
      </x:c>
      <x:c r="H333" s="313" t="s">
        <x:v>61</x:v>
      </x:c>
      <x:c r="I333" s="313" t="s">
        <x:v>25</x:v>
      </x:c>
      <x:c r="J333" s="316" t="n">
        <x:f>IFERROR(G333/F333,0)</x:f>
        <x:v>0.3119266055045872</x:v>
      </x:c>
      <x:c r="K333" s="312" t="str">
        <x:f>IF(B333="Bilinmeyen Personel","Kontrol","OK")</x:f>
        <x:v>OK</x:v>
      </x:c>
    </x:row>
    <x:row r="334" ht="15.75">
      <x:c r="A334" s="313" t="n">
        <x:f t="shared" si="5">ROW()-ROW($A$2)+1</x:f>
        <x:v>333</x:v>
      </x:c>
      <x:c r="B334" s="313" t="s">
        <x:v>50</x:v>
      </x:c>
      <x:c r="C334" s="313" t="s">
        <x:v>58</x:v>
      </x:c>
      <x:c r="D334" s="314">
        <x:v>2</x:v>
      </x:c>
      <x:c r="E334" s="320">
        <x:v>3700</x:v>
      </x:c>
      <x:c r="F334" s="320">
        <x:v>7400</x:v>
      </x:c>
      <x:c r="G334" s="320">
        <x:v>1400</x:v>
      </x:c>
      <x:c r="H334" s="313" t="s">
        <x:v>61</x:v>
      </x:c>
      <x:c r="I334" s="313" t="s">
        <x:v>25</x:v>
      </x:c>
      <x:c r="J334" s="316" t="n">
        <x:f>IFERROR(G334/F334,0)</x:f>
        <x:v>0.1891891891891892</x:v>
      </x:c>
      <x:c r="K334" s="312" t="str">
        <x:f>IF(B334="Bilinmeyen Personel","Kontrol","OK")</x:f>
        <x:v>OK</x:v>
      </x:c>
    </x:row>
    <x:row r="335" ht="15.75">
      <x:c r="A335" s="313" t="n">
        <x:f t="shared" si="5">ROW()-ROW($A$2)+1</x:f>
        <x:v>334</x:v>
      </x:c>
      <x:c r="B335" s="313" t="s">
        <x:v>40</x:v>
      </x:c>
      <x:c r="C335" s="313" t="s">
        <x:v>10</x:v>
      </x:c>
      <x:c r="D335" s="314">
        <x:v>2</x:v>
      </x:c>
      <x:c r="E335" s="320">
        <x:v>6000</x:v>
      </x:c>
      <x:c r="F335" s="320">
        <x:v>12000</x:v>
      </x:c>
      <x:c r="G335" s="320">
        <x:v>4000</x:v>
      </x:c>
      <x:c r="H335" s="313" t="s">
        <x:v>61</x:v>
      </x:c>
      <x:c r="I335" s="313" t="s">
        <x:v>25</x:v>
      </x:c>
      <x:c r="J335" s="316" t="n">
        <x:f>IFERROR(G335/F335,0)</x:f>
        <x:v>0.3333333333333333</x:v>
      </x:c>
      <x:c r="K335" s="312" t="str">
        <x:f>IF(B335="Bilinmeyen Personel","Kontrol","OK")</x:f>
        <x:v>OK</x:v>
      </x:c>
    </x:row>
    <x:row r="336" ht="15.75">
      <x:c r="A336" s="313" t="n">
        <x:f t="shared" si="5">ROW()-ROW($A$2)+1</x:f>
        <x:v>335</x:v>
      </x:c>
      <x:c r="B336" s="313" t="s">
        <x:v>48</x:v>
      </x:c>
      <x:c r="C336" s="313" t="s">
        <x:v>52</x:v>
      </x:c>
      <x:c r="D336" s="314">
        <x:v>2</x:v>
      </x:c>
      <x:c r="E336" s="320">
        <x:v>1250</x:v>
      </x:c>
      <x:c r="F336" s="320">
        <x:v>2500</x:v>
      </x:c>
      <x:c r="G336" s="320">
        <x:v>900</x:v>
      </x:c>
      <x:c r="H336" s="313" t="s">
        <x:v>61</x:v>
      </x:c>
      <x:c r="I336" s="313" t="s">
        <x:v>54</x:v>
      </x:c>
      <x:c r="J336" s="316" t="n">
        <x:f>IFERROR(G336/F336,0)</x:f>
        <x:v>0.36</x:v>
      </x:c>
      <x:c r="K336" s="312" t="str">
        <x:f>IF(B336="Bilinmeyen Personel","Kontrol","OK")</x:f>
        <x:v>OK</x:v>
      </x:c>
    </x:row>
    <x:row r="337" ht="15.75">
      <x:c r="A337" s="313" t="n">
        <x:f t="shared" si="5">ROW()-ROW($A$2)+1</x:f>
        <x:v>336</x:v>
      </x:c>
      <x:c r="B337" s="313" t="s">
        <x:v>50</x:v>
      </x:c>
      <x:c r="C337" s="313" t="s">
        <x:v>24</x:v>
      </x:c>
      <x:c r="D337" s="314">
        <x:v>1</x:v>
      </x:c>
      <x:c r="E337" s="320">
        <x:v>7600</x:v>
      </x:c>
      <x:c r="F337" s="320">
        <x:v>7600</x:v>
      </x:c>
      <x:c r="G337" s="320">
        <x:v>1600</x:v>
      </x:c>
      <x:c r="H337" s="313" t="s">
        <x:v>61</x:v>
      </x:c>
      <x:c r="I337" s="313" t="s">
        <x:v>42</x:v>
      </x:c>
      <x:c r="J337" s="316" t="n">
        <x:f>IFERROR(G337/F337,0)</x:f>
        <x:v>0.21052631578947367</x:v>
      </x:c>
      <x:c r="K337" s="312" t="str">
        <x:f>IF(B337="Bilinmeyen Personel","Kontrol","OK")</x:f>
        <x:v>OK</x:v>
      </x:c>
    </x:row>
    <x:row r="338" ht="15.75">
      <x:c r="A338" s="313" t="n">
        <x:f t="shared" si="5">ROW()-ROW($A$2)+1</x:f>
        <x:v>337</x:v>
      </x:c>
      <x:c r="B338" s="313" t="s">
        <x:v>9</x:v>
      </x:c>
      <x:c r="C338" s="313" t="s">
        <x:v>14</x:v>
      </x:c>
      <x:c r="D338" s="314">
        <x:v>2</x:v>
      </x:c>
      <x:c r="E338" s="320">
        <x:v>1400</x:v>
      </x:c>
      <x:c r="F338" s="320">
        <x:v>2800</x:v>
      </x:c>
      <x:c r="G338" s="320">
        <x:v>1200</x:v>
      </x:c>
      <x:c r="H338" s="313" t="s">
        <x:v>61</x:v>
      </x:c>
      <x:c r="I338" s="313" t="s">
        <x:v>28</x:v>
      </x:c>
      <x:c r="J338" s="316" t="n">
        <x:f>IFERROR(G338/F338,0)</x:f>
        <x:v>0.42857142857142855</x:v>
      </x:c>
      <x:c r="K338" s="312" t="str">
        <x:f>IF(B338="Bilinmeyen Personel","Kontrol","OK")</x:f>
        <x:v>OK</x:v>
      </x:c>
    </x:row>
    <x:row r="339" ht="15.75">
      <x:c r="A339" s="313" t="n">
        <x:f t="shared" si="5">ROW()-ROW($A$2)+1</x:f>
        <x:v>338</x:v>
      </x:c>
      <x:c r="B339" s="313" t="s">
        <x:v>23</x:v>
      </x:c>
      <x:c r="C339" s="313" t="s">
        <x:v>22</x:v>
      </x:c>
      <x:c r="D339" s="314">
        <x:v>2</x:v>
      </x:c>
      <x:c r="E339" s="320">
        <x:v>2180</x:v>
      </x:c>
      <x:c r="F339" s="320">
        <x:v>4360</x:v>
      </x:c>
      <x:c r="G339" s="320">
        <x:v>1360</x:v>
      </x:c>
      <x:c r="H339" s="313" t="s">
        <x:v>61</x:v>
      </x:c>
      <x:c r="I339" s="313" t="s">
        <x:v>37</x:v>
      </x:c>
      <x:c r="J339" s="316" t="n">
        <x:f>IFERROR(G339/F339,0)</x:f>
        <x:v>0.3119266055045872</x:v>
      </x:c>
      <x:c r="K339" s="312" t="str">
        <x:f>IF(B339="Bilinmeyen Personel","Kontrol","OK")</x:f>
        <x:v>OK</x:v>
      </x:c>
    </x:row>
    <x:row r="340" ht="15.75">
      <x:c r="A340" s="313" t="n">
        <x:f t="shared" si="5">ROW()-ROW($A$2)+1</x:f>
        <x:v>339</x:v>
      </x:c>
      <x:c r="B340" s="313" t="s">
        <x:v>9</x:v>
      </x:c>
      <x:c r="C340" s="313" t="s">
        <x:v>33</x:v>
      </x:c>
      <x:c r="D340" s="314">
        <x:v>3</x:v>
      </x:c>
      <x:c r="E340" s="320">
        <x:v>1800</x:v>
      </x:c>
      <x:c r="F340" s="320">
        <x:v>5400</x:v>
      </x:c>
      <x:c r="G340" s="320">
        <x:v>3000</x:v>
      </x:c>
      <x:c r="H340" s="313" t="s">
        <x:v>61</x:v>
      </x:c>
      <x:c r="I340" s="313" t="s">
        <x:v>31</x:v>
      </x:c>
      <x:c r="J340" s="316" t="n">
        <x:f>IFERROR(G340/F340,0)</x:f>
        <x:v>0.5555555555555556</x:v>
      </x:c>
      <x:c r="K340" s="312" t="str">
        <x:f>IF(B340="Bilinmeyen Personel","Kontrol","OK")</x:f>
        <x:v>OK</x:v>
      </x:c>
    </x:row>
    <x:row r="341" ht="15.75">
      <x:c r="A341" s="313" t="n">
        <x:f t="shared" si="5">ROW()-ROW($A$2)+1</x:f>
        <x:v>340</x:v>
      </x:c>
      <x:c r="B341" s="313" t="s">
        <x:v>16</x:v>
      </x:c>
      <x:c r="C341" s="313" t="s">
        <x:v>57</x:v>
      </x:c>
      <x:c r="D341" s="314">
        <x:v>1</x:v>
      </x:c>
      <x:c r="E341" s="320">
        <x:v>1500</x:v>
      </x:c>
      <x:c r="F341" s="320">
        <x:v>1500</x:v>
      </x:c>
      <x:c r="G341" s="320">
        <x:v>700</x:v>
      </x:c>
      <x:c r="H341" s="313" t="s">
        <x:v>61</x:v>
      </x:c>
      <x:c r="I341" s="313" t="s">
        <x:v>18</x:v>
      </x:c>
      <x:c r="J341" s="316" t="n">
        <x:f>IFERROR(G341/F341,0)</x:f>
        <x:v>0.4666666666666667</x:v>
      </x:c>
      <x:c r="K341" s="312" t="str">
        <x:f>IF(B341="Bilinmeyen Personel","Kontrol","OK")</x:f>
        <x:v>OK</x:v>
      </x:c>
    </x:row>
    <x:row r="342" ht="15.75">
      <x:c r="A342" s="313" t="n">
        <x:f t="shared" si="5">ROW()-ROW($A$2)+1</x:f>
        <x:v>341</x:v>
      </x:c>
      <x:c r="B342" s="313" t="s">
        <x:v>32</x:v>
      </x:c>
      <x:c r="C342" s="313" t="s">
        <x:v>17</x:v>
      </x:c>
      <x:c r="D342" s="314">
        <x:v>3</x:v>
      </x:c>
      <x:c r="E342" s="320">
        <x:v>8450</x:v>
      </x:c>
      <x:c r="F342" s="320">
        <x:v>25350</x:v>
      </x:c>
      <x:c r="G342" s="320">
        <x:v>7350</x:v>
      </x:c>
      <x:c r="H342" s="313" t="s">
        <x:v>61</x:v>
      </x:c>
      <x:c r="I342" s="313" t="s">
        <x:v>15</x:v>
      </x:c>
      <x:c r="J342" s="316" t="n">
        <x:f>IFERROR(G342/F342,0)</x:f>
        <x:v>0.28994082840236685</x:v>
      </x:c>
      <x:c r="K342" s="312" t="str">
        <x:f>IF(B342="Bilinmeyen Personel","Kontrol","OK")</x:f>
        <x:v>OK</x:v>
      </x:c>
    </x:row>
    <x:row r="343" ht="15.75">
      <x:c r="A343" s="313" t="n">
        <x:f t="shared" si="5">ROW()-ROW($A$2)+1</x:f>
        <x:v>342</x:v>
      </x:c>
      <x:c r="B343" s="313" t="s">
        <x:v>40</x:v>
      </x:c>
      <x:c r="C343" s="313" t="s">
        <x:v>57</x:v>
      </x:c>
      <x:c r="D343" s="314">
        <x:v>3</x:v>
      </x:c>
      <x:c r="E343" s="320">
        <x:v>1500</x:v>
      </x:c>
      <x:c r="F343" s="320">
        <x:v>4500</x:v>
      </x:c>
      <x:c r="G343" s="320">
        <x:v>2100</x:v>
      </x:c>
      <x:c r="H343" s="313" t="s">
        <x:v>61</x:v>
      </x:c>
      <x:c r="I343" s="313" t="s">
        <x:v>46</x:v>
      </x:c>
      <x:c r="J343" s="316" t="n">
        <x:f>IFERROR(G343/F343,0)</x:f>
        <x:v>0.4666666666666667</x:v>
      </x:c>
      <x:c r="K343" s="312" t="str">
        <x:f>IF(B343="Bilinmeyen Personel","Kontrol","OK")</x:f>
        <x:v>OK</x:v>
      </x:c>
    </x:row>
    <x:row r="344" ht="15.75">
      <x:c r="A344" s="313" t="n">
        <x:f t="shared" si="5">ROW()-ROW($A$2)+1</x:f>
        <x:v>343</x:v>
      </x:c>
      <x:c r="B344" s="313" t="s">
        <x:v>29</x:v>
      </x:c>
      <x:c r="C344" s="313" t="s">
        <x:v>10</x:v>
      </x:c>
      <x:c r="D344" s="314">
        <x:v>3</x:v>
      </x:c>
      <x:c r="E344" s="320">
        <x:v>6000</x:v>
      </x:c>
      <x:c r="F344" s="320">
        <x:v>18000</x:v>
      </x:c>
      <x:c r="G344" s="320">
        <x:v>6000</x:v>
      </x:c>
      <x:c r="H344" s="313" t="s">
        <x:v>61</x:v>
      </x:c>
      <x:c r="I344" s="313" t="s">
        <x:v>21</x:v>
      </x:c>
      <x:c r="J344" s="316" t="n">
        <x:f>IFERROR(G344/F344,0)</x:f>
        <x:v>0.3333333333333333</x:v>
      </x:c>
      <x:c r="K344" s="312" t="str">
        <x:f>IF(B344="Bilinmeyen Personel","Kontrol","OK")</x:f>
        <x:v>OK</x:v>
      </x:c>
    </x:row>
    <x:row r="345" ht="15.75">
      <x:c r="A345" s="313" t="n">
        <x:f t="shared" si="5">ROW()-ROW($A$2)+1</x:f>
        <x:v>344</x:v>
      </x:c>
      <x:c r="B345" s="313" t="s">
        <x:v>50</x:v>
      </x:c>
      <x:c r="C345" s="313" t="s">
        <x:v>53</x:v>
      </x:c>
      <x:c r="D345" s="314">
        <x:v>1</x:v>
      </x:c>
      <x:c r="E345" s="320">
        <x:v>1200</x:v>
      </x:c>
      <x:c r="F345" s="320">
        <x:v>1200</x:v>
      </x:c>
      <x:c r="G345" s="320">
        <x:v>400</x:v>
      </x:c>
      <x:c r="H345" s="313" t="s">
        <x:v>61</x:v>
      </x:c>
      <x:c r="I345" s="313" t="s">
        <x:v>54</x:v>
      </x:c>
      <x:c r="J345" s="316" t="n">
        <x:f>IFERROR(G345/F345,0)</x:f>
        <x:v>0.3333333333333333</x:v>
      </x:c>
      <x:c r="K345" s="312" t="str">
        <x:f>IF(B345="Bilinmeyen Personel","Kontrol","OK")</x:f>
        <x:v>OK</x:v>
      </x:c>
    </x:row>
    <x:row r="346" ht="15.75">
      <x:c r="A346" s="313" t="n">
        <x:f t="shared" si="5">ROW()-ROW($A$2)+1</x:f>
        <x:v>345</x:v>
      </x:c>
      <x:c r="B346" s="313" t="s">
        <x:v>9</x:v>
      </x:c>
      <x:c r="C346" s="313" t="s">
        <x:v>45</x:v>
      </x:c>
      <x:c r="D346" s="314">
        <x:v>3</x:v>
      </x:c>
      <x:c r="E346" s="320">
        <x:v>4200</x:v>
      </x:c>
      <x:c r="F346" s="320">
        <x:v>12600</x:v>
      </x:c>
      <x:c r="G346" s="320">
        <x:v>3600</x:v>
      </x:c>
      <x:c r="H346" s="313" t="s">
        <x:v>61</x:v>
      </x:c>
      <x:c r="I346" s="313" t="s">
        <x:v>28</x:v>
      </x:c>
      <x:c r="J346" s="316" t="n">
        <x:f>IFERROR(G346/F346,0)</x:f>
        <x:v>0.2857142857142857</x:v>
      </x:c>
      <x:c r="K346" s="312" t="str">
        <x:f>IF(B346="Bilinmeyen Personel","Kontrol","OK")</x:f>
        <x:v>OK</x:v>
      </x:c>
    </x:row>
    <x:row r="347" ht="15.75">
      <x:c r="A347" s="313" t="n">
        <x:f t="shared" si="5">ROW()-ROW($A$2)+1</x:f>
        <x:v>346</x:v>
      </x:c>
      <x:c r="B347" s="313" t="s">
        <x:v>48</x:v>
      </x:c>
      <x:c r="C347" s="313" t="s">
        <x:v>24</x:v>
      </x:c>
      <x:c r="D347" s="314">
        <x:v>3</x:v>
      </x:c>
      <x:c r="E347" s="320">
        <x:v>7600</x:v>
      </x:c>
      <x:c r="F347" s="320">
        <x:v>22800</x:v>
      </x:c>
      <x:c r="G347" s="320">
        <x:v>4800</x:v>
      </x:c>
      <x:c r="H347" s="313" t="s">
        <x:v>61</x:v>
      </x:c>
      <x:c r="I347" s="313" t="s">
        <x:v>41</x:v>
      </x:c>
      <x:c r="J347" s="316" t="n">
        <x:f>IFERROR(G347/F347,0)</x:f>
        <x:v>0.21052631578947367</x:v>
      </x:c>
      <x:c r="K347" s="312" t="str">
        <x:f>IF(B347="Bilinmeyen Personel","Kontrol","OK")</x:f>
        <x:v>OK</x:v>
      </x:c>
    </x:row>
    <x:row r="348" ht="15.75">
      <x:c r="A348" s="313" t="n">
        <x:f t="shared" si="5">ROW()-ROW($A$2)+1</x:f>
        <x:v>347</x:v>
      </x:c>
      <x:c r="B348" s="313" t="s">
        <x:v>29</x:v>
      </x:c>
      <x:c r="C348" s="313" t="s">
        <x:v>26</x:v>
      </x:c>
      <x:c r="D348" s="314">
        <x:v>2</x:v>
      </x:c>
      <x:c r="E348" s="320">
        <x:v>7250</x:v>
      </x:c>
      <x:c r="F348" s="320">
        <x:v>14500</x:v>
      </x:c>
      <x:c r="G348" s="320">
        <x:v>4500</x:v>
      </x:c>
      <x:c r="H348" s="313" t="s">
        <x:v>61</x:v>
      </x:c>
      <x:c r="I348" s="313" t="s">
        <x:v>15</x:v>
      </x:c>
      <x:c r="J348" s="316" t="n">
        <x:f>IFERROR(G348/F348,0)</x:f>
        <x:v>0.3103448275862069</x:v>
      </x:c>
      <x:c r="K348" s="312" t="str">
        <x:f>IF(B348="Bilinmeyen Personel","Kontrol","OK")</x:f>
        <x:v>OK</x:v>
      </x:c>
    </x:row>
    <x:row r="349" ht="15.75">
      <x:c r="A349" s="313" t="n">
        <x:f t="shared" si="5">ROW()-ROW($A$2)+1</x:f>
        <x:v>348</x:v>
      </x:c>
      <x:c r="B349" s="313" t="s">
        <x:v>13</x:v>
      </x:c>
      <x:c r="C349" s="313" t="s">
        <x:v>55</x:v>
      </x:c>
      <x:c r="D349" s="314">
        <x:v>2</x:v>
      </x:c>
      <x:c r="E349" s="320">
        <x:v>7530</x:v>
      </x:c>
      <x:c r="F349" s="320">
        <x:v>15060</x:v>
      </x:c>
      <x:c r="G349" s="320">
        <x:v>3060</x:v>
      </x:c>
      <x:c r="H349" s="313" t="s">
        <x:v>61</x:v>
      </x:c>
      <x:c r="I349" s="313" t="s">
        <x:v>37</x:v>
      </x:c>
      <x:c r="J349" s="316" t="n">
        <x:f>IFERROR(G349/F349,0)</x:f>
        <x:v>0.20318725099601595</x:v>
      </x:c>
      <x:c r="K349" s="312" t="str">
        <x:f>IF(B349="Bilinmeyen Personel","Kontrol","OK")</x:f>
        <x:v>OK</x:v>
      </x:c>
    </x:row>
    <x:row r="350" ht="15.75">
      <x:c r="A350" s="313" t="n">
        <x:f t="shared" si="5">ROW()-ROW($A$2)+1</x:f>
        <x:v>349</x:v>
      </x:c>
      <x:c r="B350" s="313" t="s">
        <x:v>16</x:v>
      </x:c>
      <x:c r="C350" s="313" t="s">
        <x:v>26</x:v>
      </x:c>
      <x:c r="D350" s="314">
        <x:v>2</x:v>
      </x:c>
      <x:c r="E350" s="320">
        <x:v>7250</x:v>
      </x:c>
      <x:c r="F350" s="320">
        <x:v>14500</x:v>
      </x:c>
      <x:c r="G350" s="320">
        <x:v>4500</x:v>
      </x:c>
      <x:c r="H350" s="313" t="s">
        <x:v>61</x:v>
      </x:c>
      <x:c r="I350" s="313" t="s">
        <x:v>41</x:v>
      </x:c>
      <x:c r="J350" s="316" t="n">
        <x:f>IFERROR(G350/F350,0)</x:f>
        <x:v>0.3103448275862069</x:v>
      </x:c>
      <x:c r="K350" s="312" t="str">
        <x:f>IF(B350="Bilinmeyen Personel","Kontrol","OK")</x:f>
        <x:v>OK</x:v>
      </x:c>
    </x:row>
    <x:row r="351" ht="15.75">
      <x:c r="A351" s="313" t="n">
        <x:f t="shared" si="5">ROW()-ROW($A$2)+1</x:f>
        <x:v>350</x:v>
      </x:c>
      <x:c r="B351" s="313" t="s">
        <x:v>13</x:v>
      </x:c>
      <x:c r="C351" s="313" t="s">
        <x:v>10</x:v>
      </x:c>
      <x:c r="D351" s="314">
        <x:v>1</x:v>
      </x:c>
      <x:c r="E351" s="320">
        <x:v>6000</x:v>
      </x:c>
      <x:c r="F351" s="320">
        <x:v>6000</x:v>
      </x:c>
      <x:c r="G351" s="320">
        <x:v>2000</x:v>
      </x:c>
      <x:c r="H351" s="313" t="s">
        <x:v>61</x:v>
      </x:c>
      <x:c r="I351" s="313" t="s">
        <x:v>31</x:v>
      </x:c>
      <x:c r="J351" s="316" t="n">
        <x:f>IFERROR(G351/F351,0)</x:f>
        <x:v>0.3333333333333333</x:v>
      </x:c>
      <x:c r="K351" s="312" t="str">
        <x:f>IF(B351="Bilinmeyen Personel","Kontrol","OK")</x:f>
        <x:v>OK</x:v>
      </x:c>
    </x:row>
    <x:row r="352" ht="15.75">
      <x:c r="A352" s="313" t="n">
        <x:f t="shared" si="5">ROW()-ROW($A$2)+1</x:f>
        <x:v>351</x:v>
      </x:c>
      <x:c r="B352" s="313" t="s">
        <x:v>29</x:v>
      </x:c>
      <x:c r="C352" s="313" t="s">
        <x:v>53</x:v>
      </x:c>
      <x:c r="D352" s="314">
        <x:v>3</x:v>
      </x:c>
      <x:c r="E352" s="320">
        <x:v>1200</x:v>
      </x:c>
      <x:c r="F352" s="320">
        <x:v>3600</x:v>
      </x:c>
      <x:c r="G352" s="320">
        <x:v>1200</x:v>
      </x:c>
      <x:c r="H352" s="313" t="s">
        <x:v>61</x:v>
      </x:c>
      <x:c r="I352" s="313" t="s">
        <x:v>54</x:v>
      </x:c>
      <x:c r="J352" s="316" t="n">
        <x:f>IFERROR(G352/F352,0)</x:f>
        <x:v>0.3333333333333333</x:v>
      </x:c>
      <x:c r="K352" s="312" t="str">
        <x:f>IF(B352="Bilinmeyen Personel","Kontrol","OK")</x:f>
        <x:v>OK</x:v>
      </x:c>
    </x:row>
    <x:row r="353" ht="15.75">
      <x:c r="A353" s="313" t="n">
        <x:f t="shared" si="5">ROW()-ROW($A$2)+1</x:f>
        <x:v>352</x:v>
      </x:c>
      <x:c r="B353" s="313" t="s">
        <x:v>50</x:v>
      </x:c>
      <x:c r="C353" s="313" t="s">
        <x:v>56</x:v>
      </x:c>
      <x:c r="D353" s="314">
        <x:v>2</x:v>
      </x:c>
      <x:c r="E353" s="320">
        <x:v>5300</x:v>
      </x:c>
      <x:c r="F353" s="320">
        <x:v>10600</x:v>
      </x:c>
      <x:c r="G353" s="320">
        <x:v>2600</x:v>
      </x:c>
      <x:c r="H353" s="313" t="s">
        <x:v>61</x:v>
      </x:c>
      <x:c r="I353" s="313" t="s">
        <x:v>31</x:v>
      </x:c>
      <x:c r="J353" s="316" t="n">
        <x:f>IFERROR(G353/F353,0)</x:f>
        <x:v>0.24528301886792453</x:v>
      </x:c>
      <x:c r="K353" s="312" t="str">
        <x:f>IF(B353="Bilinmeyen Personel","Kontrol","OK")</x:f>
        <x:v>OK</x:v>
      </x:c>
    </x:row>
    <x:row r="354" ht="15.75">
      <x:c r="A354" s="313" t="n">
        <x:f t="shared" si="5">ROW()-ROW($A$2)+1</x:f>
        <x:v>353</x:v>
      </x:c>
      <x:c r="B354" s="313" t="s">
        <x:v>38</x:v>
      </x:c>
      <x:c r="C354" s="313" t="s">
        <x:v>17</x:v>
      </x:c>
      <x:c r="D354" s="314">
        <x:v>2</x:v>
      </x:c>
      <x:c r="E354" s="320">
        <x:v>8450</x:v>
      </x:c>
      <x:c r="F354" s="320">
        <x:v>16900</x:v>
      </x:c>
      <x:c r="G354" s="320">
        <x:v>4900</x:v>
      </x:c>
      <x:c r="H354" s="313" t="s">
        <x:v>61</x:v>
      </x:c>
      <x:c r="I354" s="313" t="s">
        <x:v>18</x:v>
      </x:c>
      <x:c r="J354" s="316" t="n">
        <x:f>IFERROR(G354/F354,0)</x:f>
        <x:v>0.28994082840236685</x:v>
      </x:c>
      <x:c r="K354" s="312" t="str">
        <x:f>IF(B354="Bilinmeyen Personel","Kontrol","OK")</x:f>
        <x:v>OK</x:v>
      </x:c>
    </x:row>
    <x:row r="355" ht="15.75">
      <x:c r="A355" s="313" t="n">
        <x:f t="shared" si="5">ROW()-ROW($A$2)+1</x:f>
        <x:v>354</x:v>
      </x:c>
      <x:c r="B355" s="313" t="s">
        <x:v>23</x:v>
      </x:c>
      <x:c r="C355" s="313" t="s">
        <x:v>20</x:v>
      </x:c>
      <x:c r="D355" s="314">
        <x:v>1</x:v>
      </x:c>
      <x:c r="E355" s="320">
        <x:v>1350</x:v>
      </x:c>
      <x:c r="F355" s="320">
        <x:v>1350</x:v>
      </x:c>
      <x:c r="G355" s="320">
        <x:v>550</x:v>
      </x:c>
      <x:c r="H355" s="313" t="s">
        <x:v>61</x:v>
      </x:c>
      <x:c r="I355" s="313" t="s">
        <x:v>42</x:v>
      </x:c>
      <x:c r="J355" s="316" t="n">
        <x:f>IFERROR(G355/F355,0)</x:f>
        <x:v>0.4074074074074074</x:v>
      </x:c>
      <x:c r="K355" s="312" t="str">
        <x:f>IF(B355="Bilinmeyen Personel","Kontrol","OK")</x:f>
        <x:v>OK</x:v>
      </x:c>
    </x:row>
    <x:row r="356" ht="15.75">
      <x:c r="A356" s="313" t="n">
        <x:f t="shared" si="5">ROW()-ROW($A$2)+1</x:f>
        <x:v>355</x:v>
      </x:c>
      <x:c r="B356" s="313" t="s">
        <x:v>32</x:v>
      </x:c>
      <x:c r="C356" s="313" t="s">
        <x:v>34</x:v>
      </x:c>
      <x:c r="D356" s="314">
        <x:v>1</x:v>
      </x:c>
      <x:c r="E356" s="320">
        <x:v>1090</x:v>
      </x:c>
      <x:c r="F356" s="320">
        <x:v>1090</x:v>
      </x:c>
      <x:c r="G356" s="320">
        <x:v>290</x:v>
      </x:c>
      <x:c r="H356" s="313" t="s">
        <x:v>61</x:v>
      </x:c>
      <x:c r="I356" s="313" t="s">
        <x:v>28</x:v>
      </x:c>
      <x:c r="J356" s="316" t="n">
        <x:f>IFERROR(G356/F356,0)</x:f>
        <x:v>0.26605504587155965</x:v>
      </x:c>
      <x:c r="K356" s="312" t="str">
        <x:f>IF(B356="Bilinmeyen Personel","Kontrol","OK")</x:f>
        <x:v>OK</x:v>
      </x:c>
    </x:row>
    <x:row r="357" ht="15.75">
      <x:c r="A357" s="313" t="n">
        <x:f t="shared" si="5">ROW()-ROW($A$2)+1</x:f>
        <x:v>356</x:v>
      </x:c>
      <x:c r="B357" s="313" t="s">
        <x:v>23</x:v>
      </x:c>
      <x:c r="C357" s="313" t="s">
        <x:v>22</x:v>
      </x:c>
      <x:c r="D357" s="314">
        <x:v>1</x:v>
      </x:c>
      <x:c r="E357" s="320">
        <x:v>2180</x:v>
      </x:c>
      <x:c r="F357" s="320">
        <x:v>2180</x:v>
      </x:c>
      <x:c r="G357" s="320">
        <x:v>680</x:v>
      </x:c>
      <x:c r="H357" s="313" t="s">
        <x:v>61</x:v>
      </x:c>
      <x:c r="I357" s="313" t="s">
        <x:v>46</x:v>
      </x:c>
      <x:c r="J357" s="316" t="n">
        <x:f>IFERROR(G357/F357,0)</x:f>
        <x:v>0.3119266055045872</x:v>
      </x:c>
      <x:c r="K357" s="312" t="str">
        <x:f>IF(B357="Bilinmeyen Personel","Kontrol","OK")</x:f>
        <x:v>OK</x:v>
      </x:c>
    </x:row>
    <x:row r="358" ht="15.75">
      <x:c r="A358" s="313" t="n">
        <x:f t="shared" si="5">ROW()-ROW($A$2)+1</x:f>
        <x:v>357</x:v>
      </x:c>
      <x:c r="B358" s="313" t="s">
        <x:v>9</x:v>
      </x:c>
      <x:c r="C358" s="313" t="s">
        <x:v>10</x:v>
      </x:c>
      <x:c r="D358" s="314">
        <x:v>2</x:v>
      </x:c>
      <x:c r="E358" s="320">
        <x:v>6000</x:v>
      </x:c>
      <x:c r="F358" s="320">
        <x:v>12000</x:v>
      </x:c>
      <x:c r="G358" s="320">
        <x:v>4000</x:v>
      </x:c>
      <x:c r="H358" s="313" t="s">
        <x:v>61</x:v>
      </x:c>
      <x:c r="I358" s="313" t="s">
        <x:v>12</x:v>
      </x:c>
      <x:c r="J358" s="316" t="n">
        <x:f>IFERROR(G358/F358,0)</x:f>
        <x:v>0.3333333333333333</x:v>
      </x:c>
      <x:c r="K358" s="312" t="str">
        <x:f>IF(B358="Bilinmeyen Personel","Kontrol","OK")</x:f>
        <x:v>OK</x:v>
      </x:c>
    </x:row>
    <x:row r="359" ht="15.75">
      <x:c r="A359" s="313" t="n">
        <x:f t="shared" si="5">ROW()-ROW($A$2)+1</x:f>
        <x:v>358</x:v>
      </x:c>
      <x:c r="B359" s="313" t="s">
        <x:v>13</x:v>
      </x:c>
      <x:c r="C359" s="313" t="s">
        <x:v>14</x:v>
      </x:c>
      <x:c r="D359" s="314">
        <x:v>2</x:v>
      </x:c>
      <x:c r="E359" s="320">
        <x:v>1400</x:v>
      </x:c>
      <x:c r="F359" s="320">
        <x:v>2800</x:v>
      </x:c>
      <x:c r="G359" s="320">
        <x:v>1200</x:v>
      </x:c>
      <x:c r="H359" s="313" t="s">
        <x:v>61</x:v>
      </x:c>
      <x:c r="I359" s="313" t="s">
        <x:v>18</x:v>
      </x:c>
      <x:c r="J359" s="316" t="n">
        <x:f>IFERROR(G359/F359,0)</x:f>
        <x:v>0.42857142857142855</x:v>
      </x:c>
      <x:c r="K359" s="312" t="str">
        <x:f>IF(B359="Bilinmeyen Personel","Kontrol","OK")</x:f>
        <x:v>OK</x:v>
      </x:c>
    </x:row>
    <x:row r="360" ht="15.75">
      <x:c r="A360" s="313" t="n">
        <x:f t="shared" si="5">ROW()-ROW($A$2)+1</x:f>
        <x:v>359</x:v>
      </x:c>
      <x:c r="B360" s="313" t="s">
        <x:v>16</x:v>
      </x:c>
      <x:c r="C360" s="313" t="s">
        <x:v>17</x:v>
      </x:c>
      <x:c r="D360" s="314">
        <x:v>2</x:v>
      </x:c>
      <x:c r="E360" s="320">
        <x:v>8450</x:v>
      </x:c>
      <x:c r="F360" s="320">
        <x:v>16900</x:v>
      </x:c>
      <x:c r="G360" s="320">
        <x:v>4900</x:v>
      </x:c>
      <x:c r="H360" s="313" t="s">
        <x:v>61</x:v>
      </x:c>
      <x:c r="I360" s="313" t="s">
        <x:v>46</x:v>
      </x:c>
      <x:c r="J360" s="316" t="n">
        <x:f>IFERROR(G360/F360,0)</x:f>
        <x:v>0.28994082840236685</x:v>
      </x:c>
      <x:c r="K360" s="312" t="str">
        <x:f>IF(B360="Bilinmeyen Personel","Kontrol","OK")</x:f>
        <x:v>OK</x:v>
      </x:c>
    </x:row>
    <x:row r="361" ht="15.75">
      <x:c r="A361" s="313" t="n">
        <x:f t="shared" si="5">ROW()-ROW($A$2)+1</x:f>
        <x:v>360</x:v>
      </x:c>
      <x:c r="B361" s="313" t="s">
        <x:v>19</x:v>
      </x:c>
      <x:c r="C361" s="313" t="s">
        <x:v>20</x:v>
      </x:c>
      <x:c r="D361" s="314">
        <x:v>3</x:v>
      </x:c>
      <x:c r="E361" s="320">
        <x:v>1350</x:v>
      </x:c>
      <x:c r="F361" s="320">
        <x:v>4050</x:v>
      </x:c>
      <x:c r="G361" s="320">
        <x:v>1650</x:v>
      </x:c>
      <x:c r="H361" s="313" t="s">
        <x:v>61</x:v>
      </x:c>
      <x:c r="I361" s="313" t="s">
        <x:v>41</x:v>
      </x:c>
      <x:c r="J361" s="316" t="n">
        <x:f>IFERROR(G361/F361,0)</x:f>
        <x:v>0.4074074074074074</x:v>
      </x:c>
      <x:c r="K361" s="312" t="str">
        <x:f>IF(B361="Bilinmeyen Personel","Kontrol","OK")</x:f>
        <x:v>OK</x:v>
      </x:c>
    </x:row>
    <x:row r="362" ht="15.75">
      <x:c r="A362" s="313" t="n">
        <x:f t="shared" si="5">ROW()-ROW($A$2)+1</x:f>
        <x:v>361</x:v>
      </x:c>
      <x:c r="B362" s="313" t="s">
        <x:v>9</x:v>
      </x:c>
      <x:c r="C362" s="313" t="s">
        <x:v>22</x:v>
      </x:c>
      <x:c r="D362" s="314">
        <x:v>2</x:v>
      </x:c>
      <x:c r="E362" s="320">
        <x:v>2180</x:v>
      </x:c>
      <x:c r="F362" s="320">
        <x:v>4360</x:v>
      </x:c>
      <x:c r="G362" s="320">
        <x:v>1360</x:v>
      </x:c>
      <x:c r="H362" s="313" t="s">
        <x:v>61</x:v>
      </x:c>
      <x:c r="I362" s="313" t="s">
        <x:v>54</x:v>
      </x:c>
      <x:c r="J362" s="316" t="n">
        <x:f>IFERROR(G362/F362,0)</x:f>
        <x:v>0.3119266055045872</x:v>
      </x:c>
      <x:c r="K362" s="312" t="str">
        <x:f>IF(B362="Bilinmeyen Personel","Kontrol","OK")</x:f>
        <x:v>OK</x:v>
      </x:c>
    </x:row>
    <x:row r="363" ht="15.75">
      <x:c r="A363" s="313" t="n">
        <x:f t="shared" si="5">ROW()-ROW($A$2)+1</x:f>
        <x:v>362</x:v>
      </x:c>
      <x:c r="B363" s="313" t="s">
        <x:v>23</x:v>
      </x:c>
      <x:c r="C363" s="313" t="s">
        <x:v>24</x:v>
      </x:c>
      <x:c r="D363" s="314">
        <x:v>2</x:v>
      </x:c>
      <x:c r="E363" s="320">
        <x:v>7600</x:v>
      </x:c>
      <x:c r="F363" s="320">
        <x:v>15200</x:v>
      </x:c>
      <x:c r="G363" s="320">
        <x:v>3200</x:v>
      </x:c>
      <x:c r="H363" s="313" t="s">
        <x:v>61</x:v>
      </x:c>
      <x:c r="I363" s="313" t="s">
        <x:v>46</x:v>
      </x:c>
      <x:c r="J363" s="316" t="n">
        <x:f>IFERROR(G363/F363,0)</x:f>
        <x:v>0.21052631578947367</x:v>
      </x:c>
      <x:c r="K363" s="312" t="str">
        <x:f>IF(B363="Bilinmeyen Personel","Kontrol","OK")</x:f>
        <x:v>OK</x:v>
      </x:c>
    </x:row>
    <x:row r="364" ht="15.75">
      <x:c r="A364" s="313" t="n">
        <x:f t="shared" si="5">ROW()-ROW($A$2)+1</x:f>
        <x:v>363</x:v>
      </x:c>
      <x:c r="B364" s="313" t="s">
        <x:v>13</x:v>
      </x:c>
      <x:c r="C364" s="313" t="s">
        <x:v>26</x:v>
      </x:c>
      <x:c r="D364" s="314">
        <x:v>2</x:v>
      </x:c>
      <x:c r="E364" s="320">
        <x:v>7250</x:v>
      </x:c>
      <x:c r="F364" s="320">
        <x:v>14500</x:v>
      </x:c>
      <x:c r="G364" s="320">
        <x:v>4500</x:v>
      </x:c>
      <x:c r="H364" s="313" t="s">
        <x:v>61</x:v>
      </x:c>
      <x:c r="I364" s="313" t="s">
        <x:v>31</x:v>
      </x:c>
      <x:c r="J364" s="316" t="n">
        <x:f>IFERROR(G364/F364,0)</x:f>
        <x:v>0.3103448275862069</x:v>
      </x:c>
      <x:c r="K364" s="312" t="str">
        <x:f>IF(B364="Bilinmeyen Personel","Kontrol","OK")</x:f>
        <x:v>OK</x:v>
      </x:c>
    </x:row>
    <x:row r="365" ht="15.75">
      <x:c r="A365" s="313" t="n">
        <x:f t="shared" si="5">ROW()-ROW($A$2)+1</x:f>
        <x:v>364</x:v>
      </x:c>
      <x:c r="B365" s="313" t="s">
        <x:v>19</x:v>
      </x:c>
      <x:c r="C365" s="313" t="s">
        <x:v>27</x:v>
      </x:c>
      <x:c r="D365" s="314">
        <x:v>3</x:v>
      </x:c>
      <x:c r="E365" s="320">
        <x:v>1100</x:v>
      </x:c>
      <x:c r="F365" s="320">
        <x:v>3300</x:v>
      </x:c>
      <x:c r="G365" s="320">
        <x:v>900</x:v>
      </x:c>
      <x:c r="H365" s="313" t="s">
        <x:v>61</x:v>
      </x:c>
      <x:c r="I365" s="313" t="s">
        <x:v>15</x:v>
      </x:c>
      <x:c r="J365" s="316" t="n">
        <x:f>IFERROR(G365/F365,0)</x:f>
        <x:v>0.2727272727272727</x:v>
      </x:c>
      <x:c r="K365" s="312" t="str">
        <x:f>IF(B365="Bilinmeyen Personel","Kontrol","OK")</x:f>
        <x:v>OK</x:v>
      </x:c>
    </x:row>
    <x:row r="366" ht="15.75">
      <x:c r="A366" s="313" t="n">
        <x:f t="shared" si="5">ROW()-ROW($A$2)+1</x:f>
        <x:v>365</x:v>
      </x:c>
      <x:c r="B366" s="313" t="s">
        <x:v>29</x:v>
      </x:c>
      <x:c r="C366" s="313" t="s">
        <x:v>10</x:v>
      </x:c>
      <x:c r="D366" s="314">
        <x:v>2</x:v>
      </x:c>
      <x:c r="E366" s="320">
        <x:v>6000</x:v>
      </x:c>
      <x:c r="F366" s="320">
        <x:v>12000</x:v>
      </x:c>
      <x:c r="G366" s="320">
        <x:v>4000</x:v>
      </x:c>
      <x:c r="H366" s="313" t="s">
        <x:v>61</x:v>
      </x:c>
      <x:c r="I366" s="313" t="s">
        <x:v>12</x:v>
      </x:c>
      <x:c r="J366" s="316" t="n">
        <x:f>IFERROR(G366/F366,0)</x:f>
        <x:v>0.3333333333333333</x:v>
      </x:c>
      <x:c r="K366" s="312" t="str">
        <x:f>IF(B366="Bilinmeyen Personel","Kontrol","OK")</x:f>
        <x:v>OK</x:v>
      </x:c>
    </x:row>
    <x:row r="367" ht="15.75">
      <x:c r="A367" s="313" t="n">
        <x:f t="shared" si="5">ROW()-ROW($A$2)+1</x:f>
        <x:v>366</x:v>
      </x:c>
      <x:c r="B367" s="313" t="s">
        <x:v>9</x:v>
      </x:c>
      <x:c r="C367" s="313" t="s">
        <x:v>30</x:v>
      </x:c>
      <x:c r="D367" s="314">
        <x:v>1</x:v>
      </x:c>
      <x:c r="E367" s="320">
        <x:v>1200</x:v>
      </x:c>
      <x:c r="F367" s="320">
        <x:v>1200</x:v>
      </x:c>
      <x:c r="G367" s="320">
        <x:v>400</x:v>
      </x:c>
      <x:c r="H367" s="313" t="s">
        <x:v>61</x:v>
      </x:c>
      <x:c r="I367" s="313" t="s">
        <x:v>41</x:v>
      </x:c>
      <x:c r="J367" s="316" t="n">
        <x:f>IFERROR(G367/F367,0)</x:f>
        <x:v>0.3333333333333333</x:v>
      </x:c>
      <x:c r="K367" s="312" t="str">
        <x:f>IF(B367="Bilinmeyen Personel","Kontrol","OK")</x:f>
        <x:v>OK</x:v>
      </x:c>
    </x:row>
    <x:row r="368" ht="15.75">
      <x:c r="A368" s="313" t="n">
        <x:f t="shared" si="5">ROW()-ROW($A$2)+1</x:f>
        <x:v>367</x:v>
      </x:c>
      <x:c r="B368" s="313" t="s">
        <x:v>32</x:v>
      </x:c>
      <x:c r="C368" s="313" t="s">
        <x:v>33</x:v>
      </x:c>
      <x:c r="D368" s="314">
        <x:v>2</x:v>
      </x:c>
      <x:c r="E368" s="320">
        <x:v>1800</x:v>
      </x:c>
      <x:c r="F368" s="320">
        <x:v>3600</x:v>
      </x:c>
      <x:c r="G368" s="320">
        <x:v>2000</x:v>
      </x:c>
      <x:c r="H368" s="313" t="s">
        <x:v>61</x:v>
      </x:c>
      <x:c r="I368" s="313" t="s">
        <x:v>37</x:v>
      </x:c>
      <x:c r="J368" s="316" t="n">
        <x:f>IFERROR(G368/F368,0)</x:f>
        <x:v>0.5555555555555556</x:v>
      </x:c>
      <x:c r="K368" s="312" t="str">
        <x:f>IF(B368="Bilinmeyen Personel","Kontrol","OK")</x:f>
        <x:v>OK</x:v>
      </x:c>
    </x:row>
    <x:row r="369" ht="15.75">
      <x:c r="A369" s="313" t="n">
        <x:f t="shared" si="5">ROW()-ROW($A$2)+1</x:f>
        <x:v>368</x:v>
      </x:c>
      <x:c r="B369" s="313" t="s">
        <x:v>32</x:v>
      </x:c>
      <x:c r="C369" s="313" t="s">
        <x:v>34</x:v>
      </x:c>
      <x:c r="D369" s="314">
        <x:v>2</x:v>
      </x:c>
      <x:c r="E369" s="320">
        <x:v>1090</x:v>
      </x:c>
      <x:c r="F369" s="320">
        <x:v>2180</x:v>
      </x:c>
      <x:c r="G369" s="320">
        <x:v>580</x:v>
      </x:c>
      <x:c r="H369" s="313" t="s">
        <x:v>61</x:v>
      </x:c>
      <x:c r="I369" s="313" t="s">
        <x:v>44</x:v>
      </x:c>
      <x:c r="J369" s="316" t="n">
        <x:f>IFERROR(G369/F369,0)</x:f>
        <x:v>0.26605504587155965</x:v>
      </x:c>
      <x:c r="K369" s="312" t="str">
        <x:f>IF(B369="Bilinmeyen Personel","Kontrol","OK")</x:f>
        <x:v>OK</x:v>
      </x:c>
    </x:row>
    <x:row r="370" ht="15.75">
      <x:c r="A370" s="313" t="n">
        <x:f t="shared" si="5">ROW()-ROW($A$2)+1</x:f>
        <x:v>369</x:v>
      </x:c>
      <x:c r="B370" s="313" t="s">
        <x:v>29</x:v>
      </x:c>
      <x:c r="C370" s="313" t="s">
        <x:v>22</x:v>
      </x:c>
      <x:c r="D370" s="314">
        <x:v>3</x:v>
      </x:c>
      <x:c r="E370" s="320">
        <x:v>2180</x:v>
      </x:c>
      <x:c r="F370" s="320">
        <x:v>6540</x:v>
      </x:c>
      <x:c r="G370" s="320">
        <x:v>2040</x:v>
      </x:c>
      <x:c r="H370" s="313" t="s">
        <x:v>61</x:v>
      </x:c>
      <x:c r="I370" s="313" t="s">
        <x:v>12</x:v>
      </x:c>
      <x:c r="J370" s="316" t="n">
        <x:f>IFERROR(G370/F370,0)</x:f>
        <x:v>0.3119266055045872</x:v>
      </x:c>
      <x:c r="K370" s="312" t="str">
        <x:f>IF(B370="Bilinmeyen Personel","Kontrol","OK")</x:f>
        <x:v>OK</x:v>
      </x:c>
    </x:row>
    <x:row r="371" ht="15.75">
      <x:c r="A371" s="313" t="n">
        <x:f t="shared" si="5">ROW()-ROW($A$2)+1</x:f>
        <x:v>370</x:v>
      </x:c>
      <x:c r="B371" s="313" t="s">
        <x:v>35</x:v>
      </x:c>
      <x:c r="C371" s="313" t="s">
        <x:v>33</x:v>
      </x:c>
      <x:c r="D371" s="314">
        <x:v>3</x:v>
      </x:c>
      <x:c r="E371" s="320">
        <x:v>1800</x:v>
      </x:c>
      <x:c r="F371" s="320">
        <x:v>5400</x:v>
      </x:c>
      <x:c r="G371" s="320">
        <x:v>3000</x:v>
      </x:c>
      <x:c r="H371" s="313" t="s">
        <x:v>61</x:v>
      </x:c>
      <x:c r="I371" s="313" t="s">
        <x:v>28</x:v>
      </x:c>
      <x:c r="J371" s="316" t="n">
        <x:f>IFERROR(G371/F371,0)</x:f>
        <x:v>0.5555555555555556</x:v>
      </x:c>
      <x:c r="K371" s="312" t="str">
        <x:f>IF(B371="Bilinmeyen Personel","Kontrol","OK")</x:f>
        <x:v>OK</x:v>
      </x:c>
    </x:row>
    <x:row r="372" ht="15.75">
      <x:c r="A372" s="313" t="n">
        <x:f t="shared" si="5">ROW()-ROW($A$2)+1</x:f>
        <x:v>371</x:v>
      </x:c>
      <x:c r="B372" s="313" t="s">
        <x:v>23</x:v>
      </x:c>
      <x:c r="C372" s="313" t="s">
        <x:v>36</x:v>
      </x:c>
      <x:c r="D372" s="314">
        <x:v>3</x:v>
      </x:c>
      <x:c r="E372" s="320">
        <x:v>8000</x:v>
      </x:c>
      <x:c r="F372" s="320">
        <x:v>24000</x:v>
      </x:c>
      <x:c r="G372" s="320">
        <x:v>6000</x:v>
      </x:c>
      <x:c r="H372" s="313" t="s">
        <x:v>61</x:v>
      </x:c>
      <x:c r="I372" s="313" t="s">
        <x:v>42</x:v>
      </x:c>
      <x:c r="J372" s="316" t="n">
        <x:f>IFERROR(G372/F372,0)</x:f>
        <x:v>0.25</x:v>
      </x:c>
      <x:c r="K372" s="312" t="str">
        <x:f>IF(B372="Bilinmeyen Personel","Kontrol","OK")</x:f>
        <x:v>OK</x:v>
      </x:c>
    </x:row>
    <x:row r="373" ht="15.75">
      <x:c r="A373" s="313" t="n">
        <x:f t="shared" si="5">ROW()-ROW($A$2)+1</x:f>
        <x:v>372</x:v>
      </x:c>
      <x:c r="B373" s="313" t="s">
        <x:v>29</x:v>
      </x:c>
      <x:c r="C373" s="313" t="s">
        <x:v>14</x:v>
      </x:c>
      <x:c r="D373" s="314">
        <x:v>1</x:v>
      </x:c>
      <x:c r="E373" s="320">
        <x:v>1400</x:v>
      </x:c>
      <x:c r="F373" s="320">
        <x:v>1400</x:v>
      </x:c>
      <x:c r="G373" s="320">
        <x:v>600</x:v>
      </x:c>
      <x:c r="H373" s="313" t="s">
        <x:v>61</x:v>
      </x:c>
      <x:c r="I373" s="313" t="s">
        <x:v>28</x:v>
      </x:c>
      <x:c r="J373" s="316" t="n">
        <x:f>IFERROR(G373/F373,0)</x:f>
        <x:v>0.42857142857142855</x:v>
      </x:c>
      <x:c r="K373" s="312" t="str">
        <x:f>IF(B373="Bilinmeyen Personel","Kontrol","OK")</x:f>
        <x:v>OK</x:v>
      </x:c>
    </x:row>
    <x:row r="374" ht="15.75">
      <x:c r="A374" s="313" t="n">
        <x:f t="shared" si="5">ROW()-ROW($A$2)+1</x:f>
        <x:v>373</x:v>
      </x:c>
      <x:c r="B374" s="313" t="s">
        <x:v>38</x:v>
      </x:c>
      <x:c r="C374" s="313" t="s">
        <x:v>39</x:v>
      </x:c>
      <x:c r="D374" s="314">
        <x:v>1</x:v>
      </x:c>
      <x:c r="E374" s="320">
        <x:v>10590</x:v>
      </x:c>
      <x:c r="F374" s="320">
        <x:v>10590</x:v>
      </x:c>
      <x:c r="G374" s="320">
        <x:v>4590</x:v>
      </x:c>
      <x:c r="H374" s="313" t="s">
        <x:v>61</x:v>
      </x:c>
      <x:c r="I374" s="313" t="s">
        <x:v>37</x:v>
      </x:c>
      <x:c r="J374" s="316" t="n">
        <x:f>IFERROR(G374/F374,0)</x:f>
        <x:v>0.43342776203966005</x:v>
      </x:c>
      <x:c r="K374" s="312" t="str">
        <x:f>IF(B374="Bilinmeyen Personel","Kontrol","OK")</x:f>
        <x:v>OK</x:v>
      </x:c>
    </x:row>
    <x:row r="375" ht="15.75">
      <x:c r="A375" s="313" t="n">
        <x:f t="shared" si="5">ROW()-ROW($A$2)+1</x:f>
        <x:v>374</x:v>
      </x:c>
      <x:c r="B375" s="313" t="s">
        <x:v>40</x:v>
      </x:c>
      <x:c r="C375" s="313" t="s">
        <x:v>20</x:v>
      </x:c>
      <x:c r="D375" s="314">
        <x:v>2</x:v>
      </x:c>
      <x:c r="E375" s="320">
        <x:v>1350</x:v>
      </x:c>
      <x:c r="F375" s="320">
        <x:v>2700</x:v>
      </x:c>
      <x:c r="G375" s="320">
        <x:v>1100</x:v>
      </x:c>
      <x:c r="H375" s="313" t="s">
        <x:v>61</x:v>
      </x:c>
      <x:c r="I375" s="313" t="s">
        <x:v>12</x:v>
      </x:c>
      <x:c r="J375" s="316" t="n">
        <x:f>IFERROR(G375/F375,0)</x:f>
        <x:v>0.4074074074074074</x:v>
      </x:c>
      <x:c r="K375" s="312" t="str">
        <x:f>IF(B375="Bilinmeyen Personel","Kontrol","OK")</x:f>
        <x:v>OK</x:v>
      </x:c>
    </x:row>
    <x:row r="376" ht="15.75">
      <x:c r="A376" s="313" t="n">
        <x:f t="shared" si="5">ROW()-ROW($A$2)+1</x:f>
        <x:v>375</x:v>
      </x:c>
      <x:c r="B376" s="313" t="s">
        <x:v>32</x:v>
      </x:c>
      <x:c r="C376" s="313" t="s">
        <x:v>14</x:v>
      </x:c>
      <x:c r="D376" s="314">
        <x:v>2</x:v>
      </x:c>
      <x:c r="E376" s="320">
        <x:v>1400</x:v>
      </x:c>
      <x:c r="F376" s="320">
        <x:v>2800</x:v>
      </x:c>
      <x:c r="G376" s="320">
        <x:v>1200</x:v>
      </x:c>
      <x:c r="H376" s="313" t="s">
        <x:v>61</x:v>
      </x:c>
      <x:c r="I376" s="313" t="s">
        <x:v>37</x:v>
      </x:c>
      <x:c r="J376" s="316" t="n">
        <x:f>IFERROR(G376/F376,0)</x:f>
        <x:v>0.42857142857142855</x:v>
      </x:c>
      <x:c r="K376" s="312" t="str">
        <x:f>IF(B376="Bilinmeyen Personel","Kontrol","OK")</x:f>
        <x:v>OK</x:v>
      </x:c>
    </x:row>
    <x:row r="377" ht="15.75">
      <x:c r="A377" s="313" t="n">
        <x:f t="shared" si="5">ROW()-ROW($A$2)+1</x:f>
        <x:v>376</x:v>
      </x:c>
      <x:c r="B377" s="313" t="s">
        <x:v>19</x:v>
      </x:c>
      <x:c r="C377" s="313" t="s">
        <x:v>10</x:v>
      </x:c>
      <x:c r="D377" s="314">
        <x:v>1</x:v>
      </x:c>
      <x:c r="E377" s="320">
        <x:v>6000</x:v>
      </x:c>
      <x:c r="F377" s="320">
        <x:v>6000</x:v>
      </x:c>
      <x:c r="G377" s="320">
        <x:v>2000</x:v>
      </x:c>
      <x:c r="H377" s="313" t="s">
        <x:v>61</x:v>
      </x:c>
      <x:c r="I377" s="313" t="s">
        <x:v>37</x:v>
      </x:c>
      <x:c r="J377" s="316" t="n">
        <x:f>IFERROR(G377/F377,0)</x:f>
        <x:v>0.3333333333333333</x:v>
      </x:c>
      <x:c r="K377" s="312" t="str">
        <x:f>IF(B377="Bilinmeyen Personel","Kontrol","OK")</x:f>
        <x:v>OK</x:v>
      </x:c>
    </x:row>
    <x:row r="378" ht="15.75">
      <x:c r="A378" s="313" t="n">
        <x:f t="shared" si="5">ROW()-ROW($A$2)+1</x:f>
        <x:v>377</x:v>
      </x:c>
      <x:c r="B378" s="313" t="s">
        <x:v>38</x:v>
      </x:c>
      <x:c r="C378" s="313" t="s">
        <x:v>27</x:v>
      </x:c>
      <x:c r="D378" s="314">
        <x:v>2</x:v>
      </x:c>
      <x:c r="E378" s="320">
        <x:v>1100</x:v>
      </x:c>
      <x:c r="F378" s="320">
        <x:v>2200</x:v>
      </x:c>
      <x:c r="G378" s="320">
        <x:v>600</x:v>
      </x:c>
      <x:c r="H378" s="313" t="s">
        <x:v>61</x:v>
      </x:c>
      <x:c r="I378" s="313" t="s">
        <x:v>41</x:v>
      </x:c>
      <x:c r="J378" s="316" t="n">
        <x:f>IFERROR(G378/F378,0)</x:f>
        <x:v>0.2727272727272727</x:v>
      </x:c>
      <x:c r="K378" s="312" t="str">
        <x:f>IF(B378="Bilinmeyen Personel","Kontrol","OK")</x:f>
        <x:v>OK</x:v>
      </x:c>
    </x:row>
    <x:row r="379" ht="15.75">
      <x:c r="A379" s="313" t="n">
        <x:f t="shared" si="5">ROW()-ROW($A$2)+1</x:f>
        <x:v>378</x:v>
      </x:c>
      <x:c r="B379" s="313" t="s">
        <x:v>16</x:v>
      </x:c>
      <x:c r="C379" s="313" t="s">
        <x:v>10</x:v>
      </x:c>
      <x:c r="D379" s="314">
        <x:v>2</x:v>
      </x:c>
      <x:c r="E379" s="320">
        <x:v>6000</x:v>
      </x:c>
      <x:c r="F379" s="320">
        <x:v>12000</x:v>
      </x:c>
      <x:c r="G379" s="320">
        <x:v>4000</x:v>
      </x:c>
      <x:c r="H379" s="313" t="s">
        <x:v>61</x:v>
      </x:c>
      <x:c r="I379" s="313" t="s">
        <x:v>28</x:v>
      </x:c>
      <x:c r="J379" s="316" t="n">
        <x:f>IFERROR(G379/F379,0)</x:f>
        <x:v>0.3333333333333333</x:v>
      </x:c>
      <x:c r="K379" s="312" t="str">
        <x:f>IF(B379="Bilinmeyen Personel","Kontrol","OK")</x:f>
        <x:v>OK</x:v>
      </x:c>
    </x:row>
    <x:row r="380" ht="15.75">
      <x:c r="A380" s="313" t="n">
        <x:f t="shared" si="5">ROW()-ROW($A$2)+1</x:f>
        <x:v>379</x:v>
      </x:c>
      <x:c r="B380" s="313" t="s">
        <x:v>40</x:v>
      </x:c>
      <x:c r="C380" s="313" t="s">
        <x:v>43</x:v>
      </x:c>
      <x:c r="D380" s="314">
        <x:v>1</x:v>
      </x:c>
      <x:c r="E380" s="320">
        <x:v>1490</x:v>
      </x:c>
      <x:c r="F380" s="320">
        <x:v>1490</x:v>
      </x:c>
      <x:c r="G380" s="320">
        <x:v>690</x:v>
      </x:c>
      <x:c r="H380" s="313" t="s">
        <x:v>61</x:v>
      </x:c>
      <x:c r="I380" s="313" t="s">
        <x:v>12</x:v>
      </x:c>
      <x:c r="J380" s="316" t="n">
        <x:f>IFERROR(G380/F380,0)</x:f>
        <x:v>0.46308724832214765</x:v>
      </x:c>
      <x:c r="K380" s="312" t="str">
        <x:f>IF(B380="Bilinmeyen Personel","Kontrol","OK")</x:f>
        <x:v>OK</x:v>
      </x:c>
    </x:row>
    <x:row r="381" ht="15.75">
      <x:c r="A381" s="313" t="n">
        <x:f t="shared" si="5">ROW()-ROW($A$2)+1</x:f>
        <x:v>380</x:v>
      </x:c>
      <x:c r="B381" s="313" t="s">
        <x:v>38</x:v>
      </x:c>
      <x:c r="C381" s="313" t="s">
        <x:v>39</x:v>
      </x:c>
      <x:c r="D381" s="314">
        <x:v>2</x:v>
      </x:c>
      <x:c r="E381" s="320">
        <x:v>10590</x:v>
      </x:c>
      <x:c r="F381" s="320">
        <x:v>21180</x:v>
      </x:c>
      <x:c r="G381" s="320">
        <x:v>9180</x:v>
      </x:c>
      <x:c r="H381" s="313" t="s">
        <x:v>61</x:v>
      </x:c>
      <x:c r="I381" s="313" t="s">
        <x:v>37</x:v>
      </x:c>
      <x:c r="J381" s="316" t="n">
        <x:f>IFERROR(G381/F381,0)</x:f>
        <x:v>0.43342776203966005</x:v>
      </x:c>
      <x:c r="K381" s="312" t="str">
        <x:f>IF(B381="Bilinmeyen Personel","Kontrol","OK")</x:f>
        <x:v>OK</x:v>
      </x:c>
    </x:row>
    <x:row r="382" ht="15.75">
      <x:c r="A382" s="313" t="n">
        <x:f t="shared" si="5">ROW()-ROW($A$2)+1</x:f>
        <x:v>381</x:v>
      </x:c>
      <x:c r="B382" s="313" t="s">
        <x:v>16</x:v>
      </x:c>
      <x:c r="C382" s="313" t="s">
        <x:v>36</x:v>
      </x:c>
      <x:c r="D382" s="314">
        <x:v>3</x:v>
      </x:c>
      <x:c r="E382" s="320">
        <x:v>8000</x:v>
      </x:c>
      <x:c r="F382" s="320">
        <x:v>24000</x:v>
      </x:c>
      <x:c r="G382" s="320">
        <x:v>6000</x:v>
      </x:c>
      <x:c r="H382" s="313" t="s">
        <x:v>61</x:v>
      </x:c>
      <x:c r="I382" s="313" t="s">
        <x:v>44</x:v>
      </x:c>
      <x:c r="J382" s="316" t="n">
        <x:f>IFERROR(G382/F382,0)</x:f>
        <x:v>0.25</x:v>
      </x:c>
      <x:c r="K382" s="312" t="str">
        <x:f>IF(B382="Bilinmeyen Personel","Kontrol","OK")</x:f>
        <x:v>OK</x:v>
      </x:c>
    </x:row>
    <x:row r="383" ht="15.75">
      <x:c r="A383" s="313" t="n">
        <x:f t="shared" si="5">ROW()-ROW($A$2)+1</x:f>
        <x:v>382</x:v>
      </x:c>
      <x:c r="B383" s="313" t="s">
        <x:v>32</x:v>
      </x:c>
      <x:c r="C383" s="313" t="s">
        <x:v>27</x:v>
      </x:c>
      <x:c r="D383" s="314">
        <x:v>1</x:v>
      </x:c>
      <x:c r="E383" s="320">
        <x:v>1100</x:v>
      </x:c>
      <x:c r="F383" s="320">
        <x:v>1100</x:v>
      </x:c>
      <x:c r="G383" s="320">
        <x:v>300</x:v>
      </x:c>
      <x:c r="H383" s="313" t="s">
        <x:v>61</x:v>
      </x:c>
      <x:c r="I383" s="313" t="s">
        <x:v>44</x:v>
      </x:c>
      <x:c r="J383" s="316" t="n">
        <x:f>IFERROR(G383/F383,0)</x:f>
        <x:v>0.2727272727272727</x:v>
      </x:c>
      <x:c r="K383" s="312" t="str">
        <x:f>IF(B383="Bilinmeyen Personel","Kontrol","OK")</x:f>
        <x:v>OK</x:v>
      </x:c>
    </x:row>
    <x:row r="384" ht="15.75">
      <x:c r="A384" s="313" t="n">
        <x:f t="shared" si="5">ROW()-ROW($A$2)+1</x:f>
        <x:v>383</x:v>
      </x:c>
      <x:c r="B384" s="313" t="s">
        <x:v>40</x:v>
      </x:c>
      <x:c r="C384" s="313" t="s">
        <x:v>30</x:v>
      </x:c>
      <x:c r="D384" s="314">
        <x:v>1</x:v>
      </x:c>
      <x:c r="E384" s="320">
        <x:v>1200</x:v>
      </x:c>
      <x:c r="F384" s="320">
        <x:v>1200</x:v>
      </x:c>
      <x:c r="G384" s="320">
        <x:v>400</x:v>
      </x:c>
      <x:c r="H384" s="313" t="s">
        <x:v>61</x:v>
      </x:c>
      <x:c r="I384" s="313" t="s">
        <x:v>42</x:v>
      </x:c>
      <x:c r="J384" s="316" t="n">
        <x:f>IFERROR(G384/F384,0)</x:f>
        <x:v>0.3333333333333333</x:v>
      </x:c>
      <x:c r="K384" s="312" t="str">
        <x:f>IF(B384="Bilinmeyen Personel","Kontrol","OK")</x:f>
        <x:v>OK</x:v>
      </x:c>
    </x:row>
    <x:row r="385" ht="15.75">
      <x:c r="A385" s="313" t="n">
        <x:f t="shared" si="5">ROW()-ROW($A$2)+1</x:f>
        <x:v>384</x:v>
      </x:c>
      <x:c r="B385" s="313" t="s">
        <x:v>23</x:v>
      </x:c>
      <x:c r="C385" s="313" t="s">
        <x:v>45</x:v>
      </x:c>
      <x:c r="D385" s="314">
        <x:v>2</x:v>
      </x:c>
      <x:c r="E385" s="320">
        <x:v>4200</x:v>
      </x:c>
      <x:c r="F385" s="320">
        <x:v>8400</x:v>
      </x:c>
      <x:c r="G385" s="320">
        <x:v>2400</x:v>
      </x:c>
      <x:c r="H385" s="313" t="s">
        <x:v>61</x:v>
      </x:c>
      <x:c r="I385" s="313" t="s">
        <x:v>37</x:v>
      </x:c>
      <x:c r="J385" s="316" t="n">
        <x:f>IFERROR(G385/F385,0)</x:f>
        <x:v>0.2857142857142857</x:v>
      </x:c>
      <x:c r="K385" s="312" t="str">
        <x:f>IF(B385="Bilinmeyen Personel","Kontrol","OK")</x:f>
        <x:v>OK</x:v>
      </x:c>
    </x:row>
    <x:row r="386" ht="15.75">
      <x:c r="A386" s="313" t="n">
        <x:f t="shared" si="5">ROW()-ROW($A$2)+1</x:f>
        <x:v>385</x:v>
      </x:c>
      <x:c r="B386" s="313" t="s">
        <x:v>13</x:v>
      </x:c>
      <x:c r="C386" s="313" t="s">
        <x:v>47</x:v>
      </x:c>
      <x:c r="D386" s="314">
        <x:v>3</x:v>
      </x:c>
      <x:c r="E386" s="320">
        <x:v>5775</x:v>
      </x:c>
      <x:c r="F386" s="320">
        <x:v>17325</x:v>
      </x:c>
      <x:c r="G386" s="320">
        <x:v>5325</x:v>
      </x:c>
      <x:c r="H386" s="313" t="s">
        <x:v>61</x:v>
      </x:c>
      <x:c r="I386" s="313" t="s">
        <x:v>41</x:v>
      </x:c>
      <x:c r="J386" s="316" t="n">
        <x:f>IFERROR(G386/F386,0)</x:f>
        <x:v>0.30735930735930733</x:v>
      </x:c>
      <x:c r="K386" s="312" t="str">
        <x:f>IF(B386="Bilinmeyen Personel","Kontrol","OK")</x:f>
        <x:v>OK</x:v>
      </x:c>
    </x:row>
    <x:row r="387" ht="15.75">
      <x:c r="A387" s="313" t="n">
        <x:f t="shared" ref="A387:A450" si="6">ROW()-ROW($A$2)+1</x:f>
        <x:v>386</x:v>
      </x:c>
      <x:c r="B387" s="313" t="s">
        <x:v>48</x:v>
      </x:c>
      <x:c r="C387" s="313" t="s">
        <x:v>24</x:v>
      </x:c>
      <x:c r="D387" s="314">
        <x:v>3</x:v>
      </x:c>
      <x:c r="E387" s="320">
        <x:v>7600</x:v>
      </x:c>
      <x:c r="F387" s="320">
        <x:v>22800</x:v>
      </x:c>
      <x:c r="G387" s="320">
        <x:v>4800</x:v>
      </x:c>
      <x:c r="H387" s="313" t="s">
        <x:v>61</x:v>
      </x:c>
      <x:c r="I387" s="313" t="s">
        <x:v>41</x:v>
      </x:c>
      <x:c r="J387" s="316" t="n">
        <x:f>IFERROR(G387/F387,0)</x:f>
        <x:v>0.21052631578947367</x:v>
      </x:c>
      <x:c r="K387" s="312" t="str">
        <x:f>IF(B387="Bilinmeyen Personel","Kontrol","OK")</x:f>
        <x:v>OK</x:v>
      </x:c>
    </x:row>
    <x:row r="388" ht="15.75">
      <x:c r="A388" s="313" t="n">
        <x:f t="shared" si="6">ROW()-ROW($A$2)+1</x:f>
        <x:v>387</x:v>
      </x:c>
      <x:c r="B388" s="313" t="s">
        <x:v>13</x:v>
      </x:c>
      <x:c r="C388" s="313" t="s">
        <x:v>26</x:v>
      </x:c>
      <x:c r="D388" s="314">
        <x:v>3</x:v>
      </x:c>
      <x:c r="E388" s="320">
        <x:v>7250</x:v>
      </x:c>
      <x:c r="F388" s="320">
        <x:v>21750</x:v>
      </x:c>
      <x:c r="G388" s="320">
        <x:v>6750</x:v>
      </x:c>
      <x:c r="H388" s="313" t="s">
        <x:v>61</x:v>
      </x:c>
      <x:c r="I388" s="313" t="s">
        <x:v>44</x:v>
      </x:c>
      <x:c r="J388" s="316" t="n">
        <x:f>IFERROR(G388/F388,0)</x:f>
        <x:v>0.3103448275862069</x:v>
      </x:c>
      <x:c r="K388" s="312" t="str">
        <x:f>IF(B388="Bilinmeyen Personel","Kontrol","OK")</x:f>
        <x:v>OK</x:v>
      </x:c>
    </x:row>
    <x:row r="389" ht="15.75">
      <x:c r="A389" s="313" t="n">
        <x:f t="shared" si="6">ROW()-ROW($A$2)+1</x:f>
        <x:v>388</x:v>
      </x:c>
      <x:c r="B389" s="313" t="s">
        <x:v>9</x:v>
      </x:c>
      <x:c r="C389" s="313" t="s">
        <x:v>26</x:v>
      </x:c>
      <x:c r="D389" s="314">
        <x:v>3</x:v>
      </x:c>
      <x:c r="E389" s="320">
        <x:v>7250</x:v>
      </x:c>
      <x:c r="F389" s="320">
        <x:v>21750</x:v>
      </x:c>
      <x:c r="G389" s="320">
        <x:v>6750</x:v>
      </x:c>
      <x:c r="H389" s="313" t="s">
        <x:v>61</x:v>
      </x:c>
      <x:c r="I389" s="313" t="s">
        <x:v>15</x:v>
      </x:c>
      <x:c r="J389" s="316" t="n">
        <x:f>IFERROR(G389/F389,0)</x:f>
        <x:v>0.3103448275862069</x:v>
      </x:c>
      <x:c r="K389" s="312" t="str">
        <x:f>IF(B389="Bilinmeyen Personel","Kontrol","OK")</x:f>
        <x:v>OK</x:v>
      </x:c>
    </x:row>
    <x:row r="390" ht="15.75">
      <x:c r="A390" s="313" t="n">
        <x:f t="shared" si="6">ROW()-ROW($A$2)+1</x:f>
        <x:v>389</x:v>
      </x:c>
      <x:c r="B390" s="313" t="s">
        <x:v>38</x:v>
      </x:c>
      <x:c r="C390" s="313" t="s">
        <x:v>26</x:v>
      </x:c>
      <x:c r="D390" s="314">
        <x:v>3</x:v>
      </x:c>
      <x:c r="E390" s="320">
        <x:v>7250</x:v>
      </x:c>
      <x:c r="F390" s="320">
        <x:v>21750</x:v>
      </x:c>
      <x:c r="G390" s="320">
        <x:v>6750</x:v>
      </x:c>
      <x:c r="H390" s="313" t="s">
        <x:v>61</x:v>
      </x:c>
      <x:c r="I390" s="313" t="s">
        <x:v>28</x:v>
      </x:c>
      <x:c r="J390" s="316" t="n">
        <x:f>IFERROR(G390/F390,0)</x:f>
        <x:v>0.3103448275862069</x:v>
      </x:c>
      <x:c r="K390" s="312" t="str">
        <x:f>IF(B390="Bilinmeyen Personel","Kontrol","OK")</x:f>
        <x:v>OK</x:v>
      </x:c>
    </x:row>
    <x:row r="391" ht="15.75">
      <x:c r="A391" s="313" t="n">
        <x:f t="shared" si="6">ROW()-ROW($A$2)+1</x:f>
        <x:v>390</x:v>
      </x:c>
      <x:c r="B391" s="313" t="s">
        <x:v>29</x:v>
      </x:c>
      <x:c r="C391" s="313" t="s">
        <x:v>20</x:v>
      </x:c>
      <x:c r="D391" s="314">
        <x:v>1</x:v>
      </x:c>
      <x:c r="E391" s="320">
        <x:v>1350</x:v>
      </x:c>
      <x:c r="F391" s="320">
        <x:v>1350</x:v>
      </x:c>
      <x:c r="G391" s="320">
        <x:v>550</x:v>
      </x:c>
      <x:c r="H391" s="313" t="s">
        <x:v>61</x:v>
      </x:c>
      <x:c r="I391" s="313" t="s">
        <x:v>44</x:v>
      </x:c>
      <x:c r="J391" s="316" t="n">
        <x:f>IFERROR(G391/F391,0)</x:f>
        <x:v>0.4074074074074074</x:v>
      </x:c>
      <x:c r="K391" s="312" t="str">
        <x:f>IF(B391="Bilinmeyen Personel","Kontrol","OK")</x:f>
        <x:v>OK</x:v>
      </x:c>
    </x:row>
    <x:row r="392" ht="15.75">
      <x:c r="A392" s="313" t="n">
        <x:f t="shared" si="6">ROW()-ROW($A$2)+1</x:f>
        <x:v>391</x:v>
      </x:c>
      <x:c r="B392" s="313" t="s">
        <x:v>13</x:v>
      </x:c>
      <x:c r="C392" s="313" t="s">
        <x:v>26</x:v>
      </x:c>
      <x:c r="D392" s="314">
        <x:v>2</x:v>
      </x:c>
      <x:c r="E392" s="320">
        <x:v>7250</x:v>
      </x:c>
      <x:c r="F392" s="320">
        <x:v>14500</x:v>
      </x:c>
      <x:c r="G392" s="320">
        <x:v>4500</x:v>
      </x:c>
      <x:c r="H392" s="313" t="s">
        <x:v>61</x:v>
      </x:c>
      <x:c r="I392" s="313" t="s">
        <x:v>46</x:v>
      </x:c>
      <x:c r="J392" s="316" t="n">
        <x:f>IFERROR(G392/F392,0)</x:f>
        <x:v>0.3103448275862069</x:v>
      </x:c>
      <x:c r="K392" s="312" t="str">
        <x:f>IF(B392="Bilinmeyen Personel","Kontrol","OK")</x:f>
        <x:v>OK</x:v>
      </x:c>
    </x:row>
    <x:row r="393" ht="15.75">
      <x:c r="A393" s="313" t="n">
        <x:f t="shared" si="6">ROW()-ROW($A$2)+1</x:f>
        <x:v>392</x:v>
      </x:c>
      <x:c r="B393" s="313" t="s">
        <x:v>32</x:v>
      </x:c>
      <x:c r="C393" s="313" t="s">
        <x:v>24</x:v>
      </x:c>
      <x:c r="D393" s="314">
        <x:v>1</x:v>
      </x:c>
      <x:c r="E393" s="320">
        <x:v>7600</x:v>
      </x:c>
      <x:c r="F393" s="320">
        <x:v>7600</x:v>
      </x:c>
      <x:c r="G393" s="320">
        <x:v>1600</x:v>
      </x:c>
      <x:c r="H393" s="313" t="s">
        <x:v>61</x:v>
      </x:c>
      <x:c r="I393" s="313" t="s">
        <x:v>12</x:v>
      </x:c>
      <x:c r="J393" s="316" t="n">
        <x:f>IFERROR(G393/F393,0)</x:f>
        <x:v>0.21052631578947367</x:v>
      </x:c>
      <x:c r="K393" s="312" t="str">
        <x:f>IF(B393="Bilinmeyen Personel","Kontrol","OK")</x:f>
        <x:v>OK</x:v>
      </x:c>
    </x:row>
    <x:row r="394" ht="15.75">
      <x:c r="A394" s="313" t="n">
        <x:f t="shared" si="6">ROW()-ROW($A$2)+1</x:f>
        <x:v>393</x:v>
      </x:c>
      <x:c r="B394" s="313" t="s">
        <x:v>50</x:v>
      </x:c>
      <x:c r="C394" s="313" t="s">
        <x:v>24</x:v>
      </x:c>
      <x:c r="D394" s="314">
        <x:v>3</x:v>
      </x:c>
      <x:c r="E394" s="320">
        <x:v>7600</x:v>
      </x:c>
      <x:c r="F394" s="320">
        <x:v>22800</x:v>
      </x:c>
      <x:c r="G394" s="320">
        <x:v>4800</x:v>
      </x:c>
      <x:c r="H394" s="313" t="s">
        <x:v>61</x:v>
      </x:c>
      <x:c r="I394" s="313" t="s">
        <x:v>42</x:v>
      </x:c>
      <x:c r="J394" s="316" t="n">
        <x:f>IFERROR(G394/F394,0)</x:f>
        <x:v>0.21052631578947367</x:v>
      </x:c>
      <x:c r="K394" s="312" t="str">
        <x:f>IF(B394="Bilinmeyen Personel","Kontrol","OK")</x:f>
        <x:v>OK</x:v>
      </x:c>
    </x:row>
    <x:row r="395" ht="15.75">
      <x:c r="A395" s="313" t="n">
        <x:f t="shared" si="6">ROW()-ROW($A$2)+1</x:f>
        <x:v>394</x:v>
      </x:c>
      <x:c r="B395" s="313" t="s">
        <x:v>13</x:v>
      </x:c>
      <x:c r="C395" s="313" t="s">
        <x:v>43</x:v>
      </x:c>
      <x:c r="D395" s="314">
        <x:v>3</x:v>
      </x:c>
      <x:c r="E395" s="320">
        <x:v>1490</x:v>
      </x:c>
      <x:c r="F395" s="320">
        <x:v>4470</x:v>
      </x:c>
      <x:c r="G395" s="320">
        <x:v>2070</x:v>
      </x:c>
      <x:c r="H395" s="313" t="s">
        <x:v>61</x:v>
      </x:c>
      <x:c r="I395" s="313" t="s">
        <x:v>46</x:v>
      </x:c>
      <x:c r="J395" s="316" t="n">
        <x:f>IFERROR(G395/F395,0)</x:f>
        <x:v>0.46308724832214765</x:v>
      </x:c>
      <x:c r="K395" s="312" t="str">
        <x:f>IF(B395="Bilinmeyen Personel","Kontrol","OK")</x:f>
        <x:v>OK</x:v>
      </x:c>
    </x:row>
    <x:row r="396" ht="15.75">
      <x:c r="A396" s="313" t="n">
        <x:f t="shared" si="6">ROW()-ROW($A$2)+1</x:f>
        <x:v>395</x:v>
      </x:c>
      <x:c r="B396" s="313" t="s">
        <x:v>29</x:v>
      </x:c>
      <x:c r="C396" s="313" t="s">
        <x:v>51</x:v>
      </x:c>
      <x:c r="D396" s="314">
        <x:v>2</x:v>
      </x:c>
      <x:c r="E396" s="320">
        <x:v>2900</x:v>
      </x:c>
      <x:c r="F396" s="320">
        <x:v>5800</x:v>
      </x:c>
      <x:c r="G396" s="320">
        <x:v>1800</x:v>
      </x:c>
      <x:c r="H396" s="313" t="s">
        <x:v>61</x:v>
      </x:c>
      <x:c r="I396" s="313" t="s">
        <x:v>25</x:v>
      </x:c>
      <x:c r="J396" s="316" t="n">
        <x:f>IFERROR(G396/F396,0)</x:f>
        <x:v>0.3103448275862069</x:v>
      </x:c>
      <x:c r="K396" s="312" t="str">
        <x:f>IF(B396="Bilinmeyen Personel","Kontrol","OK")</x:f>
        <x:v>OK</x:v>
      </x:c>
    </x:row>
    <x:row r="397" ht="15.75">
      <x:c r="A397" s="313" t="n">
        <x:f t="shared" si="6">ROW()-ROW($A$2)+1</x:f>
        <x:v>396</x:v>
      </x:c>
      <x:c r="B397" s="313" t="s">
        <x:v>40</x:v>
      </x:c>
      <x:c r="C397" s="313" t="s">
        <x:v>43</x:v>
      </x:c>
      <x:c r="D397" s="314">
        <x:v>1</x:v>
      </x:c>
      <x:c r="E397" s="320">
        <x:v>1490</x:v>
      </x:c>
      <x:c r="F397" s="320">
        <x:v>1490</x:v>
      </x:c>
      <x:c r="G397" s="320">
        <x:v>690</x:v>
      </x:c>
      <x:c r="H397" s="313" t="s">
        <x:v>61</x:v>
      </x:c>
      <x:c r="I397" s="313" t="s">
        <x:v>12</x:v>
      </x:c>
      <x:c r="J397" s="316" t="n">
        <x:f>IFERROR(G397/F397,0)</x:f>
        <x:v>0.46308724832214765</x:v>
      </x:c>
      <x:c r="K397" s="312" t="str">
        <x:f>IF(B397="Bilinmeyen Personel","Kontrol","OK")</x:f>
        <x:v>OK</x:v>
      </x:c>
    </x:row>
    <x:row r="398" ht="15.75">
      <x:c r="A398" s="313" t="n">
        <x:f t="shared" si="6">ROW()-ROW($A$2)+1</x:f>
        <x:v>397</x:v>
      </x:c>
      <x:c r="B398" s="313" t="s">
        <x:v>40</x:v>
      </x:c>
      <x:c r="C398" s="313" t="s">
        <x:v>34</x:v>
      </x:c>
      <x:c r="D398" s="314">
        <x:v>2</x:v>
      </x:c>
      <x:c r="E398" s="320">
        <x:v>1090</x:v>
      </x:c>
      <x:c r="F398" s="320">
        <x:v>2180</x:v>
      </x:c>
      <x:c r="G398" s="320">
        <x:v>580</x:v>
      </x:c>
      <x:c r="H398" s="313" t="s">
        <x:v>61</x:v>
      </x:c>
      <x:c r="I398" s="313" t="s">
        <x:v>37</x:v>
      </x:c>
      <x:c r="J398" s="316" t="n">
        <x:f>IFERROR(G398/F398,0)</x:f>
        <x:v>0.26605504587155965</x:v>
      </x:c>
      <x:c r="K398" s="312" t="str">
        <x:f>IF(B398="Bilinmeyen Personel","Kontrol","OK")</x:f>
        <x:v>OK</x:v>
      </x:c>
    </x:row>
    <x:row r="399" ht="15.75">
      <x:c r="A399" s="313" t="n">
        <x:f t="shared" si="6">ROW()-ROW($A$2)+1</x:f>
        <x:v>398</x:v>
      </x:c>
      <x:c r="B399" s="313" t="s">
        <x:v>29</x:v>
      </x:c>
      <x:c r="C399" s="313" t="s">
        <x:v>30</x:v>
      </x:c>
      <x:c r="D399" s="314">
        <x:v>2</x:v>
      </x:c>
      <x:c r="E399" s="320">
        <x:v>1200</x:v>
      </x:c>
      <x:c r="F399" s="320">
        <x:v>2400</x:v>
      </x:c>
      <x:c r="G399" s="320">
        <x:v>800</x:v>
      </x:c>
      <x:c r="H399" s="313" t="s">
        <x:v>61</x:v>
      </x:c>
      <x:c r="I399" s="313" t="s">
        <x:v>37</x:v>
      </x:c>
      <x:c r="J399" s="316" t="n">
        <x:f>IFERROR(G399/F399,0)</x:f>
        <x:v>0.3333333333333333</x:v>
      </x:c>
      <x:c r="K399" s="312" t="str">
        <x:f>IF(B399="Bilinmeyen Personel","Kontrol","OK")</x:f>
        <x:v>OK</x:v>
      </x:c>
    </x:row>
    <x:row r="400" ht="15.75">
      <x:c r="A400" s="313" t="n">
        <x:f t="shared" si="6">ROW()-ROW($A$2)+1</x:f>
        <x:v>399</x:v>
      </x:c>
      <x:c r="B400" s="313" t="s">
        <x:v>38</x:v>
      </x:c>
      <x:c r="C400" s="313" t="s">
        <x:v>39</x:v>
      </x:c>
      <x:c r="D400" s="314">
        <x:v>2</x:v>
      </x:c>
      <x:c r="E400" s="320">
        <x:v>10590</x:v>
      </x:c>
      <x:c r="F400" s="320">
        <x:v>21180</x:v>
      </x:c>
      <x:c r="G400" s="320">
        <x:v>9180</x:v>
      </x:c>
      <x:c r="H400" s="313" t="s">
        <x:v>61</x:v>
      </x:c>
      <x:c r="I400" s="313" t="s">
        <x:v>37</x:v>
      </x:c>
      <x:c r="J400" s="316" t="n">
        <x:f>IFERROR(G400/F400,0)</x:f>
        <x:v>0.43342776203966005</x:v>
      </x:c>
      <x:c r="K400" s="312" t="str">
        <x:f>IF(B400="Bilinmeyen Personel","Kontrol","OK")</x:f>
        <x:v>OK</x:v>
      </x:c>
    </x:row>
    <x:row r="401" ht="15.75">
      <x:c r="A401" s="313" t="n">
        <x:f t="shared" si="6">ROW()-ROW($A$2)+1</x:f>
        <x:v>400</x:v>
      </x:c>
      <x:c r="B401" s="313" t="s">
        <x:v>32</x:v>
      </x:c>
      <x:c r="C401" s="313" t="s">
        <x:v>45</x:v>
      </x:c>
      <x:c r="D401" s="314">
        <x:v>3</x:v>
      </x:c>
      <x:c r="E401" s="320">
        <x:v>4200</x:v>
      </x:c>
      <x:c r="F401" s="320">
        <x:v>12600</x:v>
      </x:c>
      <x:c r="G401" s="320">
        <x:v>3600</x:v>
      </x:c>
      <x:c r="H401" s="313" t="s">
        <x:v>61</x:v>
      </x:c>
      <x:c r="I401" s="313" t="s">
        <x:v>31</x:v>
      </x:c>
      <x:c r="J401" s="316" t="n">
        <x:f>IFERROR(G401/F401,0)</x:f>
        <x:v>0.2857142857142857</x:v>
      </x:c>
      <x:c r="K401" s="312" t="str">
        <x:f>IF(B401="Bilinmeyen Personel","Kontrol","OK")</x:f>
        <x:v>OK</x:v>
      </x:c>
    </x:row>
    <x:row r="402" ht="15.75">
      <x:c r="A402" s="313" t="n">
        <x:f t="shared" si="6">ROW()-ROW($A$2)+1</x:f>
        <x:v>401</x:v>
      </x:c>
      <x:c r="B402" s="313" t="s">
        <x:v>19</x:v>
      </x:c>
      <x:c r="C402" s="313" t="s">
        <x:v>45</x:v>
      </x:c>
      <x:c r="D402" s="314">
        <x:v>3</x:v>
      </x:c>
      <x:c r="E402" s="320">
        <x:v>4200</x:v>
      </x:c>
      <x:c r="F402" s="320">
        <x:v>12600</x:v>
      </x:c>
      <x:c r="G402" s="320">
        <x:v>3600</x:v>
      </x:c>
      <x:c r="H402" s="313" t="s">
        <x:v>61</x:v>
      </x:c>
      <x:c r="I402" s="313" t="s">
        <x:v>42</x:v>
      </x:c>
      <x:c r="J402" s="316" t="n">
        <x:f>IFERROR(G402/F402,0)</x:f>
        <x:v>0.2857142857142857</x:v>
      </x:c>
      <x:c r="K402" s="312" t="str">
        <x:f>IF(B402="Bilinmeyen Personel","Kontrol","OK")</x:f>
        <x:v>OK</x:v>
      </x:c>
    </x:row>
    <x:row r="403" ht="15.75">
      <x:c r="A403" s="313" t="n">
        <x:f t="shared" si="6">ROW()-ROW($A$2)+1</x:f>
        <x:v>402</x:v>
      </x:c>
      <x:c r="B403" s="313" t="s">
        <x:v>35</x:v>
      </x:c>
      <x:c r="C403" s="313" t="s">
        <x:v>39</x:v>
      </x:c>
      <x:c r="D403" s="314">
        <x:v>2</x:v>
      </x:c>
      <x:c r="E403" s="320">
        <x:v>10590</x:v>
      </x:c>
      <x:c r="F403" s="320">
        <x:v>21180</x:v>
      </x:c>
      <x:c r="G403" s="320">
        <x:v>9180</x:v>
      </x:c>
      <x:c r="H403" s="313" t="s">
        <x:v>61</x:v>
      </x:c>
      <x:c r="I403" s="313" t="s">
        <x:v>46</x:v>
      </x:c>
      <x:c r="J403" s="316" t="n">
        <x:f>IFERROR(G403/F403,0)</x:f>
        <x:v>0.43342776203966005</x:v>
      </x:c>
      <x:c r="K403" s="312" t="str">
        <x:f>IF(B403="Bilinmeyen Personel","Kontrol","OK")</x:f>
        <x:v>OK</x:v>
      </x:c>
    </x:row>
    <x:row r="404" ht="15.75">
      <x:c r="A404" s="313" t="n">
        <x:f t="shared" si="6">ROW()-ROW($A$2)+1</x:f>
        <x:v>403</x:v>
      </x:c>
      <x:c r="B404" s="313" t="s">
        <x:v>50</x:v>
      </x:c>
      <x:c r="C404" s="313" t="s">
        <x:v>52</x:v>
      </x:c>
      <x:c r="D404" s="314">
        <x:v>1</x:v>
      </x:c>
      <x:c r="E404" s="320">
        <x:v>1250</x:v>
      </x:c>
      <x:c r="F404" s="320">
        <x:v>1250</x:v>
      </x:c>
      <x:c r="G404" s="320">
        <x:v>450</x:v>
      </x:c>
      <x:c r="H404" s="313" t="s">
        <x:v>61</x:v>
      </x:c>
      <x:c r="I404" s="313" t="s">
        <x:v>25</x:v>
      </x:c>
      <x:c r="J404" s="316" t="n">
        <x:f>IFERROR(G404/F404,0)</x:f>
        <x:v>0.36</x:v>
      </x:c>
      <x:c r="K404" s="312" t="str">
        <x:f>IF(B404="Bilinmeyen Personel","Kontrol","OK")</x:f>
        <x:v>OK</x:v>
      </x:c>
    </x:row>
    <x:row r="405" ht="15.75">
      <x:c r="A405" s="313" t="n">
        <x:f t="shared" si="6">ROW()-ROW($A$2)+1</x:f>
        <x:v>404</x:v>
      </x:c>
      <x:c r="B405" s="313" t="s">
        <x:v>9</x:v>
      </x:c>
      <x:c r="C405" s="313" t="s">
        <x:v>43</x:v>
      </x:c>
      <x:c r="D405" s="314">
        <x:v>3</x:v>
      </x:c>
      <x:c r="E405" s="320">
        <x:v>1490</x:v>
      </x:c>
      <x:c r="F405" s="320">
        <x:v>4470</x:v>
      </x:c>
      <x:c r="G405" s="320">
        <x:v>2070</x:v>
      </x:c>
      <x:c r="H405" s="313" t="s">
        <x:v>61</x:v>
      </x:c>
      <x:c r="I405" s="313" t="s">
        <x:v>41</x:v>
      </x:c>
      <x:c r="J405" s="316" t="n">
        <x:f>IFERROR(G405/F405,0)</x:f>
        <x:v>0.46308724832214765</x:v>
      </x:c>
      <x:c r="K405" s="312" t="str">
        <x:f>IF(B405="Bilinmeyen Personel","Kontrol","OK")</x:f>
        <x:v>OK</x:v>
      </x:c>
    </x:row>
    <x:row r="406" ht="15.75">
      <x:c r="A406" s="313" t="n">
        <x:f t="shared" si="6">ROW()-ROW($A$2)+1</x:f>
        <x:v>405</x:v>
      </x:c>
      <x:c r="B406" s="313" t="s">
        <x:v>32</x:v>
      </x:c>
      <x:c r="C406" s="313" t="s">
        <x:v>30</x:v>
      </x:c>
      <x:c r="D406" s="314">
        <x:v>2</x:v>
      </x:c>
      <x:c r="E406" s="320">
        <x:v>1200</x:v>
      </x:c>
      <x:c r="F406" s="320">
        <x:v>2400</x:v>
      </x:c>
      <x:c r="G406" s="320">
        <x:v>800</x:v>
      </x:c>
      <x:c r="H406" s="313" t="s">
        <x:v>61</x:v>
      </x:c>
      <x:c r="I406" s="313" t="s">
        <x:v>12</x:v>
      </x:c>
      <x:c r="J406" s="316" t="n">
        <x:f>IFERROR(G406/F406,0)</x:f>
        <x:v>0.3333333333333333</x:v>
      </x:c>
      <x:c r="K406" s="312" t="str">
        <x:f>IF(B406="Bilinmeyen Personel","Kontrol","OK")</x:f>
        <x:v>OK</x:v>
      </x:c>
    </x:row>
    <x:row r="407" ht="15.75">
      <x:c r="A407" s="313" t="n">
        <x:f t="shared" si="6">ROW()-ROW($A$2)+1</x:f>
        <x:v>406</x:v>
      </x:c>
      <x:c r="B407" s="313" t="s">
        <x:v>16</x:v>
      </x:c>
      <x:c r="C407" s="313" t="s">
        <x:v>22</x:v>
      </x:c>
      <x:c r="D407" s="314">
        <x:v>3</x:v>
      </x:c>
      <x:c r="E407" s="320">
        <x:v>2180</x:v>
      </x:c>
      <x:c r="F407" s="320">
        <x:v>6540</x:v>
      </x:c>
      <x:c r="G407" s="320">
        <x:v>2040</x:v>
      </x:c>
      <x:c r="H407" s="313" t="s">
        <x:v>61</x:v>
      </x:c>
      <x:c r="I407" s="313" t="s">
        <x:v>44</x:v>
      </x:c>
      <x:c r="J407" s="316" t="n">
        <x:f>IFERROR(G407/F407,0)</x:f>
        <x:v>0.3119266055045872</x:v>
      </x:c>
      <x:c r="K407" s="312" t="str">
        <x:f>IF(B407="Bilinmeyen Personel","Kontrol","OK")</x:f>
        <x:v>OK</x:v>
      </x:c>
    </x:row>
    <x:row r="408" ht="15.75">
      <x:c r="A408" s="313" t="n">
        <x:f t="shared" si="6">ROW()-ROW($A$2)+1</x:f>
        <x:v>407</x:v>
      </x:c>
      <x:c r="B408" s="313" t="s">
        <x:v>40</x:v>
      </x:c>
      <x:c r="C408" s="313" t="s">
        <x:v>53</x:v>
      </x:c>
      <x:c r="D408" s="314">
        <x:v>3</x:v>
      </x:c>
      <x:c r="E408" s="320">
        <x:v>1200</x:v>
      </x:c>
      <x:c r="F408" s="320">
        <x:v>3600</x:v>
      </x:c>
      <x:c r="G408" s="320">
        <x:v>1200</x:v>
      </x:c>
      <x:c r="H408" s="313" t="s">
        <x:v>61</x:v>
      </x:c>
      <x:c r="I408" s="313" t="s">
        <x:v>44</x:v>
      </x:c>
      <x:c r="J408" s="316" t="n">
        <x:f>IFERROR(G408/F408,0)</x:f>
        <x:v>0.3333333333333333</x:v>
      </x:c>
      <x:c r="K408" s="312" t="str">
        <x:f>IF(B408="Bilinmeyen Personel","Kontrol","OK")</x:f>
        <x:v>OK</x:v>
      </x:c>
    </x:row>
    <x:row r="409" ht="15.75">
      <x:c r="A409" s="313" t="n">
        <x:f t="shared" si="6">ROW()-ROW($A$2)+1</x:f>
        <x:v>408</x:v>
      </x:c>
      <x:c r="B409" s="313" t="s">
        <x:v>9</x:v>
      </x:c>
      <x:c r="C409" s="313" t="s">
        <x:v>33</x:v>
      </x:c>
      <x:c r="D409" s="314">
        <x:v>1</x:v>
      </x:c>
      <x:c r="E409" s="320">
        <x:v>1800</x:v>
      </x:c>
      <x:c r="F409" s="320">
        <x:v>1800</x:v>
      </x:c>
      <x:c r="G409" s="320">
        <x:v>1000</x:v>
      </x:c>
      <x:c r="H409" s="313" t="s">
        <x:v>61</x:v>
      </x:c>
      <x:c r="I409" s="313" t="s">
        <x:v>31</x:v>
      </x:c>
      <x:c r="J409" s="316" t="n">
        <x:f>IFERROR(G409/F409,0)</x:f>
        <x:v>0.5555555555555556</x:v>
      </x:c>
      <x:c r="K409" s="312" t="str">
        <x:f>IF(B409="Bilinmeyen Personel","Kontrol","OK")</x:f>
        <x:v>OK</x:v>
      </x:c>
    </x:row>
    <x:row r="410" ht="15.75">
      <x:c r="A410" s="313" t="n">
        <x:f t="shared" si="6">ROW()-ROW($A$2)+1</x:f>
        <x:v>409</x:v>
      </x:c>
      <x:c r="B410" s="313" t="s">
        <x:v>16</x:v>
      </x:c>
      <x:c r="C410" s="313" t="s">
        <x:v>24</x:v>
      </x:c>
      <x:c r="D410" s="314">
        <x:v>1</x:v>
      </x:c>
      <x:c r="E410" s="320">
        <x:v>7600</x:v>
      </x:c>
      <x:c r="F410" s="320">
        <x:v>7600</x:v>
      </x:c>
      <x:c r="G410" s="320">
        <x:v>1600</x:v>
      </x:c>
      <x:c r="H410" s="313" t="s">
        <x:v>61</x:v>
      </x:c>
      <x:c r="I410" s="313" t="s">
        <x:v>12</x:v>
      </x:c>
      <x:c r="J410" s="316" t="n">
        <x:f>IFERROR(G410/F410,0)</x:f>
        <x:v>0.21052631578947367</x:v>
      </x:c>
      <x:c r="K410" s="312" t="str">
        <x:f>IF(B410="Bilinmeyen Personel","Kontrol","OK")</x:f>
        <x:v>OK</x:v>
      </x:c>
    </x:row>
    <x:row r="411" ht="15.75">
      <x:c r="A411" s="313" t="n">
        <x:f t="shared" si="6">ROW()-ROW($A$2)+1</x:f>
        <x:v>410</x:v>
      </x:c>
      <x:c r="B411" s="313" t="s">
        <x:v>35</x:v>
      </x:c>
      <x:c r="C411" s="313" t="s">
        <x:v>55</x:v>
      </x:c>
      <x:c r="D411" s="314">
        <x:v>1</x:v>
      </x:c>
      <x:c r="E411" s="320">
        <x:v>7530</x:v>
      </x:c>
      <x:c r="F411" s="320">
        <x:v>7530</x:v>
      </x:c>
      <x:c r="G411" s="320">
        <x:v>1530</x:v>
      </x:c>
      <x:c r="H411" s="313" t="s">
        <x:v>61</x:v>
      </x:c>
      <x:c r="I411" s="313" t="s">
        <x:v>28</x:v>
      </x:c>
      <x:c r="J411" s="316" t="n">
        <x:f>IFERROR(G411/F411,0)</x:f>
        <x:v>0.20318725099601595</x:v>
      </x:c>
      <x:c r="K411" s="312" t="str">
        <x:f>IF(B411="Bilinmeyen Personel","Kontrol","OK")</x:f>
        <x:v>OK</x:v>
      </x:c>
    </x:row>
    <x:row r="412" ht="15.75">
      <x:c r="A412" s="313" t="n">
        <x:f t="shared" si="6">ROW()-ROW($A$2)+1</x:f>
        <x:v>411</x:v>
      </x:c>
      <x:c r="B412" s="313" t="s">
        <x:v>50</x:v>
      </x:c>
      <x:c r="C412" s="313" t="s">
        <x:v>43</x:v>
      </x:c>
      <x:c r="D412" s="314">
        <x:v>2</x:v>
      </x:c>
      <x:c r="E412" s="320">
        <x:v>1490</x:v>
      </x:c>
      <x:c r="F412" s="320">
        <x:v>2980</x:v>
      </x:c>
      <x:c r="G412" s="320">
        <x:v>1380</x:v>
      </x:c>
      <x:c r="H412" s="313" t="s">
        <x:v>61</x:v>
      </x:c>
      <x:c r="I412" s="313" t="s">
        <x:v>46</x:v>
      </x:c>
      <x:c r="J412" s="316" t="n">
        <x:f>IFERROR(G412/F412,0)</x:f>
        <x:v>0.46308724832214765</x:v>
      </x:c>
      <x:c r="K412" s="312" t="str">
        <x:f>IF(B412="Bilinmeyen Personel","Kontrol","OK")</x:f>
        <x:v>OK</x:v>
      </x:c>
    </x:row>
    <x:row r="413" ht="15.75">
      <x:c r="A413" s="313" t="n">
        <x:f t="shared" si="6">ROW()-ROW($A$2)+1</x:f>
        <x:v>412</x:v>
      </x:c>
      <x:c r="B413" s="313" t="s">
        <x:v>9</x:v>
      </x:c>
      <x:c r="C413" s="313" t="s">
        <x:v>56</x:v>
      </x:c>
      <x:c r="D413" s="314">
        <x:v>1</x:v>
      </x:c>
      <x:c r="E413" s="320">
        <x:v>5300</x:v>
      </x:c>
      <x:c r="F413" s="320">
        <x:v>5300</x:v>
      </x:c>
      <x:c r="G413" s="320">
        <x:v>1300</x:v>
      </x:c>
      <x:c r="H413" s="313" t="s">
        <x:v>61</x:v>
      </x:c>
      <x:c r="I413" s="313" t="s">
        <x:v>18</x:v>
      </x:c>
      <x:c r="J413" s="316" t="n">
        <x:f>IFERROR(G413/F413,0)</x:f>
        <x:v>0.24528301886792453</x:v>
      </x:c>
      <x:c r="K413" s="312" t="str">
        <x:f>IF(B413="Bilinmeyen Personel","Kontrol","OK")</x:f>
        <x:v>OK</x:v>
      </x:c>
    </x:row>
    <x:row r="414" ht="15.75">
      <x:c r="A414" s="313" t="n">
        <x:f t="shared" si="6">ROW()-ROW($A$2)+1</x:f>
        <x:v>413</x:v>
      </x:c>
      <x:c r="B414" s="313" t="s">
        <x:v>23</x:v>
      </x:c>
      <x:c r="C414" s="313" t="s">
        <x:v>30</x:v>
      </x:c>
      <x:c r="D414" s="314">
        <x:v>2</x:v>
      </x:c>
      <x:c r="E414" s="320">
        <x:v>1200</x:v>
      </x:c>
      <x:c r="F414" s="320">
        <x:v>2400</x:v>
      </x:c>
      <x:c r="G414" s="320">
        <x:v>800</x:v>
      </x:c>
      <x:c r="H414" s="313" t="s">
        <x:v>61</x:v>
      </x:c>
      <x:c r="I414" s="313" t="s">
        <x:v>28</x:v>
      </x:c>
      <x:c r="J414" s="316" t="n">
        <x:f>IFERROR(G414/F414,0)</x:f>
        <x:v>0.3333333333333333</x:v>
      </x:c>
      <x:c r="K414" s="312" t="str">
        <x:f>IF(B414="Bilinmeyen Personel","Kontrol","OK")</x:f>
        <x:v>OK</x:v>
      </x:c>
    </x:row>
    <x:row r="415" ht="15.75">
      <x:c r="A415" s="313" t="n">
        <x:f t="shared" si="6">ROW()-ROW($A$2)+1</x:f>
        <x:v>414</x:v>
      </x:c>
      <x:c r="B415" s="313" t="s">
        <x:v>40</x:v>
      </x:c>
      <x:c r="C415" s="313" t="s">
        <x:v>34</x:v>
      </x:c>
      <x:c r="D415" s="314">
        <x:v>1</x:v>
      </x:c>
      <x:c r="E415" s="320">
        <x:v>1090</x:v>
      </x:c>
      <x:c r="F415" s="320">
        <x:v>1090</x:v>
      </x:c>
      <x:c r="G415" s="320">
        <x:v>290</x:v>
      </x:c>
      <x:c r="H415" s="313" t="s">
        <x:v>61</x:v>
      </x:c>
      <x:c r="I415" s="313" t="s">
        <x:v>25</x:v>
      </x:c>
      <x:c r="J415" s="316" t="n">
        <x:f>IFERROR(G415/F415,0)</x:f>
        <x:v>0.26605504587155965</x:v>
      </x:c>
      <x:c r="K415" s="312" t="str">
        <x:f>IF(B415="Bilinmeyen Personel","Kontrol","OK")</x:f>
        <x:v>OK</x:v>
      </x:c>
    </x:row>
    <x:row r="416" ht="15.75">
      <x:c r="A416" s="313" t="n">
        <x:f t="shared" si="6">ROW()-ROW($A$2)+1</x:f>
        <x:v>415</x:v>
      </x:c>
      <x:c r="B416" s="313" t="s">
        <x:v>23</x:v>
      </x:c>
      <x:c r="C416" s="313" t="s">
        <x:v>26</x:v>
      </x:c>
      <x:c r="D416" s="314">
        <x:v>1</x:v>
      </x:c>
      <x:c r="E416" s="320">
        <x:v>7250</x:v>
      </x:c>
      <x:c r="F416" s="320">
        <x:v>7250</x:v>
      </x:c>
      <x:c r="G416" s="320">
        <x:v>2250</x:v>
      </x:c>
      <x:c r="H416" s="313" t="s">
        <x:v>61</x:v>
      </x:c>
      <x:c r="I416" s="313" t="s">
        <x:v>18</x:v>
      </x:c>
      <x:c r="J416" s="316" t="n">
        <x:f>IFERROR(G416/F416,0)</x:f>
        <x:v>0.3103448275862069</x:v>
      </x:c>
      <x:c r="K416" s="312" t="str">
        <x:f>IF(B416="Bilinmeyen Personel","Kontrol","OK")</x:f>
        <x:v>OK</x:v>
      </x:c>
    </x:row>
    <x:row r="417" ht="15.75">
      <x:c r="A417" s="313" t="n">
        <x:f t="shared" si="6">ROW()-ROW($A$2)+1</x:f>
        <x:v>416</x:v>
      </x:c>
      <x:c r="B417" s="313" t="s">
        <x:v>48</x:v>
      </x:c>
      <x:c r="C417" s="313" t="s">
        <x:v>14</x:v>
      </x:c>
      <x:c r="D417" s="314">
        <x:v>3</x:v>
      </x:c>
      <x:c r="E417" s="320">
        <x:v>1400</x:v>
      </x:c>
      <x:c r="F417" s="320">
        <x:v>4200</x:v>
      </x:c>
      <x:c r="G417" s="320">
        <x:v>1800</x:v>
      </x:c>
      <x:c r="H417" s="313" t="s">
        <x:v>61</x:v>
      </x:c>
      <x:c r="I417" s="313" t="s">
        <x:v>21</x:v>
      </x:c>
      <x:c r="J417" s="316" t="n">
        <x:f>IFERROR(G417/F417,0)</x:f>
        <x:v>0.42857142857142855</x:v>
      </x:c>
      <x:c r="K417" s="312" t="str">
        <x:f>IF(B417="Bilinmeyen Personel","Kontrol","OK")</x:f>
        <x:v>OK</x:v>
      </x:c>
    </x:row>
    <x:row r="418" ht="15.75">
      <x:c r="A418" s="313" t="n">
        <x:f t="shared" si="6">ROW()-ROW($A$2)+1</x:f>
        <x:v>417</x:v>
      </x:c>
      <x:c r="B418" s="313" t="s">
        <x:v>16</x:v>
      </x:c>
      <x:c r="C418" s="313" t="s">
        <x:v>57</x:v>
      </x:c>
      <x:c r="D418" s="314">
        <x:v>1</x:v>
      </x:c>
      <x:c r="E418" s="320">
        <x:v>1500</x:v>
      </x:c>
      <x:c r="F418" s="320">
        <x:v>1500</x:v>
      </x:c>
      <x:c r="G418" s="320">
        <x:v>700</x:v>
      </x:c>
      <x:c r="H418" s="313" t="s">
        <x:v>61</x:v>
      </x:c>
      <x:c r="I418" s="313" t="s">
        <x:v>46</x:v>
      </x:c>
      <x:c r="J418" s="316" t="n">
        <x:f>IFERROR(G418/F418,0)</x:f>
        <x:v>0.4666666666666667</x:v>
      </x:c>
      <x:c r="K418" s="312" t="str">
        <x:f>IF(B418="Bilinmeyen Personel","Kontrol","OK")</x:f>
        <x:v>OK</x:v>
      </x:c>
    </x:row>
    <x:row r="419" ht="15.75">
      <x:c r="A419" s="313" t="n">
        <x:f t="shared" si="6">ROW()-ROW($A$2)+1</x:f>
        <x:v>418</x:v>
      </x:c>
      <x:c r="B419" s="313" t="s">
        <x:v>35</x:v>
      </x:c>
      <x:c r="C419" s="313" t="s">
        <x:v>20</x:v>
      </x:c>
      <x:c r="D419" s="314">
        <x:v>1</x:v>
      </x:c>
      <x:c r="E419" s="320">
        <x:v>1350</x:v>
      </x:c>
      <x:c r="F419" s="320">
        <x:v>1350</x:v>
      </x:c>
      <x:c r="G419" s="320">
        <x:v>550</x:v>
      </x:c>
      <x:c r="H419" s="313" t="s">
        <x:v>61</x:v>
      </x:c>
      <x:c r="I419" s="313" t="s">
        <x:v>28</x:v>
      </x:c>
      <x:c r="J419" s="316" t="n">
        <x:f>IFERROR(G419/F419,0)</x:f>
        <x:v>0.4074074074074074</x:v>
      </x:c>
      <x:c r="K419" s="312" t="str">
        <x:f>IF(B419="Bilinmeyen Personel","Kontrol","OK")</x:f>
        <x:v>OK</x:v>
      </x:c>
    </x:row>
    <x:row r="420" ht="15.75">
      <x:c r="A420" s="313" t="n">
        <x:f t="shared" si="6">ROW()-ROW($A$2)+1</x:f>
        <x:v>419</x:v>
      </x:c>
      <x:c r="B420" s="313" t="s">
        <x:v>35</x:v>
      </x:c>
      <x:c r="C420" s="313" t="s">
        <x:v>30</x:v>
      </x:c>
      <x:c r="D420" s="314">
        <x:v>3</x:v>
      </x:c>
      <x:c r="E420" s="320">
        <x:v>1200</x:v>
      </x:c>
      <x:c r="F420" s="320">
        <x:v>3600</x:v>
      </x:c>
      <x:c r="G420" s="320">
        <x:v>1200</x:v>
      </x:c>
      <x:c r="H420" s="313" t="s">
        <x:v>61</x:v>
      </x:c>
      <x:c r="I420" s="313" t="s">
        <x:v>12</x:v>
      </x:c>
      <x:c r="J420" s="316" t="n">
        <x:f>IFERROR(G420/F420,0)</x:f>
        <x:v>0.3333333333333333</x:v>
      </x:c>
      <x:c r="K420" s="312" t="str">
        <x:f>IF(B420="Bilinmeyen Personel","Kontrol","OK")</x:f>
        <x:v>OK</x:v>
      </x:c>
    </x:row>
    <x:row r="421" ht="15.75">
      <x:c r="A421" s="313" t="n">
        <x:f t="shared" si="6">ROW()-ROW($A$2)+1</x:f>
        <x:v>420</x:v>
      </x:c>
      <x:c r="B421" s="313" t="s">
        <x:v>13</x:v>
      </x:c>
      <x:c r="C421" s="313" t="s">
        <x:v>55</x:v>
      </x:c>
      <x:c r="D421" s="314">
        <x:v>3</x:v>
      </x:c>
      <x:c r="E421" s="320">
        <x:v>7530</x:v>
      </x:c>
      <x:c r="F421" s="320">
        <x:v>22590</x:v>
      </x:c>
      <x:c r="G421" s="320">
        <x:v>4590</x:v>
      </x:c>
      <x:c r="H421" s="313" t="s">
        <x:v>61</x:v>
      </x:c>
      <x:c r="I421" s="313" t="s">
        <x:v>54</x:v>
      </x:c>
      <x:c r="J421" s="316" t="n">
        <x:f>IFERROR(G421/F421,0)</x:f>
        <x:v>0.20318725099601595</x:v>
      </x:c>
      <x:c r="K421" s="312" t="str">
        <x:f>IF(B421="Bilinmeyen Personel","Kontrol","OK")</x:f>
        <x:v>OK</x:v>
      </x:c>
    </x:row>
    <x:row r="422" ht="15.75">
      <x:c r="A422" s="313" t="n">
        <x:f t="shared" si="6">ROW()-ROW($A$2)+1</x:f>
        <x:v>421</x:v>
      </x:c>
      <x:c r="B422" s="313" t="s">
        <x:v>48</x:v>
      </x:c>
      <x:c r="C422" s="313" t="s">
        <x:v>30</x:v>
      </x:c>
      <x:c r="D422" s="314">
        <x:v>1</x:v>
      </x:c>
      <x:c r="E422" s="320">
        <x:v>1200</x:v>
      </x:c>
      <x:c r="F422" s="320">
        <x:v>1200</x:v>
      </x:c>
      <x:c r="G422" s="320">
        <x:v>400</x:v>
      </x:c>
      <x:c r="H422" s="313" t="s">
        <x:v>61</x:v>
      </x:c>
      <x:c r="I422" s="313" t="s">
        <x:v>28</x:v>
      </x:c>
      <x:c r="J422" s="316" t="n">
        <x:f>IFERROR(G422/F422,0)</x:f>
        <x:v>0.3333333333333333</x:v>
      </x:c>
      <x:c r="K422" s="312" t="str">
        <x:f>IF(B422="Bilinmeyen Personel","Kontrol","OK")</x:f>
        <x:v>OK</x:v>
      </x:c>
    </x:row>
    <x:row r="423" ht="15.75">
      <x:c r="A423" s="313" t="n">
        <x:f t="shared" si="6">ROW()-ROW($A$2)+1</x:f>
        <x:v>422</x:v>
      </x:c>
      <x:c r="B423" s="313" t="s">
        <x:v>38</x:v>
      </x:c>
      <x:c r="C423" s="313" t="s">
        <x:v>33</x:v>
      </x:c>
      <x:c r="D423" s="314">
        <x:v>3</x:v>
      </x:c>
      <x:c r="E423" s="320">
        <x:v>1800</x:v>
      </x:c>
      <x:c r="F423" s="320">
        <x:v>5400</x:v>
      </x:c>
      <x:c r="G423" s="320">
        <x:v>3000</x:v>
      </x:c>
      <x:c r="H423" s="313" t="s">
        <x:v>61</x:v>
      </x:c>
      <x:c r="I423" s="313" t="s">
        <x:v>15</x:v>
      </x:c>
      <x:c r="J423" s="316" t="n">
        <x:f>IFERROR(G423/F423,0)</x:f>
        <x:v>0.5555555555555556</x:v>
      </x:c>
      <x:c r="K423" s="312" t="str">
        <x:f>IF(B423="Bilinmeyen Personel","Kontrol","OK")</x:f>
        <x:v>OK</x:v>
      </x:c>
    </x:row>
    <x:row r="424" ht="15.75">
      <x:c r="A424" s="313" t="n">
        <x:f t="shared" si="6">ROW()-ROW($A$2)+1</x:f>
        <x:v>423</x:v>
      </x:c>
      <x:c r="B424" s="313" t="s">
        <x:v>9</x:v>
      </x:c>
      <x:c r="C424" s="313" t="s">
        <x:v>26</x:v>
      </x:c>
      <x:c r="D424" s="314">
        <x:v>1</x:v>
      </x:c>
      <x:c r="E424" s="320">
        <x:v>7250</x:v>
      </x:c>
      <x:c r="F424" s="320">
        <x:v>7250</x:v>
      </x:c>
      <x:c r="G424" s="320">
        <x:v>2250</x:v>
      </x:c>
      <x:c r="H424" s="313" t="s">
        <x:v>61</x:v>
      </x:c>
      <x:c r="I424" s="313" t="s">
        <x:v>12</x:v>
      </x:c>
      <x:c r="J424" s="316" t="n">
        <x:f>IFERROR(G424/F424,0)</x:f>
        <x:v>0.3103448275862069</x:v>
      </x:c>
      <x:c r="K424" s="312" t="str">
        <x:f>IF(B424="Bilinmeyen Personel","Kontrol","OK")</x:f>
        <x:v>OK</x:v>
      </x:c>
    </x:row>
    <x:row r="425" ht="15.75">
      <x:c r="A425" s="313" t="n">
        <x:f t="shared" si="6">ROW()-ROW($A$2)+1</x:f>
        <x:v>424</x:v>
      </x:c>
      <x:c r="B425" s="313" t="s">
        <x:v>40</x:v>
      </x:c>
      <x:c r="C425" s="313" t="s">
        <x:v>43</x:v>
      </x:c>
      <x:c r="D425" s="314">
        <x:v>3</x:v>
      </x:c>
      <x:c r="E425" s="320">
        <x:v>1490</x:v>
      </x:c>
      <x:c r="F425" s="320">
        <x:v>4470</x:v>
      </x:c>
      <x:c r="G425" s="320">
        <x:v>2070</x:v>
      </x:c>
      <x:c r="H425" s="313" t="s">
        <x:v>61</x:v>
      </x:c>
      <x:c r="I425" s="313" t="s">
        <x:v>41</x:v>
      </x:c>
      <x:c r="J425" s="316" t="n">
        <x:f>IFERROR(G425/F425,0)</x:f>
        <x:v>0.46308724832214765</x:v>
      </x:c>
      <x:c r="K425" s="312" t="str">
        <x:f>IF(B425="Bilinmeyen Personel","Kontrol","OK")</x:f>
        <x:v>OK</x:v>
      </x:c>
    </x:row>
    <x:row r="426" ht="15.75">
      <x:c r="A426" s="313" t="n">
        <x:f t="shared" si="6">ROW()-ROW($A$2)+1</x:f>
        <x:v>425</x:v>
      </x:c>
      <x:c r="B426" s="313" t="s">
        <x:v>40</x:v>
      </x:c>
      <x:c r="C426" s="313" t="s">
        <x:v>53</x:v>
      </x:c>
      <x:c r="D426" s="314">
        <x:v>1</x:v>
      </x:c>
      <x:c r="E426" s="320">
        <x:v>1200</x:v>
      </x:c>
      <x:c r="F426" s="320">
        <x:v>1200</x:v>
      </x:c>
      <x:c r="G426" s="320">
        <x:v>400</x:v>
      </x:c>
      <x:c r="H426" s="313" t="s">
        <x:v>61</x:v>
      </x:c>
      <x:c r="I426" s="313" t="s">
        <x:v>42</x:v>
      </x:c>
      <x:c r="J426" s="316" t="n">
        <x:f>IFERROR(G426/F426,0)</x:f>
        <x:v>0.3333333333333333</x:v>
      </x:c>
      <x:c r="K426" s="312" t="str">
        <x:f>IF(B426="Bilinmeyen Personel","Kontrol","OK")</x:f>
        <x:v>OK</x:v>
      </x:c>
    </x:row>
    <x:row r="427" ht="15.75">
      <x:c r="A427" s="313" t="n">
        <x:f t="shared" si="6">ROW()-ROW($A$2)+1</x:f>
        <x:v>426</x:v>
      </x:c>
      <x:c r="B427" s="313" t="s">
        <x:v>13</x:v>
      </x:c>
      <x:c r="C427" s="313" t="s">
        <x:v>36</x:v>
      </x:c>
      <x:c r="D427" s="314">
        <x:v>1</x:v>
      </x:c>
      <x:c r="E427" s="320">
        <x:v>8000</x:v>
      </x:c>
      <x:c r="F427" s="320">
        <x:v>8000</x:v>
      </x:c>
      <x:c r="G427" s="320">
        <x:v>2000</x:v>
      </x:c>
      <x:c r="H427" s="313" t="s">
        <x:v>61</x:v>
      </x:c>
      <x:c r="I427" s="313" t="s">
        <x:v>44</x:v>
      </x:c>
      <x:c r="J427" s="316" t="n">
        <x:f>IFERROR(G427/F427,0)</x:f>
        <x:v>0.25</x:v>
      </x:c>
      <x:c r="K427" s="312" t="str">
        <x:f>IF(B427="Bilinmeyen Personel","Kontrol","OK")</x:f>
        <x:v>OK</x:v>
      </x:c>
    </x:row>
    <x:row r="428" ht="15.75">
      <x:c r="A428" s="313" t="n">
        <x:f t="shared" si="6">ROW()-ROW($A$2)+1</x:f>
        <x:v>427</x:v>
      </x:c>
      <x:c r="B428" s="313" t="s">
        <x:v>32</x:v>
      </x:c>
      <x:c r="C428" s="313" t="s">
        <x:v>14</x:v>
      </x:c>
      <x:c r="D428" s="314">
        <x:v>1</x:v>
      </x:c>
      <x:c r="E428" s="320">
        <x:v>1400</x:v>
      </x:c>
      <x:c r="F428" s="320">
        <x:v>1400</x:v>
      </x:c>
      <x:c r="G428" s="320">
        <x:v>600</x:v>
      </x:c>
      <x:c r="H428" s="313" t="s">
        <x:v>61</x:v>
      </x:c>
      <x:c r="I428" s="313" t="s">
        <x:v>44</x:v>
      </x:c>
      <x:c r="J428" s="316" t="n">
        <x:f>IFERROR(G428/F428,0)</x:f>
        <x:v>0.42857142857142855</x:v>
      </x:c>
      <x:c r="K428" s="312" t="str">
        <x:f>IF(B428="Bilinmeyen Personel","Kontrol","OK")</x:f>
        <x:v>OK</x:v>
      </x:c>
    </x:row>
    <x:row r="429" ht="15.75">
      <x:c r="A429" s="313" t="n">
        <x:f t="shared" si="6">ROW()-ROW($A$2)+1</x:f>
        <x:v>428</x:v>
      </x:c>
      <x:c r="B429" s="313" t="s">
        <x:v>29</x:v>
      </x:c>
      <x:c r="C429" s="313" t="s">
        <x:v>20</x:v>
      </x:c>
      <x:c r="D429" s="314">
        <x:v>1</x:v>
      </x:c>
      <x:c r="E429" s="320">
        <x:v>1350</x:v>
      </x:c>
      <x:c r="F429" s="320">
        <x:v>1350</x:v>
      </x:c>
      <x:c r="G429" s="320">
        <x:v>550</x:v>
      </x:c>
      <x:c r="H429" s="313" t="s">
        <x:v>61</x:v>
      </x:c>
      <x:c r="I429" s="313" t="s">
        <x:v>31</x:v>
      </x:c>
      <x:c r="J429" s="316" t="n">
        <x:f>IFERROR(G429/F429,0)</x:f>
        <x:v>0.4074074074074074</x:v>
      </x:c>
      <x:c r="K429" s="312" t="str">
        <x:f>IF(B429="Bilinmeyen Personel","Kontrol","OK")</x:f>
        <x:v>OK</x:v>
      </x:c>
    </x:row>
    <x:row r="430" ht="15.75">
      <x:c r="A430" s="313" t="n">
        <x:f t="shared" si="6">ROW()-ROW($A$2)+1</x:f>
        <x:v>429</x:v>
      </x:c>
      <x:c r="B430" s="313" t="s">
        <x:v>38</x:v>
      </x:c>
      <x:c r="C430" s="313" t="s">
        <x:v>53</x:v>
      </x:c>
      <x:c r="D430" s="314">
        <x:v>1</x:v>
      </x:c>
      <x:c r="E430" s="320">
        <x:v>1200</x:v>
      </x:c>
      <x:c r="F430" s="320">
        <x:v>1200</x:v>
      </x:c>
      <x:c r="G430" s="320">
        <x:v>400</x:v>
      </x:c>
      <x:c r="H430" s="313" t="s">
        <x:v>61</x:v>
      </x:c>
      <x:c r="I430" s="313" t="s">
        <x:v>31</x:v>
      </x:c>
      <x:c r="J430" s="316" t="n">
        <x:f>IFERROR(G430/F430,0)</x:f>
        <x:v>0.3333333333333333</x:v>
      </x:c>
      <x:c r="K430" s="312" t="str">
        <x:f>IF(B430="Bilinmeyen Personel","Kontrol","OK")</x:f>
        <x:v>OK</x:v>
      </x:c>
    </x:row>
    <x:row r="431" ht="15.75">
      <x:c r="A431" s="313" t="n">
        <x:f t="shared" si="6">ROW()-ROW($A$2)+1</x:f>
        <x:v>430</x:v>
      </x:c>
      <x:c r="B431" s="313" t="s">
        <x:v>32</x:v>
      </x:c>
      <x:c r="C431" s="313" t="s">
        <x:v>56</x:v>
      </x:c>
      <x:c r="D431" s="314">
        <x:v>1</x:v>
      </x:c>
      <x:c r="E431" s="320">
        <x:v>5300</x:v>
      </x:c>
      <x:c r="F431" s="320">
        <x:v>5300</x:v>
      </x:c>
      <x:c r="G431" s="320">
        <x:v>1300</x:v>
      </x:c>
      <x:c r="H431" s="313" t="s">
        <x:v>61</x:v>
      </x:c>
      <x:c r="I431" s="313" t="s">
        <x:v>25</x:v>
      </x:c>
      <x:c r="J431" s="316" t="n">
        <x:f>IFERROR(G431/F431,0)</x:f>
        <x:v>0.24528301886792453</x:v>
      </x:c>
      <x:c r="K431" s="312" t="str">
        <x:f>IF(B431="Bilinmeyen Personel","Kontrol","OK")</x:f>
        <x:v>OK</x:v>
      </x:c>
    </x:row>
    <x:row r="432" ht="15.75">
      <x:c r="A432" s="313" t="n">
        <x:f t="shared" si="6">ROW()-ROW($A$2)+1</x:f>
        <x:v>431</x:v>
      </x:c>
      <x:c r="B432" s="313" t="s">
        <x:v>40</x:v>
      </x:c>
      <x:c r="C432" s="313" t="s">
        <x:v>39</x:v>
      </x:c>
      <x:c r="D432" s="314">
        <x:v>3</x:v>
      </x:c>
      <x:c r="E432" s="320">
        <x:v>10590</x:v>
      </x:c>
      <x:c r="F432" s="320">
        <x:v>31770</x:v>
      </x:c>
      <x:c r="G432" s="320">
        <x:v>13770</x:v>
      </x:c>
      <x:c r="H432" s="313" t="s">
        <x:v>61</x:v>
      </x:c>
      <x:c r="I432" s="313" t="s">
        <x:v>15</x:v>
      </x:c>
      <x:c r="J432" s="316" t="n">
        <x:f>IFERROR(G432/F432,0)</x:f>
        <x:v>0.43342776203966005</x:v>
      </x:c>
      <x:c r="K432" s="312" t="str">
        <x:f>IF(B432="Bilinmeyen Personel","Kontrol","OK")</x:f>
        <x:v>OK</x:v>
      </x:c>
    </x:row>
    <x:row r="433" ht="15.75">
      <x:c r="A433" s="313" t="n">
        <x:f t="shared" si="6">ROW()-ROW($A$2)+1</x:f>
        <x:v>432</x:v>
      </x:c>
      <x:c r="B433" s="313" t="s">
        <x:v>23</x:v>
      </x:c>
      <x:c r="C433" s="313" t="s">
        <x:v>52</x:v>
      </x:c>
      <x:c r="D433" s="314">
        <x:v>1</x:v>
      </x:c>
      <x:c r="E433" s="320">
        <x:v>1250</x:v>
      </x:c>
      <x:c r="F433" s="320">
        <x:v>1250</x:v>
      </x:c>
      <x:c r="G433" s="320">
        <x:v>450</x:v>
      </x:c>
      <x:c r="H433" s="313" t="s">
        <x:v>61</x:v>
      </x:c>
      <x:c r="I433" s="313" t="s">
        <x:v>21</x:v>
      </x:c>
      <x:c r="J433" s="316" t="n">
        <x:f>IFERROR(G433/F433,0)</x:f>
        <x:v>0.36</x:v>
      </x:c>
      <x:c r="K433" s="312" t="str">
        <x:f>IF(B433="Bilinmeyen Personel","Kontrol","OK")</x:f>
        <x:v>OK</x:v>
      </x:c>
    </x:row>
    <x:row r="434" ht="15.75">
      <x:c r="A434" s="313" t="n">
        <x:f t="shared" si="6">ROW()-ROW($A$2)+1</x:f>
        <x:v>433</x:v>
      </x:c>
      <x:c r="B434" s="313" t="s">
        <x:v>50</x:v>
      </x:c>
      <x:c r="C434" s="313" t="s">
        <x:v>53</x:v>
      </x:c>
      <x:c r="D434" s="314">
        <x:v>1</x:v>
      </x:c>
      <x:c r="E434" s="320">
        <x:v>1200</x:v>
      </x:c>
      <x:c r="F434" s="320">
        <x:v>1200</x:v>
      </x:c>
      <x:c r="G434" s="320">
        <x:v>400</x:v>
      </x:c>
      <x:c r="H434" s="313" t="s">
        <x:v>62</x:v>
      </x:c>
      <x:c r="I434" s="313" t="s">
        <x:v>41</x:v>
      </x:c>
      <x:c r="J434" s="316" t="n">
        <x:f>IFERROR(G434/F434,0)</x:f>
        <x:v>0.3333333333333333</x:v>
      </x:c>
      <x:c r="K434" s="312" t="str">
        <x:f>IF(B434="Bilinmeyen Personel","Kontrol","OK")</x:f>
        <x:v>OK</x:v>
      </x:c>
    </x:row>
    <x:row r="435" ht="15.75">
      <x:c r="A435" s="313" t="n">
        <x:f t="shared" si="6">ROW()-ROW($A$2)+1</x:f>
        <x:v>434</x:v>
      </x:c>
      <x:c r="B435" s="313" t="s">
        <x:v>23</x:v>
      </x:c>
      <x:c r="C435" s="313" t="s">
        <x:v>14</x:v>
      </x:c>
      <x:c r="D435" s="314">
        <x:v>3</x:v>
      </x:c>
      <x:c r="E435" s="320">
        <x:v>1400</x:v>
      </x:c>
      <x:c r="F435" s="320">
        <x:v>4200</x:v>
      </x:c>
      <x:c r="G435" s="320">
        <x:v>1800</x:v>
      </x:c>
      <x:c r="H435" s="313" t="s">
        <x:v>62</x:v>
      </x:c>
      <x:c r="I435" s="313" t="s">
        <x:v>25</x:v>
      </x:c>
      <x:c r="J435" s="316" t="n">
        <x:f>IFERROR(G435/F435,0)</x:f>
        <x:v>0.42857142857142855</x:v>
      </x:c>
      <x:c r="K435" s="312" t="str">
        <x:f>IF(B435="Bilinmeyen Personel","Kontrol","OK")</x:f>
        <x:v>OK</x:v>
      </x:c>
    </x:row>
    <x:row r="436" ht="15.75">
      <x:c r="A436" s="313" t="n">
        <x:f t="shared" si="6">ROW()-ROW($A$2)+1</x:f>
        <x:v>435</x:v>
      </x:c>
      <x:c r="B436" s="313" t="s">
        <x:v>50</x:v>
      </x:c>
      <x:c r="C436" s="313" t="s">
        <x:v>55</x:v>
      </x:c>
      <x:c r="D436" s="314">
        <x:v>2</x:v>
      </x:c>
      <x:c r="E436" s="320">
        <x:v>7530</x:v>
      </x:c>
      <x:c r="F436" s="320">
        <x:v>15060</x:v>
      </x:c>
      <x:c r="G436" s="320">
        <x:v>3060</x:v>
      </x:c>
      <x:c r="H436" s="313" t="s">
        <x:v>62</x:v>
      </x:c>
      <x:c r="I436" s="313" t="s">
        <x:v>28</x:v>
      </x:c>
      <x:c r="J436" s="316" t="n">
        <x:f>IFERROR(G436/F436,0)</x:f>
        <x:v>0.20318725099601595</x:v>
      </x:c>
      <x:c r="K436" s="312" t="str">
        <x:f>IF(B436="Bilinmeyen Personel","Kontrol","OK")</x:f>
        <x:v>OK</x:v>
      </x:c>
    </x:row>
    <x:row r="437" ht="15.75">
      <x:c r="A437" s="313" t="n">
        <x:f t="shared" si="6">ROW()-ROW($A$2)+1</x:f>
        <x:v>436</x:v>
      </x:c>
      <x:c r="B437" s="313" t="s">
        <x:v>32</x:v>
      </x:c>
      <x:c r="C437" s="313" t="s">
        <x:v>24</x:v>
      </x:c>
      <x:c r="D437" s="314">
        <x:v>1</x:v>
      </x:c>
      <x:c r="E437" s="320">
        <x:v>7600</x:v>
      </x:c>
      <x:c r="F437" s="320">
        <x:v>7600</x:v>
      </x:c>
      <x:c r="G437" s="320">
        <x:v>1600</x:v>
      </x:c>
      <x:c r="H437" s="313" t="s">
        <x:v>62</x:v>
      </x:c>
      <x:c r="I437" s="313" t="s">
        <x:v>44</x:v>
      </x:c>
      <x:c r="J437" s="316" t="n">
        <x:f>IFERROR(G437/F437,0)</x:f>
        <x:v>0.21052631578947367</x:v>
      </x:c>
      <x:c r="K437" s="312" t="str">
        <x:f>IF(B437="Bilinmeyen Personel","Kontrol","OK")</x:f>
        <x:v>OK</x:v>
      </x:c>
    </x:row>
    <x:row r="438" ht="15.75">
      <x:c r="A438" s="313" t="n">
        <x:f t="shared" si="6">ROW()-ROW($A$2)+1</x:f>
        <x:v>437</x:v>
      </x:c>
      <x:c r="B438" s="313" t="s">
        <x:v>50</x:v>
      </x:c>
      <x:c r="C438" s="313" t="s">
        <x:v>57</x:v>
      </x:c>
      <x:c r="D438" s="314">
        <x:v>1</x:v>
      </x:c>
      <x:c r="E438" s="320">
        <x:v>1500</x:v>
      </x:c>
      <x:c r="F438" s="320">
        <x:v>1500</x:v>
      </x:c>
      <x:c r="G438" s="320">
        <x:v>700</x:v>
      </x:c>
      <x:c r="H438" s="313" t="s">
        <x:v>62</x:v>
      </x:c>
      <x:c r="I438" s="313" t="s">
        <x:v>28</x:v>
      </x:c>
      <x:c r="J438" s="316" t="n">
        <x:f>IFERROR(G438/F438,0)</x:f>
        <x:v>0.4666666666666667</x:v>
      </x:c>
      <x:c r="K438" s="312" t="str">
        <x:f>IF(B438="Bilinmeyen Personel","Kontrol","OK")</x:f>
        <x:v>OK</x:v>
      </x:c>
    </x:row>
    <x:row r="439" ht="15.75">
      <x:c r="A439" s="313" t="n">
        <x:f t="shared" si="6">ROW()-ROW($A$2)+1</x:f>
        <x:v>438</x:v>
      </x:c>
      <x:c r="B439" s="313" t="s">
        <x:v>40</x:v>
      </x:c>
      <x:c r="C439" s="313" t="s">
        <x:v>22</x:v>
      </x:c>
      <x:c r="D439" s="314">
        <x:v>2</x:v>
      </x:c>
      <x:c r="E439" s="320">
        <x:v>2180</x:v>
      </x:c>
      <x:c r="F439" s="320">
        <x:v>4360</x:v>
      </x:c>
      <x:c r="G439" s="320">
        <x:v>1360</x:v>
      </x:c>
      <x:c r="H439" s="313" t="s">
        <x:v>62</x:v>
      </x:c>
      <x:c r="I439" s="313" t="s">
        <x:v>15</x:v>
      </x:c>
      <x:c r="J439" s="316" t="n">
        <x:f>IFERROR(G439/F439,0)</x:f>
        <x:v>0.3119266055045872</x:v>
      </x:c>
      <x:c r="K439" s="312" t="str">
        <x:f>IF(B439="Bilinmeyen Personel","Kontrol","OK")</x:f>
        <x:v>OK</x:v>
      </x:c>
    </x:row>
    <x:row r="440" ht="15.75">
      <x:c r="A440" s="313" t="n">
        <x:f t="shared" si="6">ROW()-ROW($A$2)+1</x:f>
        <x:v>439</x:v>
      </x:c>
      <x:c r="B440" s="313" t="s">
        <x:v>19</x:v>
      </x:c>
      <x:c r="C440" s="313" t="s">
        <x:v>22</x:v>
      </x:c>
      <x:c r="D440" s="314">
        <x:v>1</x:v>
      </x:c>
      <x:c r="E440" s="320">
        <x:v>2180</x:v>
      </x:c>
      <x:c r="F440" s="320">
        <x:v>2180</x:v>
      </x:c>
      <x:c r="G440" s="320">
        <x:v>680</x:v>
      </x:c>
      <x:c r="H440" s="313" t="s">
        <x:v>62</x:v>
      </x:c>
      <x:c r="I440" s="313" t="s">
        <x:v>37</x:v>
      </x:c>
      <x:c r="J440" s="316" t="n">
        <x:f>IFERROR(G440/F440,0)</x:f>
        <x:v>0.3119266055045872</x:v>
      </x:c>
      <x:c r="K440" s="312" t="str">
        <x:f>IF(B440="Bilinmeyen Personel","Kontrol","OK")</x:f>
        <x:v>OK</x:v>
      </x:c>
    </x:row>
    <x:row r="441" ht="15.75">
      <x:c r="A441" s="313" t="n">
        <x:f t="shared" si="6">ROW()-ROW($A$2)+1</x:f>
        <x:v>440</x:v>
      </x:c>
      <x:c r="B441" s="313" t="s">
        <x:v>40</x:v>
      </x:c>
      <x:c r="C441" s="313" t="s">
        <x:v>47</x:v>
      </x:c>
      <x:c r="D441" s="314">
        <x:v>1</x:v>
      </x:c>
      <x:c r="E441" s="320">
        <x:v>5775</x:v>
      </x:c>
      <x:c r="F441" s="320">
        <x:v>5775</x:v>
      </x:c>
      <x:c r="G441" s="320">
        <x:v>1775</x:v>
      </x:c>
      <x:c r="H441" s="313" t="s">
        <x:v>62</x:v>
      </x:c>
      <x:c r="I441" s="313" t="s">
        <x:v>46</x:v>
      </x:c>
      <x:c r="J441" s="316" t="n">
        <x:f>IFERROR(G441/F441,0)</x:f>
        <x:v>0.30735930735930733</x:v>
      </x:c>
      <x:c r="K441" s="312" t="str">
        <x:f>IF(B441="Bilinmeyen Personel","Kontrol","OK")</x:f>
        <x:v>OK</x:v>
      </x:c>
    </x:row>
    <x:row r="442" ht="15.75">
      <x:c r="A442" s="313" t="n">
        <x:f t="shared" si="6">ROW()-ROW($A$2)+1</x:f>
        <x:v>441</x:v>
      </x:c>
      <x:c r="B442" s="313" t="s">
        <x:v>40</x:v>
      </x:c>
      <x:c r="C442" s="313" t="s">
        <x:v>27</x:v>
      </x:c>
      <x:c r="D442" s="314">
        <x:v>3</x:v>
      </x:c>
      <x:c r="E442" s="320">
        <x:v>1100</x:v>
      </x:c>
      <x:c r="F442" s="320">
        <x:v>3300</x:v>
      </x:c>
      <x:c r="G442" s="320">
        <x:v>900</x:v>
      </x:c>
      <x:c r="H442" s="313" t="s">
        <x:v>62</x:v>
      </x:c>
      <x:c r="I442" s="313" t="s">
        <x:v>31</x:v>
      </x:c>
      <x:c r="J442" s="316" t="n">
        <x:f>IFERROR(G442/F442,0)</x:f>
        <x:v>0.2727272727272727</x:v>
      </x:c>
      <x:c r="K442" s="312" t="str">
        <x:f>IF(B442="Bilinmeyen Personel","Kontrol","OK")</x:f>
        <x:v>OK</x:v>
      </x:c>
    </x:row>
    <x:row r="443" ht="15.75">
      <x:c r="A443" s="313" t="n">
        <x:f t="shared" si="6">ROW()-ROW($A$2)+1</x:f>
        <x:v>442</x:v>
      </x:c>
      <x:c r="B443" s="313" t="s">
        <x:v>48</x:v>
      </x:c>
      <x:c r="C443" s="313" t="s">
        <x:v>47</x:v>
      </x:c>
      <x:c r="D443" s="314">
        <x:v>1</x:v>
      </x:c>
      <x:c r="E443" s="320">
        <x:v>5775</x:v>
      </x:c>
      <x:c r="F443" s="320">
        <x:v>5775</x:v>
      </x:c>
      <x:c r="G443" s="320">
        <x:v>1775</x:v>
      </x:c>
      <x:c r="H443" s="313" t="s">
        <x:v>62</x:v>
      </x:c>
      <x:c r="I443" s="313" t="s">
        <x:v>44</x:v>
      </x:c>
      <x:c r="J443" s="316" t="n">
        <x:f>IFERROR(G443/F443,0)</x:f>
        <x:v>0.30735930735930733</x:v>
      </x:c>
      <x:c r="K443" s="312" t="str">
        <x:f>IF(B443="Bilinmeyen Personel","Kontrol","OK")</x:f>
        <x:v>OK</x:v>
      </x:c>
    </x:row>
    <x:row r="444" ht="15.75">
      <x:c r="A444" s="313" t="n">
        <x:f t="shared" si="6">ROW()-ROW($A$2)+1</x:f>
        <x:v>443</x:v>
      </x:c>
      <x:c r="B444" s="313" t="s">
        <x:v>35</x:v>
      </x:c>
      <x:c r="C444" s="313" t="s">
        <x:v>20</x:v>
      </x:c>
      <x:c r="D444" s="314">
        <x:v>1</x:v>
      </x:c>
      <x:c r="E444" s="320">
        <x:v>1350</x:v>
      </x:c>
      <x:c r="F444" s="320">
        <x:v>1350</x:v>
      </x:c>
      <x:c r="G444" s="320">
        <x:v>550</x:v>
      </x:c>
      <x:c r="H444" s="313" t="s">
        <x:v>62</x:v>
      </x:c>
      <x:c r="I444" s="313" t="s">
        <x:v>18</x:v>
      </x:c>
      <x:c r="J444" s="316" t="n">
        <x:f>IFERROR(G444/F444,0)</x:f>
        <x:v>0.4074074074074074</x:v>
      </x:c>
      <x:c r="K444" s="312" t="str">
        <x:f>IF(B444="Bilinmeyen Personel","Kontrol","OK")</x:f>
        <x:v>OK</x:v>
      </x:c>
    </x:row>
    <x:row r="445" ht="15.75">
      <x:c r="A445" s="313" t="n">
        <x:f t="shared" si="6">ROW()-ROW($A$2)+1</x:f>
        <x:v>444</x:v>
      </x:c>
      <x:c r="B445" s="313" t="s">
        <x:v>9</x:v>
      </x:c>
      <x:c r="C445" s="313" t="s">
        <x:v>24</x:v>
      </x:c>
      <x:c r="D445" s="314">
        <x:v>3</x:v>
      </x:c>
      <x:c r="E445" s="320">
        <x:v>7600</x:v>
      </x:c>
      <x:c r="F445" s="320">
        <x:v>22800</x:v>
      </x:c>
      <x:c r="G445" s="320">
        <x:v>4800</x:v>
      </x:c>
      <x:c r="H445" s="313" t="s">
        <x:v>62</x:v>
      </x:c>
      <x:c r="I445" s="313" t="s">
        <x:v>44</x:v>
      </x:c>
      <x:c r="J445" s="316" t="n">
        <x:f>IFERROR(G445/F445,0)</x:f>
        <x:v>0.21052631578947367</x:v>
      </x:c>
      <x:c r="K445" s="312" t="str">
        <x:f>IF(B445="Bilinmeyen Personel","Kontrol","OK")</x:f>
        <x:v>OK</x:v>
      </x:c>
    </x:row>
    <x:row r="446" ht="15.75">
      <x:c r="A446" s="313" t="n">
        <x:f t="shared" si="6">ROW()-ROW($A$2)+1</x:f>
        <x:v>445</x:v>
      </x:c>
      <x:c r="B446" s="313" t="s">
        <x:v>16</x:v>
      </x:c>
      <x:c r="C446" s="313" t="s">
        <x:v>26</x:v>
      </x:c>
      <x:c r="D446" s="314">
        <x:v>3</x:v>
      </x:c>
      <x:c r="E446" s="320">
        <x:v>7250</x:v>
      </x:c>
      <x:c r="F446" s="320">
        <x:v>21750</x:v>
      </x:c>
      <x:c r="G446" s="320">
        <x:v>6750</x:v>
      </x:c>
      <x:c r="H446" s="313" t="s">
        <x:v>62</x:v>
      </x:c>
      <x:c r="I446" s="313" t="s">
        <x:v>42</x:v>
      </x:c>
      <x:c r="J446" s="316" t="n">
        <x:f>IFERROR(G446/F446,0)</x:f>
        <x:v>0.3103448275862069</x:v>
      </x:c>
      <x:c r="K446" s="312" t="str">
        <x:f>IF(B446="Bilinmeyen Personel","Kontrol","OK")</x:f>
        <x:v>OK</x:v>
      </x:c>
    </x:row>
    <x:row r="447" ht="15.75">
      <x:c r="A447" s="313" t="n">
        <x:f t="shared" si="6">ROW()-ROW($A$2)+1</x:f>
        <x:v>446</x:v>
      </x:c>
      <x:c r="B447" s="313" t="s">
        <x:v>50</x:v>
      </x:c>
      <x:c r="C447" s="313" t="s">
        <x:v>43</x:v>
      </x:c>
      <x:c r="D447" s="314">
        <x:v>2</x:v>
      </x:c>
      <x:c r="E447" s="320">
        <x:v>1490</x:v>
      </x:c>
      <x:c r="F447" s="320">
        <x:v>2980</x:v>
      </x:c>
      <x:c r="G447" s="320">
        <x:v>1380</x:v>
      </x:c>
      <x:c r="H447" s="313" t="s">
        <x:v>62</x:v>
      </x:c>
      <x:c r="I447" s="313" t="s">
        <x:v>21</x:v>
      </x:c>
      <x:c r="J447" s="316" t="n">
        <x:f>IFERROR(G447/F447,0)</x:f>
        <x:v>0.46308724832214765</x:v>
      </x:c>
      <x:c r="K447" s="312" t="str">
        <x:f>IF(B447="Bilinmeyen Personel","Kontrol","OK")</x:f>
        <x:v>OK</x:v>
      </x:c>
    </x:row>
    <x:row r="448" ht="15.75">
      <x:c r="A448" s="313" t="n">
        <x:f t="shared" si="6">ROW()-ROW($A$2)+1</x:f>
        <x:v>447</x:v>
      </x:c>
      <x:c r="B448" s="313" t="s">
        <x:v>19</x:v>
      </x:c>
      <x:c r="C448" s="313" t="s">
        <x:v>43</x:v>
      </x:c>
      <x:c r="D448" s="314">
        <x:v>2</x:v>
      </x:c>
      <x:c r="E448" s="320">
        <x:v>1490</x:v>
      </x:c>
      <x:c r="F448" s="320">
        <x:v>2980</x:v>
      </x:c>
      <x:c r="G448" s="320">
        <x:v>1380</x:v>
      </x:c>
      <x:c r="H448" s="313" t="s">
        <x:v>62</x:v>
      </x:c>
      <x:c r="I448" s="313" t="s">
        <x:v>37</x:v>
      </x:c>
      <x:c r="J448" s="316" t="n">
        <x:f>IFERROR(G448/F448,0)</x:f>
        <x:v>0.46308724832214765</x:v>
      </x:c>
      <x:c r="K448" s="312" t="str">
        <x:f>IF(B448="Bilinmeyen Personel","Kontrol","OK")</x:f>
        <x:v>OK</x:v>
      </x:c>
    </x:row>
    <x:row r="449" ht="15.75">
      <x:c r="A449" s="313" t="n">
        <x:f t="shared" si="6">ROW()-ROW($A$2)+1</x:f>
        <x:v>448</x:v>
      </x:c>
      <x:c r="B449" s="313" t="s">
        <x:v>38</x:v>
      </x:c>
      <x:c r="C449" s="313" t="s">
        <x:v>34</x:v>
      </x:c>
      <x:c r="D449" s="314">
        <x:v>2</x:v>
      </x:c>
      <x:c r="E449" s="320">
        <x:v>1090</x:v>
      </x:c>
      <x:c r="F449" s="320">
        <x:v>2180</x:v>
      </x:c>
      <x:c r="G449" s="320">
        <x:v>580</x:v>
      </x:c>
      <x:c r="H449" s="313" t="s">
        <x:v>62</x:v>
      </x:c>
      <x:c r="I449" s="313" t="s">
        <x:v>28</x:v>
      </x:c>
      <x:c r="J449" s="316" t="n">
        <x:f>IFERROR(G449/F449,0)</x:f>
        <x:v>0.26605504587155965</x:v>
      </x:c>
      <x:c r="K449" s="312" t="str">
        <x:f>IF(B449="Bilinmeyen Personel","Kontrol","OK")</x:f>
        <x:v>OK</x:v>
      </x:c>
    </x:row>
    <x:row r="450" ht="15.75">
      <x:c r="A450" s="313" t="n">
        <x:f t="shared" si="6">ROW()-ROW($A$2)+1</x:f>
        <x:v>449</x:v>
      </x:c>
      <x:c r="B450" s="313" t="s">
        <x:v>38</x:v>
      </x:c>
      <x:c r="C450" s="313" t="s">
        <x:v>30</x:v>
      </x:c>
      <x:c r="D450" s="314">
        <x:v>3</x:v>
      </x:c>
      <x:c r="E450" s="320">
        <x:v>1200</x:v>
      </x:c>
      <x:c r="F450" s="320">
        <x:v>3600</x:v>
      </x:c>
      <x:c r="G450" s="320">
        <x:v>1200</x:v>
      </x:c>
      <x:c r="H450" s="313" t="s">
        <x:v>62</x:v>
      </x:c>
      <x:c r="I450" s="313" t="s">
        <x:v>31</x:v>
      </x:c>
      <x:c r="J450" s="316" t="n">
        <x:f>IFERROR(G450/F450,0)</x:f>
        <x:v>0.3333333333333333</x:v>
      </x:c>
      <x:c r="K450" s="312" t="str">
        <x:f>IF(B450="Bilinmeyen Personel","Kontrol","OK")</x:f>
        <x:v>OK</x:v>
      </x:c>
    </x:row>
    <x:row r="451" ht="15.75">
      <x:c r="A451" s="313" t="n">
        <x:f t="shared" ref="A451:A514" si="7">ROW()-ROW($A$2)+1</x:f>
        <x:v>450</x:v>
      </x:c>
      <x:c r="B451" s="313" t="s">
        <x:v>50</x:v>
      </x:c>
      <x:c r="C451" s="313" t="s">
        <x:v>34</x:v>
      </x:c>
      <x:c r="D451" s="314">
        <x:v>2</x:v>
      </x:c>
      <x:c r="E451" s="320">
        <x:v>1090</x:v>
      </x:c>
      <x:c r="F451" s="320">
        <x:v>2180</x:v>
      </x:c>
      <x:c r="G451" s="320">
        <x:v>580</x:v>
      </x:c>
      <x:c r="H451" s="313" t="s">
        <x:v>62</x:v>
      </x:c>
      <x:c r="I451" s="313" t="s">
        <x:v>41</x:v>
      </x:c>
      <x:c r="J451" s="316" t="n">
        <x:f>IFERROR(G451/F451,0)</x:f>
        <x:v>0.26605504587155965</x:v>
      </x:c>
      <x:c r="K451" s="312" t="str">
        <x:f>IF(B451="Bilinmeyen Personel","Kontrol","OK")</x:f>
        <x:v>OK</x:v>
      </x:c>
    </x:row>
    <x:row r="452" ht="15.75">
      <x:c r="A452" s="313" t="n">
        <x:f t="shared" si="7">ROW()-ROW($A$2)+1</x:f>
        <x:v>451</x:v>
      </x:c>
      <x:c r="B452" s="313" t="s">
        <x:v>50</x:v>
      </x:c>
      <x:c r="C452" s="313" t="s">
        <x:v>22</x:v>
      </x:c>
      <x:c r="D452" s="314">
        <x:v>3</x:v>
      </x:c>
      <x:c r="E452" s="320">
        <x:v>2180</x:v>
      </x:c>
      <x:c r="F452" s="320">
        <x:v>6540</x:v>
      </x:c>
      <x:c r="G452" s="320">
        <x:v>2040</x:v>
      </x:c>
      <x:c r="H452" s="313" t="s">
        <x:v>62</x:v>
      </x:c>
      <x:c r="I452" s="313" t="s">
        <x:v>25</x:v>
      </x:c>
      <x:c r="J452" s="316" t="n">
        <x:f>IFERROR(G452/F452,0)</x:f>
        <x:v>0.3119266055045872</x:v>
      </x:c>
      <x:c r="K452" s="312" t="str">
        <x:f>IF(B452="Bilinmeyen Personel","Kontrol","OK")</x:f>
        <x:v>OK</x:v>
      </x:c>
    </x:row>
    <x:row r="453" ht="15.75">
      <x:c r="A453" s="313" t="n">
        <x:f t="shared" si="7">ROW()-ROW($A$2)+1</x:f>
        <x:v>452</x:v>
      </x:c>
      <x:c r="B453" s="313" t="s">
        <x:v>16</x:v>
      </x:c>
      <x:c r="C453" s="313" t="s">
        <x:v>56</x:v>
      </x:c>
      <x:c r="D453" s="314">
        <x:v>3</x:v>
      </x:c>
      <x:c r="E453" s="320">
        <x:v>5300</x:v>
      </x:c>
      <x:c r="F453" s="320">
        <x:v>15900</x:v>
      </x:c>
      <x:c r="G453" s="320">
        <x:v>3900</x:v>
      </x:c>
      <x:c r="H453" s="313" t="s">
        <x:v>62</x:v>
      </x:c>
      <x:c r="I453" s="313" t="s">
        <x:v>31</x:v>
      </x:c>
      <x:c r="J453" s="316" t="n">
        <x:f>IFERROR(G453/F453,0)</x:f>
        <x:v>0.24528301886792453</x:v>
      </x:c>
      <x:c r="K453" s="312" t="str">
        <x:f>IF(B453="Bilinmeyen Personel","Kontrol","OK")</x:f>
        <x:v>OK</x:v>
      </x:c>
    </x:row>
    <x:row r="454" ht="15.75">
      <x:c r="A454" s="313" t="n">
        <x:f t="shared" si="7">ROW()-ROW($A$2)+1</x:f>
        <x:v>453</x:v>
      </x:c>
      <x:c r="B454" s="313" t="s">
        <x:v>50</x:v>
      </x:c>
      <x:c r="C454" s="313" t="s">
        <x:v>56</x:v>
      </x:c>
      <x:c r="D454" s="314">
        <x:v>2</x:v>
      </x:c>
      <x:c r="E454" s="320">
        <x:v>5300</x:v>
      </x:c>
      <x:c r="F454" s="320">
        <x:v>10600</x:v>
      </x:c>
      <x:c r="G454" s="320">
        <x:v>2600</x:v>
      </x:c>
      <x:c r="H454" s="313" t="s">
        <x:v>62</x:v>
      </x:c>
      <x:c r="I454" s="313" t="s">
        <x:v>25</x:v>
      </x:c>
      <x:c r="J454" s="316" t="n">
        <x:f>IFERROR(G454/F454,0)</x:f>
        <x:v>0.24528301886792453</x:v>
      </x:c>
      <x:c r="K454" s="312" t="str">
        <x:f>IF(B454="Bilinmeyen Personel","Kontrol","OK")</x:f>
        <x:v>OK</x:v>
      </x:c>
    </x:row>
    <x:row r="455" ht="15.75">
      <x:c r="A455" s="313" t="n">
        <x:f t="shared" si="7">ROW()-ROW($A$2)+1</x:f>
        <x:v>454</x:v>
      </x:c>
      <x:c r="B455" s="313" t="s">
        <x:v>29</x:v>
      </x:c>
      <x:c r="C455" s="313" t="s">
        <x:v>26</x:v>
      </x:c>
      <x:c r="D455" s="314">
        <x:v>2</x:v>
      </x:c>
      <x:c r="E455" s="320">
        <x:v>7250</x:v>
      </x:c>
      <x:c r="F455" s="320">
        <x:v>14500</x:v>
      </x:c>
      <x:c r="G455" s="320">
        <x:v>4500</x:v>
      </x:c>
      <x:c r="H455" s="313" t="s">
        <x:v>62</x:v>
      </x:c>
      <x:c r="I455" s="313" t="s">
        <x:v>42</x:v>
      </x:c>
      <x:c r="J455" s="316" t="n">
        <x:f>IFERROR(G455/F455,0)</x:f>
        <x:v>0.3103448275862069</x:v>
      </x:c>
      <x:c r="K455" s="312" t="str">
        <x:f>IF(B455="Bilinmeyen Personel","Kontrol","OK")</x:f>
        <x:v>OK</x:v>
      </x:c>
    </x:row>
    <x:row r="456" ht="15.75">
      <x:c r="A456" s="313" t="n">
        <x:f t="shared" si="7">ROW()-ROW($A$2)+1</x:f>
        <x:v>455</x:v>
      </x:c>
      <x:c r="B456" s="313" t="s">
        <x:v>29</x:v>
      </x:c>
      <x:c r="C456" s="313" t="s">
        <x:v>53</x:v>
      </x:c>
      <x:c r="D456" s="314">
        <x:v>3</x:v>
      </x:c>
      <x:c r="E456" s="320">
        <x:v>1200</x:v>
      </x:c>
      <x:c r="F456" s="320">
        <x:v>3600</x:v>
      </x:c>
      <x:c r="G456" s="320">
        <x:v>1200</x:v>
      </x:c>
      <x:c r="H456" s="313" t="s">
        <x:v>62</x:v>
      </x:c>
      <x:c r="I456" s="313" t="s">
        <x:v>42</x:v>
      </x:c>
      <x:c r="J456" s="316" t="n">
        <x:f>IFERROR(G456/F456,0)</x:f>
        <x:v>0.3333333333333333</x:v>
      </x:c>
      <x:c r="K456" s="312" t="str">
        <x:f>IF(B456="Bilinmeyen Personel","Kontrol","OK")</x:f>
        <x:v>OK</x:v>
      </x:c>
    </x:row>
    <x:row r="457" ht="15.75">
      <x:c r="A457" s="313" t="n">
        <x:f t="shared" si="7">ROW()-ROW($A$2)+1</x:f>
        <x:v>456</x:v>
      </x:c>
      <x:c r="B457" s="313" t="s">
        <x:v>19</x:v>
      </x:c>
      <x:c r="C457" s="313" t="s">
        <x:v>10</x:v>
      </x:c>
      <x:c r="D457" s="314">
        <x:v>1</x:v>
      </x:c>
      <x:c r="E457" s="320">
        <x:v>6000</x:v>
      </x:c>
      <x:c r="F457" s="320">
        <x:v>6000</x:v>
      </x:c>
      <x:c r="G457" s="320">
        <x:v>2000</x:v>
      </x:c>
      <x:c r="H457" s="313" t="s">
        <x:v>62</x:v>
      </x:c>
      <x:c r="I457" s="313" t="s">
        <x:v>12</x:v>
      </x:c>
      <x:c r="J457" s="316" t="n">
        <x:f>IFERROR(G457/F457,0)</x:f>
        <x:v>0.3333333333333333</x:v>
      </x:c>
      <x:c r="K457" s="312" t="str">
        <x:f>IF(B457="Bilinmeyen Personel","Kontrol","OK")</x:f>
        <x:v>OK</x:v>
      </x:c>
    </x:row>
    <x:row r="458" ht="15.75">
      <x:c r="A458" s="313" t="n">
        <x:f t="shared" si="7">ROW()-ROW($A$2)+1</x:f>
        <x:v>457</x:v>
      </x:c>
      <x:c r="B458" s="313" t="s">
        <x:v>16</x:v>
      </x:c>
      <x:c r="C458" s="313" t="s">
        <x:v>17</x:v>
      </x:c>
      <x:c r="D458" s="314">
        <x:v>3</x:v>
      </x:c>
      <x:c r="E458" s="320">
        <x:v>8450</x:v>
      </x:c>
      <x:c r="F458" s="320">
        <x:v>25350</x:v>
      </x:c>
      <x:c r="G458" s="320">
        <x:v>7350</x:v>
      </x:c>
      <x:c r="H458" s="313" t="s">
        <x:v>62</x:v>
      </x:c>
      <x:c r="I458" s="313" t="s">
        <x:v>37</x:v>
      </x:c>
      <x:c r="J458" s="316" t="n">
        <x:f>IFERROR(G458/F458,0)</x:f>
        <x:v>0.28994082840236685</x:v>
      </x:c>
      <x:c r="K458" s="312" t="str">
        <x:f>IF(B458="Bilinmeyen Personel","Kontrol","OK")</x:f>
        <x:v>OK</x:v>
      </x:c>
    </x:row>
    <x:row r="459" ht="15.75">
      <x:c r="A459" s="313" t="n">
        <x:f t="shared" si="7">ROW()-ROW($A$2)+1</x:f>
        <x:v>458</x:v>
      </x:c>
      <x:c r="B459" s="313" t="s">
        <x:v>32</x:v>
      </x:c>
      <x:c r="C459" s="313" t="s">
        <x:v>45</x:v>
      </x:c>
      <x:c r="D459" s="314">
        <x:v>1</x:v>
      </x:c>
      <x:c r="E459" s="320">
        <x:v>4200</x:v>
      </x:c>
      <x:c r="F459" s="320">
        <x:v>4200</x:v>
      </x:c>
      <x:c r="G459" s="320">
        <x:v>1200</x:v>
      </x:c>
      <x:c r="H459" s="313" t="s">
        <x:v>62</x:v>
      </x:c>
      <x:c r="I459" s="313" t="s">
        <x:v>25</x:v>
      </x:c>
      <x:c r="J459" s="316" t="n">
        <x:f>IFERROR(G459/F459,0)</x:f>
        <x:v>0.2857142857142857</x:v>
      </x:c>
      <x:c r="K459" s="312" t="str">
        <x:f>IF(B459="Bilinmeyen Personel","Kontrol","OK")</x:f>
        <x:v>OK</x:v>
      </x:c>
    </x:row>
    <x:row r="460" ht="15.75">
      <x:c r="A460" s="313" t="n">
        <x:f t="shared" si="7">ROW()-ROW($A$2)+1</x:f>
        <x:v>459</x:v>
      </x:c>
      <x:c r="B460" s="313" t="s">
        <x:v>32</x:v>
      </x:c>
      <x:c r="C460" s="313" t="s">
        <x:v>39</x:v>
      </x:c>
      <x:c r="D460" s="314">
        <x:v>3</x:v>
      </x:c>
      <x:c r="E460" s="320">
        <x:v>10590</x:v>
      </x:c>
      <x:c r="F460" s="320">
        <x:v>31770</x:v>
      </x:c>
      <x:c r="G460" s="320">
        <x:v>13770</x:v>
      </x:c>
      <x:c r="H460" s="313" t="s">
        <x:v>62</x:v>
      </x:c>
      <x:c r="I460" s="313" t="s">
        <x:v>28</x:v>
      </x:c>
      <x:c r="J460" s="316" t="n">
        <x:f>IFERROR(G460/F460,0)</x:f>
        <x:v>0.43342776203966005</x:v>
      </x:c>
      <x:c r="K460" s="312" t="str">
        <x:f>IF(B460="Bilinmeyen Personel","Kontrol","OK")</x:f>
        <x:v>OK</x:v>
      </x:c>
    </x:row>
    <x:row r="461" ht="15.75">
      <x:c r="A461" s="313" t="n">
        <x:f t="shared" si="7">ROW()-ROW($A$2)+1</x:f>
        <x:v>460</x:v>
      </x:c>
      <x:c r="B461" s="313" t="s">
        <x:v>29</x:v>
      </x:c>
      <x:c r="C461" s="313" t="s">
        <x:v>53</x:v>
      </x:c>
      <x:c r="D461" s="314">
        <x:v>1</x:v>
      </x:c>
      <x:c r="E461" s="320">
        <x:v>1200</x:v>
      </x:c>
      <x:c r="F461" s="320">
        <x:v>1200</x:v>
      </x:c>
      <x:c r="G461" s="320">
        <x:v>400</x:v>
      </x:c>
      <x:c r="H461" s="313" t="s">
        <x:v>62</x:v>
      </x:c>
      <x:c r="I461" s="313" t="s">
        <x:v>42</x:v>
      </x:c>
      <x:c r="J461" s="316" t="n">
        <x:f>IFERROR(G461/F461,0)</x:f>
        <x:v>0.3333333333333333</x:v>
      </x:c>
      <x:c r="K461" s="312" t="str">
        <x:f>IF(B461="Bilinmeyen Personel","Kontrol","OK")</x:f>
        <x:v>OK</x:v>
      </x:c>
    </x:row>
    <x:row r="462" ht="15.75">
      <x:c r="A462" s="313" t="n">
        <x:f t="shared" si="7">ROW()-ROW($A$2)+1</x:f>
        <x:v>461</x:v>
      </x:c>
      <x:c r="B462" s="313" t="s">
        <x:v>48</x:v>
      </x:c>
      <x:c r="C462" s="313" t="s">
        <x:v>27</x:v>
      </x:c>
      <x:c r="D462" s="314">
        <x:v>2</x:v>
      </x:c>
      <x:c r="E462" s="320">
        <x:v>1100</x:v>
      </x:c>
      <x:c r="F462" s="320">
        <x:v>2200</x:v>
      </x:c>
      <x:c r="G462" s="320">
        <x:v>600</x:v>
      </x:c>
      <x:c r="H462" s="313" t="s">
        <x:v>62</x:v>
      </x:c>
      <x:c r="I462" s="313" t="s">
        <x:v>44</x:v>
      </x:c>
      <x:c r="J462" s="316" t="n">
        <x:f>IFERROR(G462/F462,0)</x:f>
        <x:v>0.2727272727272727</x:v>
      </x:c>
      <x:c r="K462" s="312" t="str">
        <x:f>IF(B462="Bilinmeyen Personel","Kontrol","OK")</x:f>
        <x:v>OK</x:v>
      </x:c>
    </x:row>
    <x:row r="463" ht="15.75">
      <x:c r="A463" s="313" t="n">
        <x:f t="shared" si="7">ROW()-ROW($A$2)+1</x:f>
        <x:v>462</x:v>
      </x:c>
      <x:c r="B463" s="313" t="s">
        <x:v>40</x:v>
      </x:c>
      <x:c r="C463" s="313" t="s">
        <x:v>58</x:v>
      </x:c>
      <x:c r="D463" s="314">
        <x:v>2</x:v>
      </x:c>
      <x:c r="E463" s="320">
        <x:v>3700</x:v>
      </x:c>
      <x:c r="F463" s="320">
        <x:v>7400</x:v>
      </x:c>
      <x:c r="G463" s="320">
        <x:v>1400</x:v>
      </x:c>
      <x:c r="H463" s="313" t="s">
        <x:v>62</x:v>
      </x:c>
      <x:c r="I463" s="313" t="s">
        <x:v>15</x:v>
      </x:c>
      <x:c r="J463" s="316" t="n">
        <x:f>IFERROR(G463/F463,0)</x:f>
        <x:v>0.1891891891891892</x:v>
      </x:c>
      <x:c r="K463" s="312" t="str">
        <x:f>IF(B463="Bilinmeyen Personel","Kontrol","OK")</x:f>
        <x:v>OK</x:v>
      </x:c>
    </x:row>
    <x:row r="464" ht="15.75">
      <x:c r="A464" s="313" t="n">
        <x:f t="shared" si="7">ROW()-ROW($A$2)+1</x:f>
        <x:v>463</x:v>
      </x:c>
      <x:c r="B464" s="313" t="s">
        <x:v>13</x:v>
      </x:c>
      <x:c r="C464" s="313" t="s">
        <x:v>58</x:v>
      </x:c>
      <x:c r="D464" s="314">
        <x:v>1</x:v>
      </x:c>
      <x:c r="E464" s="320">
        <x:v>3700</x:v>
      </x:c>
      <x:c r="F464" s="320">
        <x:v>3700</x:v>
      </x:c>
      <x:c r="G464" s="320">
        <x:v>700</x:v>
      </x:c>
      <x:c r="H464" s="313" t="s">
        <x:v>62</x:v>
      </x:c>
      <x:c r="I464" s="313" t="s">
        <x:v>44</x:v>
      </x:c>
      <x:c r="J464" s="316" t="n">
        <x:f>IFERROR(G464/F464,0)</x:f>
        <x:v>0.1891891891891892</x:v>
      </x:c>
      <x:c r="K464" s="312" t="str">
        <x:f>IF(B464="Bilinmeyen Personel","Kontrol","OK")</x:f>
        <x:v>OK</x:v>
      </x:c>
    </x:row>
    <x:row r="465" ht="15.75">
      <x:c r="A465" s="313" t="n">
        <x:f t="shared" si="7">ROW()-ROW($A$2)+1</x:f>
        <x:v>464</x:v>
      </x:c>
      <x:c r="B465" s="313" t="s">
        <x:v>32</x:v>
      </x:c>
      <x:c r="C465" s="313" t="s">
        <x:v>27</x:v>
      </x:c>
      <x:c r="D465" s="314">
        <x:v>3</x:v>
      </x:c>
      <x:c r="E465" s="320">
        <x:v>1100</x:v>
      </x:c>
      <x:c r="F465" s="320">
        <x:v>3300</x:v>
      </x:c>
      <x:c r="G465" s="320">
        <x:v>900</x:v>
      </x:c>
      <x:c r="H465" s="313" t="s">
        <x:v>62</x:v>
      </x:c>
      <x:c r="I465" s="313" t="s">
        <x:v>41</x:v>
      </x:c>
      <x:c r="J465" s="316" t="n">
        <x:f>IFERROR(G465/F465,0)</x:f>
        <x:v>0.2727272727272727</x:v>
      </x:c>
      <x:c r="K465" s="312" t="str">
        <x:f>IF(B465="Bilinmeyen Personel","Kontrol","OK")</x:f>
        <x:v>OK</x:v>
      </x:c>
    </x:row>
    <x:row r="466" ht="15.75">
      <x:c r="A466" s="313" t="n">
        <x:f t="shared" si="7">ROW()-ROW($A$2)+1</x:f>
        <x:v>465</x:v>
      </x:c>
      <x:c r="B466" s="313" t="s">
        <x:v>29</x:v>
      </x:c>
      <x:c r="C466" s="313" t="s">
        <x:v>58</x:v>
      </x:c>
      <x:c r="D466" s="314">
        <x:v>1</x:v>
      </x:c>
      <x:c r="E466" s="320">
        <x:v>3700</x:v>
      </x:c>
      <x:c r="F466" s="320">
        <x:v>3700</x:v>
      </x:c>
      <x:c r="G466" s="320">
        <x:v>700</x:v>
      </x:c>
      <x:c r="H466" s="313" t="s">
        <x:v>62</x:v>
      </x:c>
      <x:c r="I466" s="313" t="s">
        <x:v>25</x:v>
      </x:c>
      <x:c r="J466" s="316" t="n">
        <x:f>IFERROR(G466/F466,0)</x:f>
        <x:v>0.1891891891891892</x:v>
      </x:c>
      <x:c r="K466" s="312" t="str">
        <x:f>IF(B466="Bilinmeyen Personel","Kontrol","OK")</x:f>
        <x:v>OK</x:v>
      </x:c>
    </x:row>
    <x:row r="467" ht="15.75">
      <x:c r="A467" s="313" t="n">
        <x:f t="shared" si="7">ROW()-ROW($A$2)+1</x:f>
        <x:v>466</x:v>
      </x:c>
      <x:c r="B467" s="313" t="s">
        <x:v>48</x:v>
      </x:c>
      <x:c r="C467" s="313" t="s">
        <x:v>43</x:v>
      </x:c>
      <x:c r="D467" s="314">
        <x:v>1</x:v>
      </x:c>
      <x:c r="E467" s="320">
        <x:v>1490</x:v>
      </x:c>
      <x:c r="F467" s="320">
        <x:v>1490</x:v>
      </x:c>
      <x:c r="G467" s="320">
        <x:v>690</x:v>
      </x:c>
      <x:c r="H467" s="313" t="s">
        <x:v>62</x:v>
      </x:c>
      <x:c r="I467" s="313" t="s">
        <x:v>15</x:v>
      </x:c>
      <x:c r="J467" s="316" t="n">
        <x:f>IFERROR(G467/F467,0)</x:f>
        <x:v>0.46308724832214765</x:v>
      </x:c>
      <x:c r="K467" s="312" t="str">
        <x:f>IF(B467="Bilinmeyen Personel","Kontrol","OK")</x:f>
        <x:v>OK</x:v>
      </x:c>
    </x:row>
    <x:row r="468" ht="15.75">
      <x:c r="A468" s="313" t="n">
        <x:f t="shared" si="7">ROW()-ROW($A$2)+1</x:f>
        <x:v>467</x:v>
      </x:c>
      <x:c r="B468" s="313" t="s">
        <x:v>40</x:v>
      </x:c>
      <x:c r="C468" s="313" t="s">
        <x:v>57</x:v>
      </x:c>
      <x:c r="D468" s="314">
        <x:v>1</x:v>
      </x:c>
      <x:c r="E468" s="320">
        <x:v>1500</x:v>
      </x:c>
      <x:c r="F468" s="320">
        <x:v>1500</x:v>
      </x:c>
      <x:c r="G468" s="320">
        <x:v>700</x:v>
      </x:c>
      <x:c r="H468" s="313" t="s">
        <x:v>62</x:v>
      </x:c>
      <x:c r="I468" s="313" t="s">
        <x:v>37</x:v>
      </x:c>
      <x:c r="J468" s="316" t="n">
        <x:f>IFERROR(G468/F468,0)</x:f>
        <x:v>0.4666666666666667</x:v>
      </x:c>
      <x:c r="K468" s="312" t="str">
        <x:f>IF(B468="Bilinmeyen Personel","Kontrol","OK")</x:f>
        <x:v>OK</x:v>
      </x:c>
    </x:row>
    <x:row r="469" ht="15.75">
      <x:c r="A469" s="313" t="n">
        <x:f t="shared" si="7">ROW()-ROW($A$2)+1</x:f>
        <x:v>468</x:v>
      </x:c>
      <x:c r="B469" s="313" t="s">
        <x:v>38</x:v>
      </x:c>
      <x:c r="C469" s="313" t="s">
        <x:v>34</x:v>
      </x:c>
      <x:c r="D469" s="314">
        <x:v>2</x:v>
      </x:c>
      <x:c r="E469" s="320">
        <x:v>1090</x:v>
      </x:c>
      <x:c r="F469" s="320">
        <x:v>2180</x:v>
      </x:c>
      <x:c r="G469" s="320">
        <x:v>580</x:v>
      </x:c>
      <x:c r="H469" s="313" t="s">
        <x:v>62</x:v>
      </x:c>
      <x:c r="I469" s="313" t="s">
        <x:v>42</x:v>
      </x:c>
      <x:c r="J469" s="316" t="n">
        <x:f>IFERROR(G469/F469,0)</x:f>
        <x:v>0.26605504587155965</x:v>
      </x:c>
      <x:c r="K469" s="312" t="str">
        <x:f>IF(B469="Bilinmeyen Personel","Kontrol","OK")</x:f>
        <x:v>OK</x:v>
      </x:c>
    </x:row>
    <x:row r="470" ht="15.75">
      <x:c r="A470" s="313" t="n">
        <x:f t="shared" si="7">ROW()-ROW($A$2)+1</x:f>
        <x:v>469</x:v>
      </x:c>
      <x:c r="B470" s="313" t="s">
        <x:v>48</x:v>
      </x:c>
      <x:c r="C470" s="313" t="s">
        <x:v>33</x:v>
      </x:c>
      <x:c r="D470" s="314">
        <x:v>3</x:v>
      </x:c>
      <x:c r="E470" s="320">
        <x:v>1800</x:v>
      </x:c>
      <x:c r="F470" s="320">
        <x:v>5400</x:v>
      </x:c>
      <x:c r="G470" s="320">
        <x:v>3000</x:v>
      </x:c>
      <x:c r="H470" s="313" t="s">
        <x:v>62</x:v>
      </x:c>
      <x:c r="I470" s="313" t="s">
        <x:v>18</x:v>
      </x:c>
      <x:c r="J470" s="316" t="n">
        <x:f>IFERROR(G470/F470,0)</x:f>
        <x:v>0.5555555555555556</x:v>
      </x:c>
      <x:c r="K470" s="312" t="str">
        <x:f>IF(B470="Bilinmeyen Personel","Kontrol","OK")</x:f>
        <x:v>OK</x:v>
      </x:c>
    </x:row>
    <x:row r="471" ht="15.75">
      <x:c r="A471" s="313" t="n">
        <x:f t="shared" si="7">ROW()-ROW($A$2)+1</x:f>
        <x:v>470</x:v>
      </x:c>
      <x:c r="B471" s="313" t="s">
        <x:v>35</x:v>
      </x:c>
      <x:c r="C471" s="313" t="s">
        <x:v>55</x:v>
      </x:c>
      <x:c r="D471" s="314">
        <x:v>2</x:v>
      </x:c>
      <x:c r="E471" s="320">
        <x:v>7530</x:v>
      </x:c>
      <x:c r="F471" s="320">
        <x:v>15060</x:v>
      </x:c>
      <x:c r="G471" s="320">
        <x:v>3060</x:v>
      </x:c>
      <x:c r="H471" s="313" t="s">
        <x:v>62</x:v>
      </x:c>
      <x:c r="I471" s="313" t="s">
        <x:v>21</x:v>
      </x:c>
      <x:c r="J471" s="316" t="n">
        <x:f>IFERROR(G471/F471,0)</x:f>
        <x:v>0.20318725099601595</x:v>
      </x:c>
      <x:c r="K471" s="312" t="str">
        <x:f>IF(B471="Bilinmeyen Personel","Kontrol","OK")</x:f>
        <x:v>OK</x:v>
      </x:c>
    </x:row>
    <x:row r="472" ht="15.75">
      <x:c r="A472" s="313" t="n">
        <x:f t="shared" si="7">ROW()-ROW($A$2)+1</x:f>
        <x:v>471</x:v>
      </x:c>
      <x:c r="B472" s="313" t="s">
        <x:v>32</x:v>
      </x:c>
      <x:c r="C472" s="313" t="s">
        <x:v>27</x:v>
      </x:c>
      <x:c r="D472" s="314">
        <x:v>3</x:v>
      </x:c>
      <x:c r="E472" s="320">
        <x:v>1100</x:v>
      </x:c>
      <x:c r="F472" s="320">
        <x:v>3300</x:v>
      </x:c>
      <x:c r="G472" s="320">
        <x:v>900</x:v>
      </x:c>
      <x:c r="H472" s="313" t="s">
        <x:v>62</x:v>
      </x:c>
      <x:c r="I472" s="313" t="s">
        <x:v>46</x:v>
      </x:c>
      <x:c r="J472" s="316" t="n">
        <x:f>IFERROR(G472/F472,0)</x:f>
        <x:v>0.2727272727272727</x:v>
      </x:c>
      <x:c r="K472" s="312" t="str">
        <x:f>IF(B472="Bilinmeyen Personel","Kontrol","OK")</x:f>
        <x:v>OK</x:v>
      </x:c>
    </x:row>
    <x:row r="473" ht="15.75">
      <x:c r="A473" s="313" t="n">
        <x:f t="shared" si="7">ROW()-ROW($A$2)+1</x:f>
        <x:v>472</x:v>
      </x:c>
      <x:c r="B473" s="313" t="s">
        <x:v>40</x:v>
      </x:c>
      <x:c r="C473" s="313" t="s">
        <x:v>20</x:v>
      </x:c>
      <x:c r="D473" s="314">
        <x:v>3</x:v>
      </x:c>
      <x:c r="E473" s="320">
        <x:v>1350</x:v>
      </x:c>
      <x:c r="F473" s="320">
        <x:v>4050</x:v>
      </x:c>
      <x:c r="G473" s="320">
        <x:v>1650</x:v>
      </x:c>
      <x:c r="H473" s="313" t="s">
        <x:v>62</x:v>
      </x:c>
      <x:c r="I473" s="313" t="s">
        <x:v>37</x:v>
      </x:c>
      <x:c r="J473" s="316" t="n">
        <x:f>IFERROR(G473/F473,0)</x:f>
        <x:v>0.4074074074074074</x:v>
      </x:c>
      <x:c r="K473" s="312" t="str">
        <x:f>IF(B473="Bilinmeyen Personel","Kontrol","OK")</x:f>
        <x:v>OK</x:v>
      </x:c>
    </x:row>
    <x:row r="474" ht="15.75">
      <x:c r="A474" s="313" t="n">
        <x:f t="shared" si="7">ROW()-ROW($A$2)+1</x:f>
        <x:v>473</x:v>
      </x:c>
      <x:c r="B474" s="313" t="s">
        <x:v>38</x:v>
      </x:c>
      <x:c r="C474" s="313" t="s">
        <x:v>20</x:v>
      </x:c>
      <x:c r="D474" s="314">
        <x:v>1</x:v>
      </x:c>
      <x:c r="E474" s="320">
        <x:v>1350</x:v>
      </x:c>
      <x:c r="F474" s="320">
        <x:v>1350</x:v>
      </x:c>
      <x:c r="G474" s="320">
        <x:v>550</x:v>
      </x:c>
      <x:c r="H474" s="313" t="s">
        <x:v>62</x:v>
      </x:c>
      <x:c r="I474" s="313" t="s">
        <x:v>31</x:v>
      </x:c>
      <x:c r="J474" s="316" t="n">
        <x:f>IFERROR(G474/F474,0)</x:f>
        <x:v>0.4074074074074074</x:v>
      </x:c>
      <x:c r="K474" s="312" t="str">
        <x:f>IF(B474="Bilinmeyen Personel","Kontrol","OK")</x:f>
        <x:v>OK</x:v>
      </x:c>
    </x:row>
    <x:row r="475" ht="15.75">
      <x:c r="A475" s="313" t="n">
        <x:f t="shared" si="7">ROW()-ROW($A$2)+1</x:f>
        <x:v>474</x:v>
      </x:c>
      <x:c r="B475" s="313" t="s">
        <x:v>35</x:v>
      </x:c>
      <x:c r="C475" s="313" t="s">
        <x:v>34</x:v>
      </x:c>
      <x:c r="D475" s="314">
        <x:v>2</x:v>
      </x:c>
      <x:c r="E475" s="320">
        <x:v>1090</x:v>
      </x:c>
      <x:c r="F475" s="320">
        <x:v>2180</x:v>
      </x:c>
      <x:c r="G475" s="320">
        <x:v>580</x:v>
      </x:c>
      <x:c r="H475" s="313" t="s">
        <x:v>62</x:v>
      </x:c>
      <x:c r="I475" s="313" t="s">
        <x:v>21</x:v>
      </x:c>
      <x:c r="J475" s="316" t="n">
        <x:f>IFERROR(G475/F475,0)</x:f>
        <x:v>0.26605504587155965</x:v>
      </x:c>
      <x:c r="K475" s="312" t="str">
        <x:f>IF(B475="Bilinmeyen Personel","Kontrol","OK")</x:f>
        <x:v>OK</x:v>
      </x:c>
    </x:row>
    <x:row r="476" ht="15.75">
      <x:c r="A476" s="313" t="n">
        <x:f t="shared" si="7">ROW()-ROW($A$2)+1</x:f>
        <x:v>475</x:v>
      </x:c>
      <x:c r="B476" s="313" t="s">
        <x:v>35</x:v>
      </x:c>
      <x:c r="C476" s="313" t="s">
        <x:v>45</x:v>
      </x:c>
      <x:c r="D476" s="314">
        <x:v>1</x:v>
      </x:c>
      <x:c r="E476" s="320">
        <x:v>4200</x:v>
      </x:c>
      <x:c r="F476" s="320">
        <x:v>4200</x:v>
      </x:c>
      <x:c r="G476" s="320">
        <x:v>1200</x:v>
      </x:c>
      <x:c r="H476" s="313" t="s">
        <x:v>62</x:v>
      </x:c>
      <x:c r="I476" s="313" t="s">
        <x:v>12</x:v>
      </x:c>
      <x:c r="J476" s="316" t="n">
        <x:f>IFERROR(G476/F476,0)</x:f>
        <x:v>0.2857142857142857</x:v>
      </x:c>
      <x:c r="K476" s="312" t="str">
        <x:f>IF(B476="Bilinmeyen Personel","Kontrol","OK")</x:f>
        <x:v>OK</x:v>
      </x:c>
    </x:row>
    <x:row r="477" ht="15.75">
      <x:c r="A477" s="313" t="n">
        <x:f t="shared" si="7">ROW()-ROW($A$2)+1</x:f>
        <x:v>476</x:v>
      </x:c>
      <x:c r="B477" s="313" t="s">
        <x:v>40</x:v>
      </x:c>
      <x:c r="C477" s="313" t="s">
        <x:v>33</x:v>
      </x:c>
      <x:c r="D477" s="314">
        <x:v>2</x:v>
      </x:c>
      <x:c r="E477" s="320">
        <x:v>1800</x:v>
      </x:c>
      <x:c r="F477" s="320">
        <x:v>3600</x:v>
      </x:c>
      <x:c r="G477" s="320">
        <x:v>2000</x:v>
      </x:c>
      <x:c r="H477" s="313" t="s">
        <x:v>62</x:v>
      </x:c>
      <x:c r="I477" s="313" t="s">
        <x:v>46</x:v>
      </x:c>
      <x:c r="J477" s="316" t="n">
        <x:f>IFERROR(G477/F477,0)</x:f>
        <x:v>0.5555555555555556</x:v>
      </x:c>
      <x:c r="K477" s="312" t="str">
        <x:f>IF(B477="Bilinmeyen Personel","Kontrol","OK")</x:f>
        <x:v>OK</x:v>
      </x:c>
    </x:row>
    <x:row r="478" ht="15.75">
      <x:c r="A478" s="313" t="n">
        <x:f t="shared" si="7">ROW()-ROW($A$2)+1</x:f>
        <x:v>477</x:v>
      </x:c>
      <x:c r="B478" s="313" t="s">
        <x:v>50</x:v>
      </x:c>
      <x:c r="C478" s="313" t="s">
        <x:v>34</x:v>
      </x:c>
      <x:c r="D478" s="314">
        <x:v>1</x:v>
      </x:c>
      <x:c r="E478" s="320">
        <x:v>1090</x:v>
      </x:c>
      <x:c r="F478" s="320">
        <x:v>1090</x:v>
      </x:c>
      <x:c r="G478" s="320">
        <x:v>290</x:v>
      </x:c>
      <x:c r="H478" s="313" t="s">
        <x:v>62</x:v>
      </x:c>
      <x:c r="I478" s="313" t="s">
        <x:v>28</x:v>
      </x:c>
      <x:c r="J478" s="316" t="n">
        <x:f>IFERROR(G478/F478,0)</x:f>
        <x:v>0.26605504587155965</x:v>
      </x:c>
      <x:c r="K478" s="312" t="str">
        <x:f>IF(B478="Bilinmeyen Personel","Kontrol","OK")</x:f>
        <x:v>OK</x:v>
      </x:c>
    </x:row>
    <x:row r="479" ht="15.75">
      <x:c r="A479" s="313" t="n">
        <x:f t="shared" si="7">ROW()-ROW($A$2)+1</x:f>
        <x:v>478</x:v>
      </x:c>
      <x:c r="B479" s="313" t="s">
        <x:v>9</x:v>
      </x:c>
      <x:c r="C479" s="313" t="s">
        <x:v>24</x:v>
      </x:c>
      <x:c r="D479" s="314">
        <x:v>1</x:v>
      </x:c>
      <x:c r="E479" s="320">
        <x:v>7600</x:v>
      </x:c>
      <x:c r="F479" s="320">
        <x:v>7600</x:v>
      </x:c>
      <x:c r="G479" s="320">
        <x:v>1600</x:v>
      </x:c>
      <x:c r="H479" s="313" t="s">
        <x:v>62</x:v>
      </x:c>
      <x:c r="I479" s="313" t="s">
        <x:v>25</x:v>
      </x:c>
      <x:c r="J479" s="316" t="n">
        <x:f>IFERROR(G479/F479,0)</x:f>
        <x:v>0.21052631578947367</x:v>
      </x:c>
      <x:c r="K479" s="312" t="str">
        <x:f>IF(B479="Bilinmeyen Personel","Kontrol","OK")</x:f>
        <x:v>OK</x:v>
      </x:c>
    </x:row>
    <x:row r="480" ht="15.75">
      <x:c r="A480" s="313" t="n">
        <x:f t="shared" si="7">ROW()-ROW($A$2)+1</x:f>
        <x:v>479</x:v>
      </x:c>
      <x:c r="B480" s="313" t="s">
        <x:v>38</x:v>
      </x:c>
      <x:c r="C480" s="313" t="s">
        <x:v>24</x:v>
      </x:c>
      <x:c r="D480" s="314">
        <x:v>3</x:v>
      </x:c>
      <x:c r="E480" s="320">
        <x:v>7600</x:v>
      </x:c>
      <x:c r="F480" s="320">
        <x:v>22800</x:v>
      </x:c>
      <x:c r="G480" s="320">
        <x:v>4800</x:v>
      </x:c>
      <x:c r="H480" s="313" t="s">
        <x:v>62</x:v>
      </x:c>
      <x:c r="I480" s="313" t="s">
        <x:v>15</x:v>
      </x:c>
      <x:c r="J480" s="316" t="n">
        <x:f>IFERROR(G480/F480,0)</x:f>
        <x:v>0.21052631578947367</x:v>
      </x:c>
      <x:c r="K480" s="312" t="str">
        <x:f>IF(B480="Bilinmeyen Personel","Kontrol","OK")</x:f>
        <x:v>OK</x:v>
      </x:c>
    </x:row>
    <x:row r="481" ht="15.75">
      <x:c r="A481" s="313" t="n">
        <x:f t="shared" si="7">ROW()-ROW($A$2)+1</x:f>
        <x:v>480</x:v>
      </x:c>
      <x:c r="B481" s="313" t="s">
        <x:v>16</x:v>
      </x:c>
      <x:c r="C481" s="313" t="s">
        <x:v>58</x:v>
      </x:c>
      <x:c r="D481" s="314">
        <x:v>1</x:v>
      </x:c>
      <x:c r="E481" s="320">
        <x:v>3700</x:v>
      </x:c>
      <x:c r="F481" s="320">
        <x:v>3700</x:v>
      </x:c>
      <x:c r="G481" s="320">
        <x:v>700</x:v>
      </x:c>
      <x:c r="H481" s="313" t="s">
        <x:v>62</x:v>
      </x:c>
      <x:c r="I481" s="313" t="s">
        <x:v>37</x:v>
      </x:c>
      <x:c r="J481" s="316" t="n">
        <x:f>IFERROR(G481/F481,0)</x:f>
        <x:v>0.1891891891891892</x:v>
      </x:c>
      <x:c r="K481" s="312" t="str">
        <x:f>IF(B481="Bilinmeyen Personel","Kontrol","OK")</x:f>
        <x:v>OK</x:v>
      </x:c>
    </x:row>
    <x:row r="482" ht="15.75">
      <x:c r="A482" s="313" t="n">
        <x:f t="shared" si="7">ROW()-ROW($A$2)+1</x:f>
        <x:v>481</x:v>
      </x:c>
      <x:c r="B482" s="313" t="s">
        <x:v>23</x:v>
      </x:c>
      <x:c r="C482" s="313" t="s">
        <x:v>26</x:v>
      </x:c>
      <x:c r="D482" s="314">
        <x:v>3</x:v>
      </x:c>
      <x:c r="E482" s="320">
        <x:v>7250</x:v>
      </x:c>
      <x:c r="F482" s="320">
        <x:v>21750</x:v>
      </x:c>
      <x:c r="G482" s="320">
        <x:v>6750</x:v>
      </x:c>
      <x:c r="H482" s="313" t="s">
        <x:v>62</x:v>
      </x:c>
      <x:c r="I482" s="313" t="s">
        <x:v>41</x:v>
      </x:c>
      <x:c r="J482" s="316" t="n">
        <x:f>IFERROR(G482/F482,0)</x:f>
        <x:v>0.3103448275862069</x:v>
      </x:c>
      <x:c r="K482" s="312" t="str">
        <x:f>IF(B482="Bilinmeyen Personel","Kontrol","OK")</x:f>
        <x:v>OK</x:v>
      </x:c>
    </x:row>
    <x:row r="483" ht="15.75">
      <x:c r="A483" s="313" t="n">
        <x:f t="shared" si="7">ROW()-ROW($A$2)+1</x:f>
        <x:v>482</x:v>
      </x:c>
      <x:c r="B483" s="313" t="s">
        <x:v>13</x:v>
      </x:c>
      <x:c r="C483" s="313" t="s">
        <x:v>24</x:v>
      </x:c>
      <x:c r="D483" s="314">
        <x:v>3</x:v>
      </x:c>
      <x:c r="E483" s="320">
        <x:v>7600</x:v>
      </x:c>
      <x:c r="F483" s="320">
        <x:v>22800</x:v>
      </x:c>
      <x:c r="G483" s="320">
        <x:v>4800</x:v>
      </x:c>
      <x:c r="H483" s="313" t="s">
        <x:v>62</x:v>
      </x:c>
      <x:c r="I483" s="313" t="s">
        <x:v>41</x:v>
      </x:c>
      <x:c r="J483" s="316" t="n">
        <x:f>IFERROR(G483/F483,0)</x:f>
        <x:v>0.21052631578947367</x:v>
      </x:c>
      <x:c r="K483" s="312" t="str">
        <x:f>IF(B483="Bilinmeyen Personel","Kontrol","OK")</x:f>
        <x:v>OK</x:v>
      </x:c>
    </x:row>
    <x:row r="484" ht="15.75">
      <x:c r="A484" s="313" t="n">
        <x:f t="shared" si="7">ROW()-ROW($A$2)+1</x:f>
        <x:v>483</x:v>
      </x:c>
      <x:c r="B484" s="313" t="s">
        <x:v>48</x:v>
      </x:c>
      <x:c r="C484" s="313" t="s">
        <x:v>45</x:v>
      </x:c>
      <x:c r="D484" s="314">
        <x:v>1</x:v>
      </x:c>
      <x:c r="E484" s="320">
        <x:v>4200</x:v>
      </x:c>
      <x:c r="F484" s="320">
        <x:v>4200</x:v>
      </x:c>
      <x:c r="G484" s="320">
        <x:v>1200</x:v>
      </x:c>
      <x:c r="H484" s="313" t="s">
        <x:v>62</x:v>
      </x:c>
      <x:c r="I484" s="313" t="s">
        <x:v>18</x:v>
      </x:c>
      <x:c r="J484" s="316" t="n">
        <x:f>IFERROR(G484/F484,0)</x:f>
        <x:v>0.2857142857142857</x:v>
      </x:c>
      <x:c r="K484" s="312" t="str">
        <x:f>IF(B484="Bilinmeyen Personel","Kontrol","OK")</x:f>
        <x:v>OK</x:v>
      </x:c>
    </x:row>
    <x:row r="485" ht="15.75">
      <x:c r="A485" s="313" t="n">
        <x:f t="shared" si="7">ROW()-ROW($A$2)+1</x:f>
        <x:v>484</x:v>
      </x:c>
      <x:c r="B485" s="313" t="s">
        <x:v>32</x:v>
      </x:c>
      <x:c r="C485" s="313" t="s">
        <x:v>52</x:v>
      </x:c>
      <x:c r="D485" s="314">
        <x:v>3</x:v>
      </x:c>
      <x:c r="E485" s="320">
        <x:v>1250</x:v>
      </x:c>
      <x:c r="F485" s="320">
        <x:v>3750</x:v>
      </x:c>
      <x:c r="G485" s="320">
        <x:v>1350</x:v>
      </x:c>
      <x:c r="H485" s="313" t="s">
        <x:v>62</x:v>
      </x:c>
      <x:c r="I485" s="313" t="s">
        <x:v>25</x:v>
      </x:c>
      <x:c r="J485" s="316" t="n">
        <x:f>IFERROR(G485/F485,0)</x:f>
        <x:v>0.36</x:v>
      </x:c>
      <x:c r="K485" s="312" t="str">
        <x:f>IF(B485="Bilinmeyen Personel","Kontrol","OK")</x:f>
        <x:v>OK</x:v>
      </x:c>
    </x:row>
    <x:row r="486" ht="15.75">
      <x:c r="A486" s="313" t="n">
        <x:f t="shared" si="7">ROW()-ROW($A$2)+1</x:f>
        <x:v>485</x:v>
      </x:c>
      <x:c r="B486" s="313" t="s">
        <x:v>38</x:v>
      </x:c>
      <x:c r="C486" s="313" t="s">
        <x:v>34</x:v>
      </x:c>
      <x:c r="D486" s="314">
        <x:v>1</x:v>
      </x:c>
      <x:c r="E486" s="320">
        <x:v>1090</x:v>
      </x:c>
      <x:c r="F486" s="320">
        <x:v>1090</x:v>
      </x:c>
      <x:c r="G486" s="320">
        <x:v>290</x:v>
      </x:c>
      <x:c r="H486" s="313" t="s">
        <x:v>62</x:v>
      </x:c>
      <x:c r="I486" s="313" t="s">
        <x:v>44</x:v>
      </x:c>
      <x:c r="J486" s="316" t="n">
        <x:f>IFERROR(G486/F486,0)</x:f>
        <x:v>0.26605504587155965</x:v>
      </x:c>
      <x:c r="K486" s="312" t="str">
        <x:f>IF(B486="Bilinmeyen Personel","Kontrol","OK")</x:f>
        <x:v>OK</x:v>
      </x:c>
    </x:row>
    <x:row r="487" ht="15.75">
      <x:c r="A487" s="313" t="n">
        <x:f t="shared" si="7">ROW()-ROW($A$2)+1</x:f>
        <x:v>486</x:v>
      </x:c>
      <x:c r="B487" s="313" t="s">
        <x:v>19</x:v>
      </x:c>
      <x:c r="C487" s="313" t="s">
        <x:v>22</x:v>
      </x:c>
      <x:c r="D487" s="314">
        <x:v>1</x:v>
      </x:c>
      <x:c r="E487" s="320">
        <x:v>2180</x:v>
      </x:c>
      <x:c r="F487" s="320">
        <x:v>2180</x:v>
      </x:c>
      <x:c r="G487" s="320">
        <x:v>680</x:v>
      </x:c>
      <x:c r="H487" s="313" t="s">
        <x:v>62</x:v>
      </x:c>
      <x:c r="I487" s="313" t="s">
        <x:v>54</x:v>
      </x:c>
      <x:c r="J487" s="316" t="n">
        <x:f>IFERROR(G487/F487,0)</x:f>
        <x:v>0.3119266055045872</x:v>
      </x:c>
      <x:c r="K487" s="312" t="str">
        <x:f>IF(B487="Bilinmeyen Personel","Kontrol","OK")</x:f>
        <x:v>OK</x:v>
      </x:c>
    </x:row>
    <x:row r="488" ht="15.75">
      <x:c r="A488" s="313" t="n">
        <x:f t="shared" si="7">ROW()-ROW($A$2)+1</x:f>
        <x:v>487</x:v>
      </x:c>
      <x:c r="B488" s="313" t="s">
        <x:v>50</x:v>
      </x:c>
      <x:c r="C488" s="313" t="s">
        <x:v>58</x:v>
      </x:c>
      <x:c r="D488" s="314">
        <x:v>2</x:v>
      </x:c>
      <x:c r="E488" s="320">
        <x:v>3700</x:v>
      </x:c>
      <x:c r="F488" s="320">
        <x:v>7400</x:v>
      </x:c>
      <x:c r="G488" s="320">
        <x:v>1400</x:v>
      </x:c>
      <x:c r="H488" s="313" t="s">
        <x:v>62</x:v>
      </x:c>
      <x:c r="I488" s="313" t="s">
        <x:v>21</x:v>
      </x:c>
      <x:c r="J488" s="316" t="n">
        <x:f>IFERROR(G488/F488,0)</x:f>
        <x:v>0.1891891891891892</x:v>
      </x:c>
      <x:c r="K488" s="312" t="str">
        <x:f>IF(B488="Bilinmeyen Personel","Kontrol","OK")</x:f>
        <x:v>OK</x:v>
      </x:c>
    </x:row>
    <x:row r="489" ht="15.75">
      <x:c r="A489" s="313" t="n">
        <x:f t="shared" si="7">ROW()-ROW($A$2)+1</x:f>
        <x:v>488</x:v>
      </x:c>
      <x:c r="B489" s="313" t="s">
        <x:v>40</x:v>
      </x:c>
      <x:c r="C489" s="313" t="s">
        <x:v>10</x:v>
      </x:c>
      <x:c r="D489" s="314">
        <x:v>2</x:v>
      </x:c>
      <x:c r="E489" s="320">
        <x:v>6000</x:v>
      </x:c>
      <x:c r="F489" s="320">
        <x:v>12000</x:v>
      </x:c>
      <x:c r="G489" s="320">
        <x:v>4000</x:v>
      </x:c>
      <x:c r="H489" s="313" t="s">
        <x:v>62</x:v>
      </x:c>
      <x:c r="I489" s="313" t="s">
        <x:v>54</x:v>
      </x:c>
      <x:c r="J489" s="316" t="n">
        <x:f>IFERROR(G489/F489,0)</x:f>
        <x:v>0.3333333333333333</x:v>
      </x:c>
      <x:c r="K489" s="312" t="str">
        <x:f>IF(B489="Bilinmeyen Personel","Kontrol","OK")</x:f>
        <x:v>OK</x:v>
      </x:c>
    </x:row>
    <x:row r="490" ht="15.75">
      <x:c r="A490" s="313" t="n">
        <x:f t="shared" si="7">ROW()-ROW($A$2)+1</x:f>
        <x:v>489</x:v>
      </x:c>
      <x:c r="B490" s="313" t="s">
        <x:v>48</x:v>
      </x:c>
      <x:c r="C490" s="313" t="s">
        <x:v>52</x:v>
      </x:c>
      <x:c r="D490" s="314">
        <x:v>2</x:v>
      </x:c>
      <x:c r="E490" s="320">
        <x:v>1250</x:v>
      </x:c>
      <x:c r="F490" s="320">
        <x:v>2500</x:v>
      </x:c>
      <x:c r="G490" s="320">
        <x:v>900</x:v>
      </x:c>
      <x:c r="H490" s="313" t="s">
        <x:v>62</x:v>
      </x:c>
      <x:c r="I490" s="313" t="s">
        <x:v>25</x:v>
      </x:c>
      <x:c r="J490" s="316" t="n">
        <x:f>IFERROR(G490/F490,0)</x:f>
        <x:v>0.36</x:v>
      </x:c>
      <x:c r="K490" s="312" t="str">
        <x:f>IF(B490="Bilinmeyen Personel","Kontrol","OK")</x:f>
        <x:v>OK</x:v>
      </x:c>
    </x:row>
    <x:row r="491" ht="15.75">
      <x:c r="A491" s="313" t="n">
        <x:f t="shared" si="7">ROW()-ROW($A$2)+1</x:f>
        <x:v>490</x:v>
      </x:c>
      <x:c r="B491" s="313" t="s">
        <x:v>50</x:v>
      </x:c>
      <x:c r="C491" s="313" t="s">
        <x:v>24</x:v>
      </x:c>
      <x:c r="D491" s="314">
        <x:v>1</x:v>
      </x:c>
      <x:c r="E491" s="320">
        <x:v>7600</x:v>
      </x:c>
      <x:c r="F491" s="320">
        <x:v>7600</x:v>
      </x:c>
      <x:c r="G491" s="320">
        <x:v>1600</x:v>
      </x:c>
      <x:c r="H491" s="313" t="s">
        <x:v>62</x:v>
      </x:c>
      <x:c r="I491" s="313" t="s">
        <x:v>54</x:v>
      </x:c>
      <x:c r="J491" s="316" t="n">
        <x:f>IFERROR(G491/F491,0)</x:f>
        <x:v>0.21052631578947367</x:v>
      </x:c>
      <x:c r="K491" s="312" t="str">
        <x:f>IF(B491="Bilinmeyen Personel","Kontrol","OK")</x:f>
        <x:v>OK</x:v>
      </x:c>
    </x:row>
    <x:row r="492" ht="15.75">
      <x:c r="A492" s="313" t="n">
        <x:f t="shared" si="7">ROW()-ROW($A$2)+1</x:f>
        <x:v>491</x:v>
      </x:c>
      <x:c r="B492" s="313" t="s">
        <x:v>9</x:v>
      </x:c>
      <x:c r="C492" s="313" t="s">
        <x:v>14</x:v>
      </x:c>
      <x:c r="D492" s="314">
        <x:v>2</x:v>
      </x:c>
      <x:c r="E492" s="320">
        <x:v>1400</x:v>
      </x:c>
      <x:c r="F492" s="320">
        <x:v>2800</x:v>
      </x:c>
      <x:c r="G492" s="320">
        <x:v>1200</x:v>
      </x:c>
      <x:c r="H492" s="313" t="s">
        <x:v>62</x:v>
      </x:c>
      <x:c r="I492" s="313" t="s">
        <x:v>41</x:v>
      </x:c>
      <x:c r="J492" s="316" t="n">
        <x:f>IFERROR(G492/F492,0)</x:f>
        <x:v>0.42857142857142855</x:v>
      </x:c>
      <x:c r="K492" s="312" t="str">
        <x:f>IF(B492="Bilinmeyen Personel","Kontrol","OK")</x:f>
        <x:v>OK</x:v>
      </x:c>
    </x:row>
    <x:row r="493" ht="15.75">
      <x:c r="A493" s="313" t="n">
        <x:f t="shared" si="7">ROW()-ROW($A$2)+1</x:f>
        <x:v>492</x:v>
      </x:c>
      <x:c r="B493" s="313" t="s">
        <x:v>23</x:v>
      </x:c>
      <x:c r="C493" s="313" t="s">
        <x:v>22</x:v>
      </x:c>
      <x:c r="D493" s="314">
        <x:v>2</x:v>
      </x:c>
      <x:c r="E493" s="320">
        <x:v>2180</x:v>
      </x:c>
      <x:c r="F493" s="320">
        <x:v>4360</x:v>
      </x:c>
      <x:c r="G493" s="320">
        <x:v>1360</x:v>
      </x:c>
      <x:c r="H493" s="313" t="s">
        <x:v>62</x:v>
      </x:c>
      <x:c r="I493" s="313" t="s">
        <x:v>41</x:v>
      </x:c>
      <x:c r="J493" s="316" t="n">
        <x:f>IFERROR(G493/F493,0)</x:f>
        <x:v>0.3119266055045872</x:v>
      </x:c>
      <x:c r="K493" s="312" t="str">
        <x:f>IF(B493="Bilinmeyen Personel","Kontrol","OK")</x:f>
        <x:v>OK</x:v>
      </x:c>
    </x:row>
    <x:row r="494" ht="15.75">
      <x:c r="A494" s="313" t="n">
        <x:f t="shared" si="7">ROW()-ROW($A$2)+1</x:f>
        <x:v>493</x:v>
      </x:c>
      <x:c r="B494" s="313" t="s">
        <x:v>9</x:v>
      </x:c>
      <x:c r="C494" s="313" t="s">
        <x:v>33</x:v>
      </x:c>
      <x:c r="D494" s="314">
        <x:v>3</x:v>
      </x:c>
      <x:c r="E494" s="320">
        <x:v>1800</x:v>
      </x:c>
      <x:c r="F494" s="320">
        <x:v>5400</x:v>
      </x:c>
      <x:c r="G494" s="320">
        <x:v>3000</x:v>
      </x:c>
      <x:c r="H494" s="313" t="s">
        <x:v>62</x:v>
      </x:c>
      <x:c r="I494" s="313" t="s">
        <x:v>21</x:v>
      </x:c>
      <x:c r="J494" s="316" t="n">
        <x:f>IFERROR(G494/F494,0)</x:f>
        <x:v>0.5555555555555556</x:v>
      </x:c>
      <x:c r="K494" s="312" t="str">
        <x:f>IF(B494="Bilinmeyen Personel","Kontrol","OK")</x:f>
        <x:v>OK</x:v>
      </x:c>
    </x:row>
    <x:row r="495" ht="15.75">
      <x:c r="A495" s="313" t="n">
        <x:f t="shared" si="7">ROW()-ROW($A$2)+1</x:f>
        <x:v>494</x:v>
      </x:c>
      <x:c r="B495" s="313" t="s">
        <x:v>16</x:v>
      </x:c>
      <x:c r="C495" s="313" t="s">
        <x:v>57</x:v>
      </x:c>
      <x:c r="D495" s="314">
        <x:v>1</x:v>
      </x:c>
      <x:c r="E495" s="320">
        <x:v>1500</x:v>
      </x:c>
      <x:c r="F495" s="320">
        <x:v>1500</x:v>
      </x:c>
      <x:c r="G495" s="320">
        <x:v>700</x:v>
      </x:c>
      <x:c r="H495" s="313" t="s">
        <x:v>62</x:v>
      </x:c>
      <x:c r="I495" s="313" t="s">
        <x:v>31</x:v>
      </x:c>
      <x:c r="J495" s="316" t="n">
        <x:f>IFERROR(G495/F495,0)</x:f>
        <x:v>0.4666666666666667</x:v>
      </x:c>
      <x:c r="K495" s="312" t="str">
        <x:f>IF(B495="Bilinmeyen Personel","Kontrol","OK")</x:f>
        <x:v>OK</x:v>
      </x:c>
    </x:row>
    <x:row r="496" ht="15.75">
      <x:c r="A496" s="313" t="n">
        <x:f t="shared" si="7">ROW()-ROW($A$2)+1</x:f>
        <x:v>495</x:v>
      </x:c>
      <x:c r="B496" s="313" t="s">
        <x:v>32</x:v>
      </x:c>
      <x:c r="C496" s="313" t="s">
        <x:v>17</x:v>
      </x:c>
      <x:c r="D496" s="314">
        <x:v>3</x:v>
      </x:c>
      <x:c r="E496" s="320">
        <x:v>8450</x:v>
      </x:c>
      <x:c r="F496" s="320">
        <x:v>25350</x:v>
      </x:c>
      <x:c r="G496" s="320">
        <x:v>7350</x:v>
      </x:c>
      <x:c r="H496" s="313" t="s">
        <x:v>62</x:v>
      </x:c>
      <x:c r="I496" s="313" t="s">
        <x:v>44</x:v>
      </x:c>
      <x:c r="J496" s="316" t="n">
        <x:f>IFERROR(G496/F496,0)</x:f>
        <x:v>0.28994082840236685</x:v>
      </x:c>
      <x:c r="K496" s="312" t="str">
        <x:f>IF(B496="Bilinmeyen Personel","Kontrol","OK")</x:f>
        <x:v>OK</x:v>
      </x:c>
    </x:row>
    <x:row r="497" ht="15.75">
      <x:c r="A497" s="313" t="n">
        <x:f t="shared" si="7">ROW()-ROW($A$2)+1</x:f>
        <x:v>496</x:v>
      </x:c>
      <x:c r="B497" s="313" t="s">
        <x:v>40</x:v>
      </x:c>
      <x:c r="C497" s="313" t="s">
        <x:v>57</x:v>
      </x:c>
      <x:c r="D497" s="314">
        <x:v>3</x:v>
      </x:c>
      <x:c r="E497" s="320">
        <x:v>1500</x:v>
      </x:c>
      <x:c r="F497" s="320">
        <x:v>4500</x:v>
      </x:c>
      <x:c r="G497" s="320">
        <x:v>2100</x:v>
      </x:c>
      <x:c r="H497" s="313" t="s">
        <x:v>62</x:v>
      </x:c>
      <x:c r="I497" s="313" t="s">
        <x:v>31</x:v>
      </x:c>
      <x:c r="J497" s="316" t="n">
        <x:f>IFERROR(G497/F497,0)</x:f>
        <x:v>0.4666666666666667</x:v>
      </x:c>
      <x:c r="K497" s="312" t="str">
        <x:f>IF(B497="Bilinmeyen Personel","Kontrol","OK")</x:f>
        <x:v>OK</x:v>
      </x:c>
    </x:row>
    <x:row r="498" ht="15.75">
      <x:c r="A498" s="313" t="n">
        <x:f t="shared" si="7">ROW()-ROW($A$2)+1</x:f>
        <x:v>497</x:v>
      </x:c>
      <x:c r="B498" s="313" t="s">
        <x:v>29</x:v>
      </x:c>
      <x:c r="C498" s="313" t="s">
        <x:v>10</x:v>
      </x:c>
      <x:c r="D498" s="314">
        <x:v>3</x:v>
      </x:c>
      <x:c r="E498" s="320">
        <x:v>6000</x:v>
      </x:c>
      <x:c r="F498" s="320">
        <x:v>18000</x:v>
      </x:c>
      <x:c r="G498" s="320">
        <x:v>6000</x:v>
      </x:c>
      <x:c r="H498" s="313" t="s">
        <x:v>62</x:v>
      </x:c>
      <x:c r="I498" s="313" t="s">
        <x:v>28</x:v>
      </x:c>
      <x:c r="J498" s="316" t="n">
        <x:f>IFERROR(G498/F498,0)</x:f>
        <x:v>0.3333333333333333</x:v>
      </x:c>
      <x:c r="K498" s="312" t="str">
        <x:f>IF(B498="Bilinmeyen Personel","Kontrol","OK")</x:f>
        <x:v>OK</x:v>
      </x:c>
    </x:row>
    <x:row r="499" ht="15.75">
      <x:c r="A499" s="313" t="n">
        <x:f t="shared" si="7">ROW()-ROW($A$2)+1</x:f>
        <x:v>498</x:v>
      </x:c>
      <x:c r="B499" s="313" t="s">
        <x:v>50</x:v>
      </x:c>
      <x:c r="C499" s="313" t="s">
        <x:v>53</x:v>
      </x:c>
      <x:c r="D499" s="314">
        <x:v>1</x:v>
      </x:c>
      <x:c r="E499" s="320">
        <x:v>1200</x:v>
      </x:c>
      <x:c r="F499" s="320">
        <x:v>1200</x:v>
      </x:c>
      <x:c r="G499" s="320">
        <x:v>400</x:v>
      </x:c>
      <x:c r="H499" s="313" t="s">
        <x:v>62</x:v>
      </x:c>
      <x:c r="I499" s="313" t="s">
        <x:v>37</x:v>
      </x:c>
      <x:c r="J499" s="316" t="n">
        <x:f>IFERROR(G499/F499,0)</x:f>
        <x:v>0.3333333333333333</x:v>
      </x:c>
      <x:c r="K499" s="312" t="str">
        <x:f>IF(B499="Bilinmeyen Personel","Kontrol","OK")</x:f>
        <x:v>OK</x:v>
      </x:c>
    </x:row>
    <x:row r="500" ht="15.75">
      <x:c r="A500" s="313" t="n">
        <x:f t="shared" si="7">ROW()-ROW($A$2)+1</x:f>
        <x:v>499</x:v>
      </x:c>
      <x:c r="B500" s="313" t="s">
        <x:v>9</x:v>
      </x:c>
      <x:c r="C500" s="313" t="s">
        <x:v>45</x:v>
      </x:c>
      <x:c r="D500" s="314">
        <x:v>3</x:v>
      </x:c>
      <x:c r="E500" s="320">
        <x:v>4200</x:v>
      </x:c>
      <x:c r="F500" s="320">
        <x:v>12600</x:v>
      </x:c>
      <x:c r="G500" s="320">
        <x:v>3600</x:v>
      </x:c>
      <x:c r="H500" s="313" t="s">
        <x:v>62</x:v>
      </x:c>
      <x:c r="I500" s="313" t="s">
        <x:v>44</x:v>
      </x:c>
      <x:c r="J500" s="316" t="n">
        <x:f>IFERROR(G500/F500,0)</x:f>
        <x:v>0.2857142857142857</x:v>
      </x:c>
      <x:c r="K500" s="312" t="str">
        <x:f>IF(B500="Bilinmeyen Personel","Kontrol","OK")</x:f>
        <x:v>OK</x:v>
      </x:c>
    </x:row>
    <x:row r="501" ht="15.75">
      <x:c r="A501" s="313" t="n">
        <x:f t="shared" si="7">ROW()-ROW($A$2)+1</x:f>
        <x:v>500</x:v>
      </x:c>
      <x:c r="B501" s="313" t="s">
        <x:v>48</x:v>
      </x:c>
      <x:c r="C501" s="313" t="s">
        <x:v>24</x:v>
      </x:c>
      <x:c r="D501" s="314">
        <x:v>3</x:v>
      </x:c>
      <x:c r="E501" s="320">
        <x:v>7600</x:v>
      </x:c>
      <x:c r="F501" s="320">
        <x:v>22800</x:v>
      </x:c>
      <x:c r="G501" s="320">
        <x:v>4800</x:v>
      </x:c>
      <x:c r="H501" s="313" t="s">
        <x:v>62</x:v>
      </x:c>
      <x:c r="I501" s="313" t="s">
        <x:v>41</x:v>
      </x:c>
      <x:c r="J501" s="316" t="n">
        <x:f>IFERROR(G501/F501,0)</x:f>
        <x:v>0.21052631578947367</x:v>
      </x:c>
      <x:c r="K501" s="312" t="str">
        <x:f>IF(B501="Bilinmeyen Personel","Kontrol","OK")</x:f>
        <x:v>OK</x:v>
      </x:c>
    </x:row>
    <x:row r="502" ht="15.75">
      <x:c r="A502" s="313" t="n">
        <x:f t="shared" si="7">ROW()-ROW($A$2)+1</x:f>
        <x:v>501</x:v>
      </x:c>
      <x:c r="B502" s="313" t="s">
        <x:v>29</x:v>
      </x:c>
      <x:c r="C502" s="313" t="s">
        <x:v>26</x:v>
      </x:c>
      <x:c r="D502" s="314">
        <x:v>2</x:v>
      </x:c>
      <x:c r="E502" s="320">
        <x:v>7250</x:v>
      </x:c>
      <x:c r="F502" s="320">
        <x:v>14500</x:v>
      </x:c>
      <x:c r="G502" s="320">
        <x:v>4500</x:v>
      </x:c>
      <x:c r="H502" s="313" t="s">
        <x:v>62</x:v>
      </x:c>
      <x:c r="I502" s="313" t="s">
        <x:v>25</x:v>
      </x:c>
      <x:c r="J502" s="316" t="n">
        <x:f>IFERROR(G502/F502,0)</x:f>
        <x:v>0.3103448275862069</x:v>
      </x:c>
      <x:c r="K502" s="312" t="str">
        <x:f>IF(B502="Bilinmeyen Personel","Kontrol","OK")</x:f>
        <x:v>OK</x:v>
      </x:c>
    </x:row>
    <x:row r="503" ht="15.75">
      <x:c r="A503" s="313" t="n">
        <x:f t="shared" si="7">ROW()-ROW($A$2)+1</x:f>
        <x:v>502</x:v>
      </x:c>
      <x:c r="B503" s="313" t="s">
        <x:v>13</x:v>
      </x:c>
      <x:c r="C503" s="313" t="s">
        <x:v>55</x:v>
      </x:c>
      <x:c r="D503" s="314">
        <x:v>2</x:v>
      </x:c>
      <x:c r="E503" s="320">
        <x:v>7530</x:v>
      </x:c>
      <x:c r="F503" s="320">
        <x:v>15060</x:v>
      </x:c>
      <x:c r="G503" s="320">
        <x:v>3060</x:v>
      </x:c>
      <x:c r="H503" s="313" t="s">
        <x:v>62</x:v>
      </x:c>
      <x:c r="I503" s="313" t="s">
        <x:v>18</x:v>
      </x:c>
      <x:c r="J503" s="316" t="n">
        <x:f>IFERROR(G503/F503,0)</x:f>
        <x:v>0.20318725099601595</x:v>
      </x:c>
      <x:c r="K503" s="312" t="str">
        <x:f>IF(B503="Bilinmeyen Personel","Kontrol","OK")</x:f>
        <x:v>OK</x:v>
      </x:c>
    </x:row>
    <x:row r="504" ht="15.75">
      <x:c r="A504" s="313" t="n">
        <x:f t="shared" si="7">ROW()-ROW($A$2)+1</x:f>
        <x:v>503</x:v>
      </x:c>
      <x:c r="B504" s="313" t="s">
        <x:v>16</x:v>
      </x:c>
      <x:c r="C504" s="313" t="s">
        <x:v>26</x:v>
      </x:c>
      <x:c r="D504" s="314">
        <x:v>2</x:v>
      </x:c>
      <x:c r="E504" s="320">
        <x:v>7250</x:v>
      </x:c>
      <x:c r="F504" s="320">
        <x:v>14500</x:v>
      </x:c>
      <x:c r="G504" s="320">
        <x:v>4500</x:v>
      </x:c>
      <x:c r="H504" s="313" t="s">
        <x:v>62</x:v>
      </x:c>
      <x:c r="I504" s="313" t="s">
        <x:v>25</x:v>
      </x:c>
      <x:c r="J504" s="316" t="n">
        <x:f>IFERROR(G504/F504,0)</x:f>
        <x:v>0.3103448275862069</x:v>
      </x:c>
      <x:c r="K504" s="312" t="str">
        <x:f>IF(B504="Bilinmeyen Personel","Kontrol","OK")</x:f>
        <x:v>OK</x:v>
      </x:c>
    </x:row>
    <x:row r="505" ht="15.75">
      <x:c r="A505" s="313" t="n">
        <x:f t="shared" si="7">ROW()-ROW($A$2)+1</x:f>
        <x:v>504</x:v>
      </x:c>
      <x:c r="B505" s="313" t="s">
        <x:v>13</x:v>
      </x:c>
      <x:c r="C505" s="313" t="s">
        <x:v>10</x:v>
      </x:c>
      <x:c r="D505" s="314">
        <x:v>1</x:v>
      </x:c>
      <x:c r="E505" s="320">
        <x:v>6000</x:v>
      </x:c>
      <x:c r="F505" s="320">
        <x:v>6000</x:v>
      </x:c>
      <x:c r="G505" s="320">
        <x:v>2000</x:v>
      </x:c>
      <x:c r="H505" s="313" t="s">
        <x:v>62</x:v>
      </x:c>
      <x:c r="I505" s="313" t="s">
        <x:v>44</x:v>
      </x:c>
      <x:c r="J505" s="316" t="n">
        <x:f>IFERROR(G505/F505,0)</x:f>
        <x:v>0.3333333333333333</x:v>
      </x:c>
      <x:c r="K505" s="312" t="str">
        <x:f>IF(B505="Bilinmeyen Personel","Kontrol","OK")</x:f>
        <x:v>OK</x:v>
      </x:c>
    </x:row>
    <x:row r="506" ht="15.75">
      <x:c r="A506" s="313" t="n">
        <x:f t="shared" si="7">ROW()-ROW($A$2)+1</x:f>
        <x:v>505</x:v>
      </x:c>
      <x:c r="B506" s="313" t="s">
        <x:v>29</x:v>
      </x:c>
      <x:c r="C506" s="313" t="s">
        <x:v>53</x:v>
      </x:c>
      <x:c r="D506" s="314">
        <x:v>3</x:v>
      </x:c>
      <x:c r="E506" s="320">
        <x:v>1200</x:v>
      </x:c>
      <x:c r="F506" s="320">
        <x:v>3600</x:v>
      </x:c>
      <x:c r="G506" s="320">
        <x:v>1200</x:v>
      </x:c>
      <x:c r="H506" s="313" t="s">
        <x:v>62</x:v>
      </x:c>
      <x:c r="I506" s="313" t="s">
        <x:v>44</x:v>
      </x:c>
      <x:c r="J506" s="316" t="n">
        <x:f>IFERROR(G506/F506,0)</x:f>
        <x:v>0.3333333333333333</x:v>
      </x:c>
      <x:c r="K506" s="312" t="str">
        <x:f>IF(B506="Bilinmeyen Personel","Kontrol","OK")</x:f>
        <x:v>OK</x:v>
      </x:c>
    </x:row>
    <x:row r="507" ht="15.75">
      <x:c r="A507" s="313" t="n">
        <x:f t="shared" si="7">ROW()-ROW($A$2)+1</x:f>
        <x:v>506</x:v>
      </x:c>
      <x:c r="B507" s="313" t="s">
        <x:v>50</x:v>
      </x:c>
      <x:c r="C507" s="313" t="s">
        <x:v>56</x:v>
      </x:c>
      <x:c r="D507" s="314">
        <x:v>2</x:v>
      </x:c>
      <x:c r="E507" s="320">
        <x:v>5300</x:v>
      </x:c>
      <x:c r="F507" s="320">
        <x:v>10600</x:v>
      </x:c>
      <x:c r="G507" s="320">
        <x:v>2600</x:v>
      </x:c>
      <x:c r="H507" s="313" t="s">
        <x:v>62</x:v>
      </x:c>
      <x:c r="I507" s="313" t="s">
        <x:v>54</x:v>
      </x:c>
      <x:c r="J507" s="316" t="n">
        <x:f>IFERROR(G507/F507,0)</x:f>
        <x:v>0.24528301886792453</x:v>
      </x:c>
      <x:c r="K507" s="312" t="str">
        <x:f>IF(B507="Bilinmeyen Personel","Kontrol","OK")</x:f>
        <x:v>OK</x:v>
      </x:c>
    </x:row>
    <x:row r="508" ht="15.75">
      <x:c r="A508" s="313" t="n">
        <x:f t="shared" si="7">ROW()-ROW($A$2)+1</x:f>
        <x:v>507</x:v>
      </x:c>
      <x:c r="B508" s="313" t="s">
        <x:v>38</x:v>
      </x:c>
      <x:c r="C508" s="313" t="s">
        <x:v>17</x:v>
      </x:c>
      <x:c r="D508" s="314">
        <x:v>2</x:v>
      </x:c>
      <x:c r="E508" s="320">
        <x:v>8450</x:v>
      </x:c>
      <x:c r="F508" s="320">
        <x:v>16900</x:v>
      </x:c>
      <x:c r="G508" s="320">
        <x:v>4900</x:v>
      </x:c>
      <x:c r="H508" s="313" t="s">
        <x:v>62</x:v>
      </x:c>
      <x:c r="I508" s="313" t="s">
        <x:v>21</x:v>
      </x:c>
      <x:c r="J508" s="316" t="n">
        <x:f>IFERROR(G508/F508,0)</x:f>
        <x:v>0.28994082840236685</x:v>
      </x:c>
      <x:c r="K508" s="312" t="str">
        <x:f>IF(B508="Bilinmeyen Personel","Kontrol","OK")</x:f>
        <x:v>OK</x:v>
      </x:c>
    </x:row>
    <x:row r="509" ht="15.75">
      <x:c r="A509" s="313" t="n">
        <x:f t="shared" si="7">ROW()-ROW($A$2)+1</x:f>
        <x:v>508</x:v>
      </x:c>
      <x:c r="B509" s="313" t="s">
        <x:v>23</x:v>
      </x:c>
      <x:c r="C509" s="313" t="s">
        <x:v>20</x:v>
      </x:c>
      <x:c r="D509" s="314">
        <x:v>1</x:v>
      </x:c>
      <x:c r="E509" s="320">
        <x:v>1350</x:v>
      </x:c>
      <x:c r="F509" s="320">
        <x:v>1350</x:v>
      </x:c>
      <x:c r="G509" s="320">
        <x:v>550</x:v>
      </x:c>
      <x:c r="H509" s="313" t="s">
        <x:v>62</x:v>
      </x:c>
      <x:c r="I509" s="313" t="s">
        <x:v>25</x:v>
      </x:c>
      <x:c r="J509" s="316" t="n">
        <x:f>IFERROR(G509/F509,0)</x:f>
        <x:v>0.4074074074074074</x:v>
      </x:c>
      <x:c r="K509" s="312" t="str">
        <x:f>IF(B509="Bilinmeyen Personel","Kontrol","OK")</x:f>
        <x:v>OK</x:v>
      </x:c>
    </x:row>
    <x:row r="510" ht="15.75">
      <x:c r="A510" s="313" t="n">
        <x:f t="shared" si="7">ROW()-ROW($A$2)+1</x:f>
        <x:v>509</x:v>
      </x:c>
      <x:c r="B510" s="313" t="s">
        <x:v>32</x:v>
      </x:c>
      <x:c r="C510" s="313" t="s">
        <x:v>34</x:v>
      </x:c>
      <x:c r="D510" s="314">
        <x:v>1</x:v>
      </x:c>
      <x:c r="E510" s="320">
        <x:v>1090</x:v>
      </x:c>
      <x:c r="F510" s="320">
        <x:v>1090</x:v>
      </x:c>
      <x:c r="G510" s="320">
        <x:v>290</x:v>
      </x:c>
      <x:c r="H510" s="313" t="s">
        <x:v>62</x:v>
      </x:c>
      <x:c r="I510" s="313" t="s">
        <x:v>12</x:v>
      </x:c>
      <x:c r="J510" s="316" t="n">
        <x:f>IFERROR(G510/F510,0)</x:f>
        <x:v>0.26605504587155965</x:v>
      </x:c>
      <x:c r="K510" s="312" t="str">
        <x:f>IF(B510="Bilinmeyen Personel","Kontrol","OK")</x:f>
        <x:v>OK</x:v>
      </x:c>
    </x:row>
    <x:row r="511" ht="15.75">
      <x:c r="A511" s="313" t="n">
        <x:f t="shared" si="7">ROW()-ROW($A$2)+1</x:f>
        <x:v>510</x:v>
      </x:c>
      <x:c r="B511" s="313" t="s">
        <x:v>23</x:v>
      </x:c>
      <x:c r="C511" s="313" t="s">
        <x:v>22</x:v>
      </x:c>
      <x:c r="D511" s="314">
        <x:v>1</x:v>
      </x:c>
      <x:c r="E511" s="320">
        <x:v>2180</x:v>
      </x:c>
      <x:c r="F511" s="320">
        <x:v>2180</x:v>
      </x:c>
      <x:c r="G511" s="320">
        <x:v>680</x:v>
      </x:c>
      <x:c r="H511" s="313" t="s">
        <x:v>62</x:v>
      </x:c>
      <x:c r="I511" s="313" t="s">
        <x:v>37</x:v>
      </x:c>
      <x:c r="J511" s="316" t="n">
        <x:f>IFERROR(G511/F511,0)</x:f>
        <x:v>0.3119266055045872</x:v>
      </x:c>
      <x:c r="K511" s="312" t="str">
        <x:f>IF(B511="Bilinmeyen Personel","Kontrol","OK")</x:f>
        <x:v>OK</x:v>
      </x:c>
    </x:row>
    <x:row r="512" ht="15.75">
      <x:c r="A512" s="313" t="n">
        <x:f t="shared" si="7">ROW()-ROW($A$2)+1</x:f>
        <x:v>511</x:v>
      </x:c>
      <x:c r="B512" s="313" t="s">
        <x:v>13</x:v>
      </x:c>
      <x:c r="C512" s="313" t="s">
        <x:v>58</x:v>
      </x:c>
      <x:c r="D512" s="314">
        <x:v>1</x:v>
      </x:c>
      <x:c r="E512" s="320">
        <x:v>3700</x:v>
      </x:c>
      <x:c r="F512" s="320">
        <x:v>3700</x:v>
      </x:c>
      <x:c r="G512" s="320">
        <x:v>700</x:v>
      </x:c>
      <x:c r="H512" s="313" t="s">
        <x:v>62</x:v>
      </x:c>
      <x:c r="I512" s="313" t="s">
        <x:v>54</x:v>
      </x:c>
      <x:c r="J512" s="316" t="n">
        <x:f>IFERROR(G512/F512,0)</x:f>
        <x:v>0.1891891891891892</x:v>
      </x:c>
      <x:c r="K512" s="312" t="str">
        <x:f>IF(B512="Bilinmeyen Personel","Kontrol","OK")</x:f>
        <x:v>OK</x:v>
      </x:c>
    </x:row>
    <x:row r="513" ht="15.75">
      <x:c r="A513" s="313" t="n">
        <x:f t="shared" si="7">ROW()-ROW($A$2)+1</x:f>
        <x:v>512</x:v>
      </x:c>
      <x:c r="B513" s="313" t="s">
        <x:v>32</x:v>
      </x:c>
      <x:c r="C513" s="313" t="s">
        <x:v>27</x:v>
      </x:c>
      <x:c r="D513" s="314">
        <x:v>3</x:v>
      </x:c>
      <x:c r="E513" s="320">
        <x:v>1100</x:v>
      </x:c>
      <x:c r="F513" s="320">
        <x:v>3300</x:v>
      </x:c>
      <x:c r="G513" s="320">
        <x:v>900</x:v>
      </x:c>
      <x:c r="H513" s="313" t="s">
        <x:v>62</x:v>
      </x:c>
      <x:c r="I513" s="313" t="s">
        <x:v>44</x:v>
      </x:c>
      <x:c r="J513" s="316" t="n">
        <x:f>IFERROR(G513/F513,0)</x:f>
        <x:v>0.2727272727272727</x:v>
      </x:c>
      <x:c r="K513" s="312" t="str">
        <x:f>IF(B513="Bilinmeyen Personel","Kontrol","OK")</x:f>
        <x:v>OK</x:v>
      </x:c>
    </x:row>
    <x:row r="514" ht="15.75">
      <x:c r="A514" s="313" t="n">
        <x:f t="shared" si="7">ROW()-ROW($A$2)+1</x:f>
        <x:v>513</x:v>
      </x:c>
      <x:c r="B514" s="313" t="s">
        <x:v>29</x:v>
      </x:c>
      <x:c r="C514" s="313" t="s">
        <x:v>58</x:v>
      </x:c>
      <x:c r="D514" s="314">
        <x:v>1</x:v>
      </x:c>
      <x:c r="E514" s="320">
        <x:v>3700</x:v>
      </x:c>
      <x:c r="F514" s="320">
        <x:v>3700</x:v>
      </x:c>
      <x:c r="G514" s="320">
        <x:v>700</x:v>
      </x:c>
      <x:c r="H514" s="313" t="s">
        <x:v>62</x:v>
      </x:c>
      <x:c r="I514" s="313" t="s">
        <x:v>15</x:v>
      </x:c>
      <x:c r="J514" s="316" t="n">
        <x:f>IFERROR(G514/F514,0)</x:f>
        <x:v>0.1891891891891892</x:v>
      </x:c>
      <x:c r="K514" s="312" t="str">
        <x:f>IF(B514="Bilinmeyen Personel","Kontrol","OK")</x:f>
        <x:v>OK</x:v>
      </x:c>
    </x:row>
    <x:row r="515" ht="15.75">
      <x:c r="A515" s="313" t="n">
        <x:f t="shared" ref="A515:A578" si="8">ROW()-ROW($A$2)+1</x:f>
        <x:v>514</x:v>
      </x:c>
      <x:c r="B515" s="313" t="s">
        <x:v>48</x:v>
      </x:c>
      <x:c r="C515" s="313" t="s">
        <x:v>43</x:v>
      </x:c>
      <x:c r="D515" s="314">
        <x:v>1</x:v>
      </x:c>
      <x:c r="E515" s="320">
        <x:v>1490</x:v>
      </x:c>
      <x:c r="F515" s="320">
        <x:v>1490</x:v>
      </x:c>
      <x:c r="G515" s="320">
        <x:v>690</x:v>
      </x:c>
      <x:c r="H515" s="313" t="s">
        <x:v>62</x:v>
      </x:c>
      <x:c r="I515" s="313" t="s">
        <x:v>21</x:v>
      </x:c>
      <x:c r="J515" s="316" t="n">
        <x:f>IFERROR(G515/F515,0)</x:f>
        <x:v>0.46308724832214765</x:v>
      </x:c>
      <x:c r="K515" s="312" t="str">
        <x:f>IF(B515="Bilinmeyen Personel","Kontrol","OK")</x:f>
        <x:v>OK</x:v>
      </x:c>
    </x:row>
    <x:row r="516" ht="15.75">
      <x:c r="A516" s="313" t="n">
        <x:f t="shared" si="8">ROW()-ROW($A$2)+1</x:f>
        <x:v>515</x:v>
      </x:c>
      <x:c r="B516" s="313" t="s">
        <x:v>40</x:v>
      </x:c>
      <x:c r="C516" s="313" t="s">
        <x:v>57</x:v>
      </x:c>
      <x:c r="D516" s="314">
        <x:v>1</x:v>
      </x:c>
      <x:c r="E516" s="320">
        <x:v>1500</x:v>
      </x:c>
      <x:c r="F516" s="320">
        <x:v>1500</x:v>
      </x:c>
      <x:c r="G516" s="320">
        <x:v>700</x:v>
      </x:c>
      <x:c r="H516" s="313" t="s">
        <x:v>62</x:v>
      </x:c>
      <x:c r="I516" s="313" t="s">
        <x:v>21</x:v>
      </x:c>
      <x:c r="J516" s="316" t="n">
        <x:f>IFERROR(G516/F516,0)</x:f>
        <x:v>0.4666666666666667</x:v>
      </x:c>
      <x:c r="K516" s="312" t="str">
        <x:f>IF(B516="Bilinmeyen Personel","Kontrol","OK")</x:f>
        <x:v>OK</x:v>
      </x:c>
    </x:row>
    <x:row r="517" ht="15.75">
      <x:c r="A517" s="313" t="n">
        <x:f t="shared" si="8">ROW()-ROW($A$2)+1</x:f>
        <x:v>516</x:v>
      </x:c>
      <x:c r="B517" s="313" t="s">
        <x:v>38</x:v>
      </x:c>
      <x:c r="C517" s="313" t="s">
        <x:v>34</x:v>
      </x:c>
      <x:c r="D517" s="314">
        <x:v>2</x:v>
      </x:c>
      <x:c r="E517" s="320">
        <x:v>1090</x:v>
      </x:c>
      <x:c r="F517" s="320">
        <x:v>2180</x:v>
      </x:c>
      <x:c r="G517" s="320">
        <x:v>580</x:v>
      </x:c>
      <x:c r="H517" s="313" t="s">
        <x:v>62</x:v>
      </x:c>
      <x:c r="I517" s="313" t="s">
        <x:v>54</x:v>
      </x:c>
      <x:c r="J517" s="316" t="n">
        <x:f>IFERROR(G517/F517,0)</x:f>
        <x:v>0.26605504587155965</x:v>
      </x:c>
      <x:c r="K517" s="312" t="str">
        <x:f>IF(B517="Bilinmeyen Personel","Kontrol","OK")</x:f>
        <x:v>OK</x:v>
      </x:c>
    </x:row>
    <x:row r="518" ht="15.75">
      <x:c r="A518" s="313" t="n">
        <x:f t="shared" si="8">ROW()-ROW($A$2)+1</x:f>
        <x:v>517</x:v>
      </x:c>
      <x:c r="B518" s="313" t="s">
        <x:v>48</x:v>
      </x:c>
      <x:c r="C518" s="313" t="s">
        <x:v>33</x:v>
      </x:c>
      <x:c r="D518" s="314">
        <x:v>3</x:v>
      </x:c>
      <x:c r="E518" s="320">
        <x:v>1800</x:v>
      </x:c>
      <x:c r="F518" s="320">
        <x:v>5400</x:v>
      </x:c>
      <x:c r="G518" s="320">
        <x:v>3000</x:v>
      </x:c>
      <x:c r="H518" s="313" t="s">
        <x:v>62</x:v>
      </x:c>
      <x:c r="I518" s="313" t="s">
        <x:v>41</x:v>
      </x:c>
      <x:c r="J518" s="316" t="n">
        <x:f>IFERROR(G518/F518,0)</x:f>
        <x:v>0.5555555555555556</x:v>
      </x:c>
      <x:c r="K518" s="312" t="str">
        <x:f>IF(B518="Bilinmeyen Personel","Kontrol","OK")</x:f>
        <x:v>OK</x:v>
      </x:c>
    </x:row>
    <x:row r="519" ht="15.75">
      <x:c r="A519" s="313" t="n">
        <x:f t="shared" si="8">ROW()-ROW($A$2)+1</x:f>
        <x:v>518</x:v>
      </x:c>
      <x:c r="B519" s="313" t="s">
        <x:v>35</x:v>
      </x:c>
      <x:c r="C519" s="313" t="s">
        <x:v>55</x:v>
      </x:c>
      <x:c r="D519" s="314">
        <x:v>2</x:v>
      </x:c>
      <x:c r="E519" s="320">
        <x:v>7530</x:v>
      </x:c>
      <x:c r="F519" s="320">
        <x:v>15060</x:v>
      </x:c>
      <x:c r="G519" s="320">
        <x:v>3060</x:v>
      </x:c>
      <x:c r="H519" s="313" t="s">
        <x:v>62</x:v>
      </x:c>
      <x:c r="I519" s="313" t="s">
        <x:v>31</x:v>
      </x:c>
      <x:c r="J519" s="316" t="n">
        <x:f>IFERROR(G519/F519,0)</x:f>
        <x:v>0.20318725099601595</x:v>
      </x:c>
      <x:c r="K519" s="312" t="str">
        <x:f>IF(B519="Bilinmeyen Personel","Kontrol","OK")</x:f>
        <x:v>OK</x:v>
      </x:c>
    </x:row>
    <x:row r="520" ht="15.75">
      <x:c r="A520" s="313" t="n">
        <x:f t="shared" si="8">ROW()-ROW($A$2)+1</x:f>
        <x:v>519</x:v>
      </x:c>
      <x:c r="B520" s="313" t="s">
        <x:v>32</x:v>
      </x:c>
      <x:c r="C520" s="313" t="s">
        <x:v>27</x:v>
      </x:c>
      <x:c r="D520" s="314">
        <x:v>3</x:v>
      </x:c>
      <x:c r="E520" s="320">
        <x:v>1100</x:v>
      </x:c>
      <x:c r="F520" s="320">
        <x:v>3300</x:v>
      </x:c>
      <x:c r="G520" s="320">
        <x:v>900</x:v>
      </x:c>
      <x:c r="H520" s="313" t="s">
        <x:v>62</x:v>
      </x:c>
      <x:c r="I520" s="313" t="s">
        <x:v>31</x:v>
      </x:c>
      <x:c r="J520" s="316" t="n">
        <x:f>IFERROR(G520/F520,0)</x:f>
        <x:v>0.2727272727272727</x:v>
      </x:c>
      <x:c r="K520" s="312" t="str">
        <x:f>IF(B520="Bilinmeyen Personel","Kontrol","OK")</x:f>
        <x:v>OK</x:v>
      </x:c>
    </x:row>
    <x:row r="521" ht="15.75">
      <x:c r="A521" s="313" t="n">
        <x:f t="shared" si="8">ROW()-ROW($A$2)+1</x:f>
        <x:v>520</x:v>
      </x:c>
      <x:c r="B521" s="313" t="s">
        <x:v>40</x:v>
      </x:c>
      <x:c r="C521" s="313" t="s">
        <x:v>20</x:v>
      </x:c>
      <x:c r="D521" s="314">
        <x:v>3</x:v>
      </x:c>
      <x:c r="E521" s="320">
        <x:v>1350</x:v>
      </x:c>
      <x:c r="F521" s="320">
        <x:v>4050</x:v>
      </x:c>
      <x:c r="G521" s="320">
        <x:v>1650</x:v>
      </x:c>
      <x:c r="H521" s="313" t="s">
        <x:v>62</x:v>
      </x:c>
      <x:c r="I521" s="313" t="s">
        <x:v>15</x:v>
      </x:c>
      <x:c r="J521" s="316" t="n">
        <x:f>IFERROR(G521/F521,0)</x:f>
        <x:v>0.4074074074074074</x:v>
      </x:c>
      <x:c r="K521" s="312" t="str">
        <x:f>IF(B521="Bilinmeyen Personel","Kontrol","OK")</x:f>
        <x:v>OK</x:v>
      </x:c>
    </x:row>
    <x:row r="522" ht="15.75">
      <x:c r="A522" s="313" t="n">
        <x:f t="shared" si="8">ROW()-ROW($A$2)+1</x:f>
        <x:v>521</x:v>
      </x:c>
      <x:c r="B522" s="313" t="s">
        <x:v>38</x:v>
      </x:c>
      <x:c r="C522" s="313" t="s">
        <x:v>20</x:v>
      </x:c>
      <x:c r="D522" s="314">
        <x:v>1</x:v>
      </x:c>
      <x:c r="E522" s="320">
        <x:v>1350</x:v>
      </x:c>
      <x:c r="F522" s="320">
        <x:v>1350</x:v>
      </x:c>
      <x:c r="G522" s="320">
        <x:v>550</x:v>
      </x:c>
      <x:c r="H522" s="313" t="s">
        <x:v>62</x:v>
      </x:c>
      <x:c r="I522" s="313" t="s">
        <x:v>37</x:v>
      </x:c>
      <x:c r="J522" s="316" t="n">
        <x:f>IFERROR(G522/F522,0)</x:f>
        <x:v>0.4074074074074074</x:v>
      </x:c>
      <x:c r="K522" s="312" t="str">
        <x:f>IF(B522="Bilinmeyen Personel","Kontrol","OK")</x:f>
        <x:v>OK</x:v>
      </x:c>
    </x:row>
    <x:row r="523" ht="15.75">
      <x:c r="A523" s="313" t="n">
        <x:f t="shared" si="8">ROW()-ROW($A$2)+1</x:f>
        <x:v>522</x:v>
      </x:c>
      <x:c r="B523" s="313" t="s">
        <x:v>35</x:v>
      </x:c>
      <x:c r="C523" s="313" t="s">
        <x:v>34</x:v>
      </x:c>
      <x:c r="D523" s="314">
        <x:v>2</x:v>
      </x:c>
      <x:c r="E523" s="320">
        <x:v>1090</x:v>
      </x:c>
      <x:c r="F523" s="320">
        <x:v>2180</x:v>
      </x:c>
      <x:c r="G523" s="320">
        <x:v>580</x:v>
      </x:c>
      <x:c r="H523" s="313" t="s">
        <x:v>62</x:v>
      </x:c>
      <x:c r="I523" s="313" t="s">
        <x:v>12</x:v>
      </x:c>
      <x:c r="J523" s="316" t="n">
        <x:f>IFERROR(G523/F523,0)</x:f>
        <x:v>0.26605504587155965</x:v>
      </x:c>
      <x:c r="K523" s="312" t="str">
        <x:f>IF(B523="Bilinmeyen Personel","Kontrol","OK")</x:f>
        <x:v>OK</x:v>
      </x:c>
    </x:row>
    <x:row r="524" ht="15.75">
      <x:c r="A524" s="313" t="n">
        <x:f t="shared" si="8">ROW()-ROW($A$2)+1</x:f>
        <x:v>523</x:v>
      </x:c>
      <x:c r="B524" s="313" t="s">
        <x:v>35</x:v>
      </x:c>
      <x:c r="C524" s="313" t="s">
        <x:v>45</x:v>
      </x:c>
      <x:c r="D524" s="314">
        <x:v>1</x:v>
      </x:c>
      <x:c r="E524" s="320">
        <x:v>4200</x:v>
      </x:c>
      <x:c r="F524" s="320">
        <x:v>4200</x:v>
      </x:c>
      <x:c r="G524" s="320">
        <x:v>1200</x:v>
      </x:c>
      <x:c r="H524" s="313" t="s">
        <x:v>62</x:v>
      </x:c>
      <x:c r="I524" s="313" t="s">
        <x:v>31</x:v>
      </x:c>
      <x:c r="J524" s="316" t="n">
        <x:f>IFERROR(G524/F524,0)</x:f>
        <x:v>0.2857142857142857</x:v>
      </x:c>
      <x:c r="K524" s="312" t="str">
        <x:f>IF(B524="Bilinmeyen Personel","Kontrol","OK")</x:f>
        <x:v>OK</x:v>
      </x:c>
    </x:row>
    <x:row r="525" ht="15.75">
      <x:c r="A525" s="313" t="n">
        <x:f t="shared" si="8">ROW()-ROW($A$2)+1</x:f>
        <x:v>524</x:v>
      </x:c>
      <x:c r="B525" s="313" t="s">
        <x:v>40</x:v>
      </x:c>
      <x:c r="C525" s="313" t="s">
        <x:v>33</x:v>
      </x:c>
      <x:c r="D525" s="314">
        <x:v>2</x:v>
      </x:c>
      <x:c r="E525" s="320">
        <x:v>1800</x:v>
      </x:c>
      <x:c r="F525" s="320">
        <x:v>3600</x:v>
      </x:c>
      <x:c r="G525" s="320">
        <x:v>2000</x:v>
      </x:c>
      <x:c r="H525" s="313" t="s">
        <x:v>62</x:v>
      </x:c>
      <x:c r="I525" s="313" t="s">
        <x:v>12</x:v>
      </x:c>
      <x:c r="J525" s="316" t="n">
        <x:f>IFERROR(G525/F525,0)</x:f>
        <x:v>0.5555555555555556</x:v>
      </x:c>
      <x:c r="K525" s="312" t="str">
        <x:f>IF(B525="Bilinmeyen Personel","Kontrol","OK")</x:f>
        <x:v>OK</x:v>
      </x:c>
    </x:row>
    <x:row r="526" ht="15.75">
      <x:c r="A526" s="313" t="n">
        <x:f t="shared" si="8">ROW()-ROW($A$2)+1</x:f>
        <x:v>525</x:v>
      </x:c>
      <x:c r="B526" s="313" t="s">
        <x:v>50</x:v>
      </x:c>
      <x:c r="C526" s="313" t="s">
        <x:v>34</x:v>
      </x:c>
      <x:c r="D526" s="314">
        <x:v>1</x:v>
      </x:c>
      <x:c r="E526" s="320">
        <x:v>1090</x:v>
      </x:c>
      <x:c r="F526" s="320">
        <x:v>1090</x:v>
      </x:c>
      <x:c r="G526" s="320">
        <x:v>290</x:v>
      </x:c>
      <x:c r="H526" s="313" t="s">
        <x:v>62</x:v>
      </x:c>
      <x:c r="I526" s="313" t="s">
        <x:v>54</x:v>
      </x:c>
      <x:c r="J526" s="316" t="n">
        <x:f>IFERROR(G526/F526,0)</x:f>
        <x:v>0.26605504587155965</x:v>
      </x:c>
      <x:c r="K526" s="312" t="str">
        <x:f>IF(B526="Bilinmeyen Personel","Kontrol","OK")</x:f>
        <x:v>OK</x:v>
      </x:c>
    </x:row>
    <x:row r="527" ht="15.75">
      <x:c r="A527" s="313" t="n">
        <x:f t="shared" si="8">ROW()-ROW($A$2)+1</x:f>
        <x:v>526</x:v>
      </x:c>
      <x:c r="B527" s="313" t="s">
        <x:v>9</x:v>
      </x:c>
      <x:c r="C527" s="313" t="s">
        <x:v>24</x:v>
      </x:c>
      <x:c r="D527" s="314">
        <x:v>1</x:v>
      </x:c>
      <x:c r="E527" s="320">
        <x:v>7600</x:v>
      </x:c>
      <x:c r="F527" s="320">
        <x:v>7600</x:v>
      </x:c>
      <x:c r="G527" s="320">
        <x:v>1600</x:v>
      </x:c>
      <x:c r="H527" s="313" t="s">
        <x:v>62</x:v>
      </x:c>
      <x:c r="I527" s="313" t="s">
        <x:v>12</x:v>
      </x:c>
      <x:c r="J527" s="316" t="n">
        <x:f>IFERROR(G527/F527,0)</x:f>
        <x:v>0.21052631578947367</x:v>
      </x:c>
      <x:c r="K527" s="312" t="str">
        <x:f>IF(B527="Bilinmeyen Personel","Kontrol","OK")</x:f>
        <x:v>OK</x:v>
      </x:c>
    </x:row>
    <x:row r="528" ht="15.75">
      <x:c r="A528" s="313" t="n">
        <x:f t="shared" si="8">ROW()-ROW($A$2)+1</x:f>
        <x:v>527</x:v>
      </x:c>
      <x:c r="B528" s="313" t="s">
        <x:v>38</x:v>
      </x:c>
      <x:c r="C528" s="313" t="s">
        <x:v>24</x:v>
      </x:c>
      <x:c r="D528" s="314">
        <x:v>3</x:v>
      </x:c>
      <x:c r="E528" s="320">
        <x:v>7600</x:v>
      </x:c>
      <x:c r="F528" s="320">
        <x:v>22800</x:v>
      </x:c>
      <x:c r="G528" s="320">
        <x:v>4800</x:v>
      </x:c>
      <x:c r="H528" s="313" t="s">
        <x:v>62</x:v>
      </x:c>
      <x:c r="I528" s="313" t="s">
        <x:v>21</x:v>
      </x:c>
      <x:c r="J528" s="316" t="n">
        <x:f>IFERROR(G528/F528,0)</x:f>
        <x:v>0.21052631578947367</x:v>
      </x:c>
      <x:c r="K528" s="312" t="str">
        <x:f>IF(B528="Bilinmeyen Personel","Kontrol","OK")</x:f>
        <x:v>OK</x:v>
      </x:c>
    </x:row>
    <x:row r="529" ht="15.75">
      <x:c r="A529" s="313" t="n">
        <x:f t="shared" si="8">ROW()-ROW($A$2)+1</x:f>
        <x:v>528</x:v>
      </x:c>
      <x:c r="B529" s="313" t="s">
        <x:v>16</x:v>
      </x:c>
      <x:c r="C529" s="313" t="s">
        <x:v>58</x:v>
      </x:c>
      <x:c r="D529" s="314">
        <x:v>1</x:v>
      </x:c>
      <x:c r="E529" s="320">
        <x:v>3700</x:v>
      </x:c>
      <x:c r="F529" s="320">
        <x:v>3700</x:v>
      </x:c>
      <x:c r="G529" s="320">
        <x:v>700</x:v>
      </x:c>
      <x:c r="H529" s="313" t="s">
        <x:v>62</x:v>
      </x:c>
      <x:c r="I529" s="313" t="s">
        <x:v>54</x:v>
      </x:c>
      <x:c r="J529" s="316" t="n">
        <x:f>IFERROR(G529/F529,0)</x:f>
        <x:v>0.1891891891891892</x:v>
      </x:c>
      <x:c r="K529" s="312" t="str">
        <x:f>IF(B529="Bilinmeyen Personel","Kontrol","OK")</x:f>
        <x:v>OK</x:v>
      </x:c>
    </x:row>
    <x:row r="530" ht="15.75">
      <x:c r="A530" s="313" t="n">
        <x:f t="shared" si="8">ROW()-ROW($A$2)+1</x:f>
        <x:v>529</x:v>
      </x:c>
      <x:c r="B530" s="313" t="s">
        <x:v>23</x:v>
      </x:c>
      <x:c r="C530" s="313" t="s">
        <x:v>26</x:v>
      </x:c>
      <x:c r="D530" s="314">
        <x:v>3</x:v>
      </x:c>
      <x:c r="E530" s="320">
        <x:v>7250</x:v>
      </x:c>
      <x:c r="F530" s="320">
        <x:v>21750</x:v>
      </x:c>
      <x:c r="G530" s="320">
        <x:v>6750</x:v>
      </x:c>
      <x:c r="H530" s="313" t="s">
        <x:v>62</x:v>
      </x:c>
      <x:c r="I530" s="313" t="s">
        <x:v>28</x:v>
      </x:c>
      <x:c r="J530" s="316" t="n">
        <x:f>IFERROR(G530/F530,0)</x:f>
        <x:v>0.3103448275862069</x:v>
      </x:c>
      <x:c r="K530" s="312" t="str">
        <x:f>IF(B530="Bilinmeyen Personel","Kontrol","OK")</x:f>
        <x:v>OK</x:v>
      </x:c>
    </x:row>
    <x:row r="531" ht="15.75">
      <x:c r="A531" s="313" t="n">
        <x:f t="shared" si="8">ROW()-ROW($A$2)+1</x:f>
        <x:v>530</x:v>
      </x:c>
      <x:c r="B531" s="313" t="s">
        <x:v>13</x:v>
      </x:c>
      <x:c r="C531" s="313" t="s">
        <x:v>24</x:v>
      </x:c>
      <x:c r="D531" s="314">
        <x:v>3</x:v>
      </x:c>
      <x:c r="E531" s="320">
        <x:v>7600</x:v>
      </x:c>
      <x:c r="F531" s="320">
        <x:v>22800</x:v>
      </x:c>
      <x:c r="G531" s="320">
        <x:v>4800</x:v>
      </x:c>
      <x:c r="H531" s="313" t="s">
        <x:v>62</x:v>
      </x:c>
      <x:c r="I531" s="313" t="s">
        <x:v>46</x:v>
      </x:c>
      <x:c r="J531" s="316" t="n">
        <x:f>IFERROR(G531/F531,0)</x:f>
        <x:v>0.21052631578947367</x:v>
      </x:c>
      <x:c r="K531" s="312" t="str">
        <x:f>IF(B531="Bilinmeyen Personel","Kontrol","OK")</x:f>
        <x:v>OK</x:v>
      </x:c>
    </x:row>
    <x:row r="532" ht="15.75">
      <x:c r="A532" s="313" t="n">
        <x:f t="shared" si="8">ROW()-ROW($A$2)+1</x:f>
        <x:v>531</x:v>
      </x:c>
      <x:c r="B532" s="313" t="s">
        <x:v>48</x:v>
      </x:c>
      <x:c r="C532" s="313" t="s">
        <x:v>45</x:v>
      </x:c>
      <x:c r="D532" s="314">
        <x:v>1</x:v>
      </x:c>
      <x:c r="E532" s="320">
        <x:v>4200</x:v>
      </x:c>
      <x:c r="F532" s="320">
        <x:v>4200</x:v>
      </x:c>
      <x:c r="G532" s="320">
        <x:v>1200</x:v>
      </x:c>
      <x:c r="H532" s="313" t="s">
        <x:v>62</x:v>
      </x:c>
      <x:c r="I532" s="313" t="s">
        <x:v>46</x:v>
      </x:c>
      <x:c r="J532" s="316" t="n">
        <x:f>IFERROR(G532/F532,0)</x:f>
        <x:v>0.2857142857142857</x:v>
      </x:c>
      <x:c r="K532" s="312" t="str">
        <x:f>IF(B532="Bilinmeyen Personel","Kontrol","OK")</x:f>
        <x:v>OK</x:v>
      </x:c>
    </x:row>
    <x:row r="533" ht="15.75">
      <x:c r="A533" s="313" t="n">
        <x:f t="shared" si="8">ROW()-ROW($A$2)+1</x:f>
        <x:v>532</x:v>
      </x:c>
      <x:c r="B533" s="313" t="s">
        <x:v>32</x:v>
      </x:c>
      <x:c r="C533" s="313" t="s">
        <x:v>52</x:v>
      </x:c>
      <x:c r="D533" s="314">
        <x:v>3</x:v>
      </x:c>
      <x:c r="E533" s="320">
        <x:v>1250</x:v>
      </x:c>
      <x:c r="F533" s="320">
        <x:v>3750</x:v>
      </x:c>
      <x:c r="G533" s="320">
        <x:v>1350</x:v>
      </x:c>
      <x:c r="H533" s="313" t="s">
        <x:v>62</x:v>
      </x:c>
      <x:c r="I533" s="313" t="s">
        <x:v>42</x:v>
      </x:c>
      <x:c r="J533" s="316" t="n">
        <x:f>IFERROR(G533/F533,0)</x:f>
        <x:v>0.36</x:v>
      </x:c>
      <x:c r="K533" s="312" t="str">
        <x:f>IF(B533="Bilinmeyen Personel","Kontrol","OK")</x:f>
        <x:v>OK</x:v>
      </x:c>
    </x:row>
    <x:row r="534" ht="15.75">
      <x:c r="A534" s="313" t="n">
        <x:f t="shared" si="8">ROW()-ROW($A$2)+1</x:f>
        <x:v>533</x:v>
      </x:c>
      <x:c r="B534" s="313" t="s">
        <x:v>38</x:v>
      </x:c>
      <x:c r="C534" s="313" t="s">
        <x:v>34</x:v>
      </x:c>
      <x:c r="D534" s="314">
        <x:v>1</x:v>
      </x:c>
      <x:c r="E534" s="320">
        <x:v>1090</x:v>
      </x:c>
      <x:c r="F534" s="320">
        <x:v>1090</x:v>
      </x:c>
      <x:c r="G534" s="320">
        <x:v>290</x:v>
      </x:c>
      <x:c r="H534" s="313" t="s">
        <x:v>62</x:v>
      </x:c>
      <x:c r="I534" s="313" t="s">
        <x:v>41</x:v>
      </x:c>
      <x:c r="J534" s="316" t="n">
        <x:f>IFERROR(G534/F534,0)</x:f>
        <x:v>0.26605504587155965</x:v>
      </x:c>
      <x:c r="K534" s="312" t="str">
        <x:f>IF(B534="Bilinmeyen Personel","Kontrol","OK")</x:f>
        <x:v>OK</x:v>
      </x:c>
    </x:row>
    <x:row r="535" ht="15.75">
      <x:c r="A535" s="313" t="n">
        <x:f t="shared" si="8">ROW()-ROW($A$2)+1</x:f>
        <x:v>534</x:v>
      </x:c>
      <x:c r="B535" s="313" t="s">
        <x:v>19</x:v>
      </x:c>
      <x:c r="C535" s="313" t="s">
        <x:v>22</x:v>
      </x:c>
      <x:c r="D535" s="314">
        <x:v>1</x:v>
      </x:c>
      <x:c r="E535" s="320">
        <x:v>2180</x:v>
      </x:c>
      <x:c r="F535" s="320">
        <x:v>2180</x:v>
      </x:c>
      <x:c r="G535" s="320">
        <x:v>680</x:v>
      </x:c>
      <x:c r="H535" s="313" t="s">
        <x:v>62</x:v>
      </x:c>
      <x:c r="I535" s="313" t="s">
        <x:v>25</x:v>
      </x:c>
      <x:c r="J535" s="316" t="n">
        <x:f>IFERROR(G535/F535,0)</x:f>
        <x:v>0.3119266055045872</x:v>
      </x:c>
      <x:c r="K535" s="312" t="str">
        <x:f>IF(B535="Bilinmeyen Personel","Kontrol","OK")</x:f>
        <x:v>OK</x:v>
      </x:c>
    </x:row>
    <x:row r="536" ht="15.75">
      <x:c r="A536" s="313" t="n">
        <x:f t="shared" si="8">ROW()-ROW($A$2)+1</x:f>
        <x:v>535</x:v>
      </x:c>
      <x:c r="B536" s="313" t="s">
        <x:v>50</x:v>
      </x:c>
      <x:c r="C536" s="313" t="s">
        <x:v>58</x:v>
      </x:c>
      <x:c r="D536" s="314">
        <x:v>2</x:v>
      </x:c>
      <x:c r="E536" s="320">
        <x:v>3700</x:v>
      </x:c>
      <x:c r="F536" s="320">
        <x:v>7400</x:v>
      </x:c>
      <x:c r="G536" s="320">
        <x:v>1400</x:v>
      </x:c>
      <x:c r="H536" s="313" t="s">
        <x:v>62</x:v>
      </x:c>
      <x:c r="I536" s="313" t="s">
        <x:v>54</x:v>
      </x:c>
      <x:c r="J536" s="316" t="n">
        <x:f>IFERROR(G536/F536,0)</x:f>
        <x:v>0.1891891891891892</x:v>
      </x:c>
      <x:c r="K536" s="312" t="str">
        <x:f>IF(B536="Bilinmeyen Personel","Kontrol","OK")</x:f>
        <x:v>OK</x:v>
      </x:c>
    </x:row>
    <x:row r="537" ht="15.75">
      <x:c r="A537" s="313" t="n">
        <x:f t="shared" si="8">ROW()-ROW($A$2)+1</x:f>
        <x:v>536</x:v>
      </x:c>
      <x:c r="B537" s="313" t="s">
        <x:v>40</x:v>
      </x:c>
      <x:c r="C537" s="313" t="s">
        <x:v>10</x:v>
      </x:c>
      <x:c r="D537" s="314">
        <x:v>2</x:v>
      </x:c>
      <x:c r="E537" s="320">
        <x:v>6000</x:v>
      </x:c>
      <x:c r="F537" s="320">
        <x:v>12000</x:v>
      </x:c>
      <x:c r="G537" s="320">
        <x:v>4000</x:v>
      </x:c>
      <x:c r="H537" s="313" t="s">
        <x:v>62</x:v>
      </x:c>
      <x:c r="I537" s="313" t="s">
        <x:v>21</x:v>
      </x:c>
      <x:c r="J537" s="316" t="n">
        <x:f>IFERROR(G537/F537,0)</x:f>
        <x:v>0.3333333333333333</x:v>
      </x:c>
      <x:c r="K537" s="312" t="str">
        <x:f>IF(B537="Bilinmeyen Personel","Kontrol","OK")</x:f>
        <x:v>OK</x:v>
      </x:c>
    </x:row>
    <x:row r="538" ht="15.75">
      <x:c r="A538" s="313" t="n">
        <x:f t="shared" si="8">ROW()-ROW($A$2)+1</x:f>
        <x:v>537</x:v>
      </x:c>
      <x:c r="B538" s="313" t="s">
        <x:v>48</x:v>
      </x:c>
      <x:c r="C538" s="313" t="s">
        <x:v>52</x:v>
      </x:c>
      <x:c r="D538" s="314">
        <x:v>2</x:v>
      </x:c>
      <x:c r="E538" s="320">
        <x:v>1250</x:v>
      </x:c>
      <x:c r="F538" s="320">
        <x:v>2500</x:v>
      </x:c>
      <x:c r="G538" s="320">
        <x:v>900</x:v>
      </x:c>
      <x:c r="H538" s="313" t="s">
        <x:v>62</x:v>
      </x:c>
      <x:c r="I538" s="313" t="s">
        <x:v>28</x:v>
      </x:c>
      <x:c r="J538" s="316" t="n">
        <x:f>IFERROR(G538/F538,0)</x:f>
        <x:v>0.36</x:v>
      </x:c>
      <x:c r="K538" s="312" t="str">
        <x:f>IF(B538="Bilinmeyen Personel","Kontrol","OK")</x:f>
        <x:v>OK</x:v>
      </x:c>
    </x:row>
    <x:row r="539" ht="15.75">
      <x:c r="A539" s="313" t="n">
        <x:f t="shared" si="8">ROW()-ROW($A$2)+1</x:f>
        <x:v>538</x:v>
      </x:c>
      <x:c r="B539" s="313" t="s">
        <x:v>50</x:v>
      </x:c>
      <x:c r="C539" s="313" t="s">
        <x:v>24</x:v>
      </x:c>
      <x:c r="D539" s="314">
        <x:v>1</x:v>
      </x:c>
      <x:c r="E539" s="320">
        <x:v>7600</x:v>
      </x:c>
      <x:c r="F539" s="320">
        <x:v>7600</x:v>
      </x:c>
      <x:c r="G539" s="320">
        <x:v>1600</x:v>
      </x:c>
      <x:c r="H539" s="313" t="s">
        <x:v>62</x:v>
      </x:c>
      <x:c r="I539" s="313" t="s">
        <x:v>25</x:v>
      </x:c>
      <x:c r="J539" s="316" t="n">
        <x:f>IFERROR(G539/F539,0)</x:f>
        <x:v>0.21052631578947367</x:v>
      </x:c>
      <x:c r="K539" s="312" t="str">
        <x:f>IF(B539="Bilinmeyen Personel","Kontrol","OK")</x:f>
        <x:v>OK</x:v>
      </x:c>
    </x:row>
    <x:row r="540" ht="15.75">
      <x:c r="A540" s="313" t="n">
        <x:f t="shared" si="8">ROW()-ROW($A$2)+1</x:f>
        <x:v>539</x:v>
      </x:c>
      <x:c r="B540" s="313" t="s">
        <x:v>9</x:v>
      </x:c>
      <x:c r="C540" s="313" t="s">
        <x:v>14</x:v>
      </x:c>
      <x:c r="D540" s="314">
        <x:v>2</x:v>
      </x:c>
      <x:c r="E540" s="320">
        <x:v>1400</x:v>
      </x:c>
      <x:c r="F540" s="320">
        <x:v>2800</x:v>
      </x:c>
      <x:c r="G540" s="320">
        <x:v>1200</x:v>
      </x:c>
      <x:c r="H540" s="313" t="s">
        <x:v>62</x:v>
      </x:c>
      <x:c r="I540" s="313" t="s">
        <x:v>21</x:v>
      </x:c>
      <x:c r="J540" s="316" t="n">
        <x:f>IFERROR(G540/F540,0)</x:f>
        <x:v>0.42857142857142855</x:v>
      </x:c>
      <x:c r="K540" s="312" t="str">
        <x:f>IF(B540="Bilinmeyen Personel","Kontrol","OK")</x:f>
        <x:v>OK</x:v>
      </x:c>
    </x:row>
    <x:row r="541" ht="15.75">
      <x:c r="A541" s="313" t="n">
        <x:f t="shared" si="8">ROW()-ROW($A$2)+1</x:f>
        <x:v>540</x:v>
      </x:c>
      <x:c r="B541" s="313" t="s">
        <x:v>23</x:v>
      </x:c>
      <x:c r="C541" s="313" t="s">
        <x:v>22</x:v>
      </x:c>
      <x:c r="D541" s="314">
        <x:v>2</x:v>
      </x:c>
      <x:c r="E541" s="320">
        <x:v>2180</x:v>
      </x:c>
      <x:c r="F541" s="320">
        <x:v>4360</x:v>
      </x:c>
      <x:c r="G541" s="320">
        <x:v>1360</x:v>
      </x:c>
      <x:c r="H541" s="313" t="s">
        <x:v>62</x:v>
      </x:c>
      <x:c r="I541" s="313" t="s">
        <x:v>54</x:v>
      </x:c>
      <x:c r="J541" s="316" t="n">
        <x:f>IFERROR(G541/F541,0)</x:f>
        <x:v>0.3119266055045872</x:v>
      </x:c>
      <x:c r="K541" s="312" t="str">
        <x:f>IF(B541="Bilinmeyen Personel","Kontrol","OK")</x:f>
        <x:v>OK</x:v>
      </x:c>
    </x:row>
    <x:row r="542" ht="15.75">
      <x:c r="A542" s="313" t="n">
        <x:f t="shared" si="8">ROW()-ROW($A$2)+1</x:f>
        <x:v>541</x:v>
      </x:c>
      <x:c r="B542" s="313" t="s">
        <x:v>9</x:v>
      </x:c>
      <x:c r="C542" s="313" t="s">
        <x:v>33</x:v>
      </x:c>
      <x:c r="D542" s="314">
        <x:v>3</x:v>
      </x:c>
      <x:c r="E542" s="320">
        <x:v>1800</x:v>
      </x:c>
      <x:c r="F542" s="320">
        <x:v>5400</x:v>
      </x:c>
      <x:c r="G542" s="320">
        <x:v>3000</x:v>
      </x:c>
      <x:c r="H542" s="313" t="s">
        <x:v>62</x:v>
      </x:c>
      <x:c r="I542" s="313" t="s">
        <x:v>42</x:v>
      </x:c>
      <x:c r="J542" s="316" t="n">
        <x:f>IFERROR(G542/F542,0)</x:f>
        <x:v>0.5555555555555556</x:v>
      </x:c>
      <x:c r="K542" s="312" t="str">
        <x:f>IF(B542="Bilinmeyen Personel","Kontrol","OK")</x:f>
        <x:v>OK</x:v>
      </x:c>
    </x:row>
    <x:row r="543" ht="15.75">
      <x:c r="A543" s="313" t="n">
        <x:f t="shared" si="8">ROW()-ROW($A$2)+1</x:f>
        <x:v>542</x:v>
      </x:c>
      <x:c r="B543" s="313" t="s">
        <x:v>16</x:v>
      </x:c>
      <x:c r="C543" s="313" t="s">
        <x:v>57</x:v>
      </x:c>
      <x:c r="D543" s="314">
        <x:v>1</x:v>
      </x:c>
      <x:c r="E543" s="320">
        <x:v>1500</x:v>
      </x:c>
      <x:c r="F543" s="320">
        <x:v>1500</x:v>
      </x:c>
      <x:c r="G543" s="320">
        <x:v>700</x:v>
      </x:c>
      <x:c r="H543" s="313" t="s">
        <x:v>62</x:v>
      </x:c>
      <x:c r="I543" s="313" t="s">
        <x:v>37</x:v>
      </x:c>
      <x:c r="J543" s="316" t="n">
        <x:f>IFERROR(G543/F543,0)</x:f>
        <x:v>0.4666666666666667</x:v>
      </x:c>
      <x:c r="K543" s="312" t="str">
        <x:f>IF(B543="Bilinmeyen Personel","Kontrol","OK")</x:f>
        <x:v>OK</x:v>
      </x:c>
    </x:row>
    <x:row r="544" ht="15.75">
      <x:c r="A544" s="313" t="n">
        <x:f t="shared" si="8">ROW()-ROW($A$2)+1</x:f>
        <x:v>543</x:v>
      </x:c>
      <x:c r="B544" s="313" t="s">
        <x:v>32</x:v>
      </x:c>
      <x:c r="C544" s="313" t="s">
        <x:v>17</x:v>
      </x:c>
      <x:c r="D544" s="314">
        <x:v>3</x:v>
      </x:c>
      <x:c r="E544" s="320">
        <x:v>8450</x:v>
      </x:c>
      <x:c r="F544" s="320">
        <x:v>25350</x:v>
      </x:c>
      <x:c r="G544" s="320">
        <x:v>7350</x:v>
      </x:c>
      <x:c r="H544" s="313" t="s">
        <x:v>62</x:v>
      </x:c>
      <x:c r="I544" s="313" t="s">
        <x:v>12</x:v>
      </x:c>
      <x:c r="J544" s="316" t="n">
        <x:f>IFERROR(G544/F544,0)</x:f>
        <x:v>0.28994082840236685</x:v>
      </x:c>
      <x:c r="K544" s="312" t="str">
        <x:f>IF(B544="Bilinmeyen Personel","Kontrol","OK")</x:f>
        <x:v>OK</x:v>
      </x:c>
    </x:row>
    <x:row r="545" ht="15.75">
      <x:c r="A545" s="313" t="n">
        <x:f t="shared" si="8">ROW()-ROW($A$2)+1</x:f>
        <x:v>544</x:v>
      </x:c>
      <x:c r="B545" s="313" t="s">
        <x:v>40</x:v>
      </x:c>
      <x:c r="C545" s="313" t="s">
        <x:v>57</x:v>
      </x:c>
      <x:c r="D545" s="314">
        <x:v>3</x:v>
      </x:c>
      <x:c r="E545" s="320">
        <x:v>1500</x:v>
      </x:c>
      <x:c r="F545" s="320">
        <x:v>4500</x:v>
      </x:c>
      <x:c r="G545" s="320">
        <x:v>2100</x:v>
      </x:c>
      <x:c r="H545" s="313" t="s">
        <x:v>62</x:v>
      </x:c>
      <x:c r="I545" s="313" t="s">
        <x:v>37</x:v>
      </x:c>
      <x:c r="J545" s="316" t="n">
        <x:f>IFERROR(G545/F545,0)</x:f>
        <x:v>0.4666666666666667</x:v>
      </x:c>
      <x:c r="K545" s="312" t="str">
        <x:f>IF(B545="Bilinmeyen Personel","Kontrol","OK")</x:f>
        <x:v>OK</x:v>
      </x:c>
    </x:row>
    <x:row r="546" ht="15.75">
      <x:c r="A546" s="313" t="n">
        <x:f t="shared" si="8">ROW()-ROW($A$2)+1</x:f>
        <x:v>545</x:v>
      </x:c>
      <x:c r="B546" s="313" t="s">
        <x:v>29</x:v>
      </x:c>
      <x:c r="C546" s="313" t="s">
        <x:v>10</x:v>
      </x:c>
      <x:c r="D546" s="314">
        <x:v>3</x:v>
      </x:c>
      <x:c r="E546" s="320">
        <x:v>6000</x:v>
      </x:c>
      <x:c r="F546" s="320">
        <x:v>18000</x:v>
      </x:c>
      <x:c r="G546" s="320">
        <x:v>6000</x:v>
      </x:c>
      <x:c r="H546" s="313" t="s">
        <x:v>62</x:v>
      </x:c>
      <x:c r="I546" s="313" t="s">
        <x:v>42</x:v>
      </x:c>
      <x:c r="J546" s="316" t="n">
        <x:f>IFERROR(G546/F546,0)</x:f>
        <x:v>0.3333333333333333</x:v>
      </x:c>
      <x:c r="K546" s="312" t="str">
        <x:f>IF(B546="Bilinmeyen Personel","Kontrol","OK")</x:f>
        <x:v>OK</x:v>
      </x:c>
    </x:row>
    <x:row r="547" ht="15.75">
      <x:c r="A547" s="313" t="n">
        <x:f t="shared" si="8">ROW()-ROW($A$2)+1</x:f>
        <x:v>546</x:v>
      </x:c>
      <x:c r="B547" s="313" t="s">
        <x:v>50</x:v>
      </x:c>
      <x:c r="C547" s="313" t="s">
        <x:v>53</x:v>
      </x:c>
      <x:c r="D547" s="314">
        <x:v>1</x:v>
      </x:c>
      <x:c r="E547" s="320">
        <x:v>1200</x:v>
      </x:c>
      <x:c r="F547" s="320">
        <x:v>1200</x:v>
      </x:c>
      <x:c r="G547" s="320">
        <x:v>400</x:v>
      </x:c>
      <x:c r="H547" s="313" t="s">
        <x:v>62</x:v>
      </x:c>
      <x:c r="I547" s="313" t="s">
        <x:v>31</x:v>
      </x:c>
      <x:c r="J547" s="316" t="n">
        <x:f>IFERROR(G547/F547,0)</x:f>
        <x:v>0.3333333333333333</x:v>
      </x:c>
      <x:c r="K547" s="312" t="str">
        <x:f>IF(B547="Bilinmeyen Personel","Kontrol","OK")</x:f>
        <x:v>OK</x:v>
      </x:c>
    </x:row>
    <x:row r="548" ht="15.75">
      <x:c r="A548" s="313" t="n">
        <x:f t="shared" si="8">ROW()-ROW($A$2)+1</x:f>
        <x:v>547</x:v>
      </x:c>
      <x:c r="B548" s="313" t="s">
        <x:v>9</x:v>
      </x:c>
      <x:c r="C548" s="313" t="s">
        <x:v>45</x:v>
      </x:c>
      <x:c r="D548" s="314">
        <x:v>3</x:v>
      </x:c>
      <x:c r="E548" s="320">
        <x:v>4200</x:v>
      </x:c>
      <x:c r="F548" s="320">
        <x:v>12600</x:v>
      </x:c>
      <x:c r="G548" s="320">
        <x:v>3600</x:v>
      </x:c>
      <x:c r="H548" s="313" t="s">
        <x:v>62</x:v>
      </x:c>
      <x:c r="I548" s="313" t="s">
        <x:v>41</x:v>
      </x:c>
      <x:c r="J548" s="316" t="n">
        <x:f>IFERROR(G548/F548,0)</x:f>
        <x:v>0.2857142857142857</x:v>
      </x:c>
      <x:c r="K548" s="312" t="str">
        <x:f>IF(B548="Bilinmeyen Personel","Kontrol","OK")</x:f>
        <x:v>OK</x:v>
      </x:c>
    </x:row>
    <x:row r="549" ht="15.75">
      <x:c r="A549" s="313" t="n">
        <x:f t="shared" si="8">ROW()-ROW($A$2)+1</x:f>
        <x:v>548</x:v>
      </x:c>
      <x:c r="B549" s="313" t="s">
        <x:v>48</x:v>
      </x:c>
      <x:c r="C549" s="313" t="s">
        <x:v>24</x:v>
      </x:c>
      <x:c r="D549" s="314">
        <x:v>3</x:v>
      </x:c>
      <x:c r="E549" s="320">
        <x:v>7600</x:v>
      </x:c>
      <x:c r="F549" s="320">
        <x:v>22800</x:v>
      </x:c>
      <x:c r="G549" s="320">
        <x:v>4800</x:v>
      </x:c>
      <x:c r="H549" s="313" t="s">
        <x:v>62</x:v>
      </x:c>
      <x:c r="I549" s="313" t="s">
        <x:v>15</x:v>
      </x:c>
      <x:c r="J549" s="316" t="n">
        <x:f>IFERROR(G549/F549,0)</x:f>
        <x:v>0.21052631578947367</x:v>
      </x:c>
      <x:c r="K549" s="312" t="str">
        <x:f>IF(B549="Bilinmeyen Personel","Kontrol","OK")</x:f>
        <x:v>OK</x:v>
      </x:c>
    </x:row>
    <x:row r="550" ht="15.75">
      <x:c r="A550" s="313" t="n">
        <x:f t="shared" si="8">ROW()-ROW($A$2)+1</x:f>
        <x:v>549</x:v>
      </x:c>
      <x:c r="B550" s="313" t="s">
        <x:v>29</x:v>
      </x:c>
      <x:c r="C550" s="313" t="s">
        <x:v>26</x:v>
      </x:c>
      <x:c r="D550" s="314">
        <x:v>2</x:v>
      </x:c>
      <x:c r="E550" s="320">
        <x:v>7250</x:v>
      </x:c>
      <x:c r="F550" s="320">
        <x:v>14500</x:v>
      </x:c>
      <x:c r="G550" s="320">
        <x:v>4500</x:v>
      </x:c>
      <x:c r="H550" s="313" t="s">
        <x:v>62</x:v>
      </x:c>
      <x:c r="I550" s="313" t="s">
        <x:v>41</x:v>
      </x:c>
      <x:c r="J550" s="316" t="n">
        <x:f>IFERROR(G550/F550,0)</x:f>
        <x:v>0.3103448275862069</x:v>
      </x:c>
      <x:c r="K550" s="312" t="str">
        <x:f>IF(B550="Bilinmeyen Personel","Kontrol","OK")</x:f>
        <x:v>OK</x:v>
      </x:c>
    </x:row>
    <x:row r="551" ht="15.75">
      <x:c r="A551" s="313" t="n">
        <x:f t="shared" si="8">ROW()-ROW($A$2)+1</x:f>
        <x:v>550</x:v>
      </x:c>
      <x:c r="B551" s="313" t="s">
        <x:v>13</x:v>
      </x:c>
      <x:c r="C551" s="313" t="s">
        <x:v>55</x:v>
      </x:c>
      <x:c r="D551" s="314">
        <x:v>2</x:v>
      </x:c>
      <x:c r="E551" s="320">
        <x:v>7530</x:v>
      </x:c>
      <x:c r="F551" s="320">
        <x:v>15060</x:v>
      </x:c>
      <x:c r="G551" s="320">
        <x:v>3060</x:v>
      </x:c>
      <x:c r="H551" s="313" t="s">
        <x:v>62</x:v>
      </x:c>
      <x:c r="I551" s="313" t="s">
        <x:v>31</x:v>
      </x:c>
      <x:c r="J551" s="316" t="n">
        <x:f>IFERROR(G551/F551,0)</x:f>
        <x:v>0.20318725099601595</x:v>
      </x:c>
      <x:c r="K551" s="312" t="str">
        <x:f>IF(B551="Bilinmeyen Personel","Kontrol","OK")</x:f>
        <x:v>OK</x:v>
      </x:c>
    </x:row>
    <x:row r="552" ht="15.75">
      <x:c r="A552" s="313" t="n">
        <x:f t="shared" si="8">ROW()-ROW($A$2)+1</x:f>
        <x:v>551</x:v>
      </x:c>
      <x:c r="B552" s="313" t="s">
        <x:v>16</x:v>
      </x:c>
      <x:c r="C552" s="313" t="s">
        <x:v>26</x:v>
      </x:c>
      <x:c r="D552" s="314">
        <x:v>2</x:v>
      </x:c>
      <x:c r="E552" s="320">
        <x:v>7250</x:v>
      </x:c>
      <x:c r="F552" s="320">
        <x:v>14500</x:v>
      </x:c>
      <x:c r="G552" s="320">
        <x:v>4500</x:v>
      </x:c>
      <x:c r="H552" s="313" t="s">
        <x:v>62</x:v>
      </x:c>
      <x:c r="I552" s="313" t="s">
        <x:v>28</x:v>
      </x:c>
      <x:c r="J552" s="316" t="n">
        <x:f>IFERROR(G552/F552,0)</x:f>
        <x:v>0.3103448275862069</x:v>
      </x:c>
      <x:c r="K552" s="312" t="str">
        <x:f>IF(B552="Bilinmeyen Personel","Kontrol","OK")</x:f>
        <x:v>OK</x:v>
      </x:c>
    </x:row>
    <x:row r="553" ht="15.75">
      <x:c r="A553" s="313" t="n">
        <x:f t="shared" si="8">ROW()-ROW($A$2)+1</x:f>
        <x:v>552</x:v>
      </x:c>
      <x:c r="B553" s="313" t="s">
        <x:v>13</x:v>
      </x:c>
      <x:c r="C553" s="313" t="s">
        <x:v>10</x:v>
      </x:c>
      <x:c r="D553" s="314">
        <x:v>1</x:v>
      </x:c>
      <x:c r="E553" s="320">
        <x:v>6000</x:v>
      </x:c>
      <x:c r="F553" s="320">
        <x:v>6000</x:v>
      </x:c>
      <x:c r="G553" s="320">
        <x:v>2000</x:v>
      </x:c>
      <x:c r="H553" s="313" t="s">
        <x:v>62</x:v>
      </x:c>
      <x:c r="I553" s="313" t="s">
        <x:v>37</x:v>
      </x:c>
      <x:c r="J553" s="316" t="n">
        <x:f>IFERROR(G553/F553,0)</x:f>
        <x:v>0.3333333333333333</x:v>
      </x:c>
      <x:c r="K553" s="312" t="str">
        <x:f>IF(B553="Bilinmeyen Personel","Kontrol","OK")</x:f>
        <x:v>OK</x:v>
      </x:c>
    </x:row>
    <x:row r="554" ht="15.75">
      <x:c r="A554" s="313" t="n">
        <x:f t="shared" si="8">ROW()-ROW($A$2)+1</x:f>
        <x:v>553</x:v>
      </x:c>
      <x:c r="B554" s="313" t="s">
        <x:v>29</x:v>
      </x:c>
      <x:c r="C554" s="313" t="s">
        <x:v>53</x:v>
      </x:c>
      <x:c r="D554" s="314">
        <x:v>3</x:v>
      </x:c>
      <x:c r="E554" s="320">
        <x:v>1200</x:v>
      </x:c>
      <x:c r="F554" s="320">
        <x:v>3600</x:v>
      </x:c>
      <x:c r="G554" s="320">
        <x:v>1200</x:v>
      </x:c>
      <x:c r="H554" s="313" t="s">
        <x:v>62</x:v>
      </x:c>
      <x:c r="I554" s="313" t="s">
        <x:v>25</x:v>
      </x:c>
      <x:c r="J554" s="316" t="n">
        <x:f>IFERROR(G554/F554,0)</x:f>
        <x:v>0.3333333333333333</x:v>
      </x:c>
      <x:c r="K554" s="312" t="str">
        <x:f>IF(B554="Bilinmeyen Personel","Kontrol","OK")</x:f>
        <x:v>OK</x:v>
      </x:c>
    </x:row>
    <x:row r="555" ht="15.75">
      <x:c r="A555" s="313" t="n">
        <x:f t="shared" si="8">ROW()-ROW($A$2)+1</x:f>
        <x:v>554</x:v>
      </x:c>
      <x:c r="B555" s="313" t="s">
        <x:v>50</x:v>
      </x:c>
      <x:c r="C555" s="313" t="s">
        <x:v>56</x:v>
      </x:c>
      <x:c r="D555" s="314">
        <x:v>2</x:v>
      </x:c>
      <x:c r="E555" s="320">
        <x:v>5300</x:v>
      </x:c>
      <x:c r="F555" s="320">
        <x:v>10600</x:v>
      </x:c>
      <x:c r="G555" s="320">
        <x:v>2600</x:v>
      </x:c>
      <x:c r="H555" s="313" t="s">
        <x:v>62</x:v>
      </x:c>
      <x:c r="I555" s="313" t="s">
        <x:v>44</x:v>
      </x:c>
      <x:c r="J555" s="316" t="n">
        <x:f>IFERROR(G555/F555,0)</x:f>
        <x:v>0.24528301886792453</x:v>
      </x:c>
      <x:c r="K555" s="312" t="str">
        <x:f>IF(B555="Bilinmeyen Personel","Kontrol","OK")</x:f>
        <x:v>OK</x:v>
      </x:c>
    </x:row>
    <x:row r="556" ht="15.75">
      <x:c r="A556" s="313" t="n">
        <x:f t="shared" si="8">ROW()-ROW($A$2)+1</x:f>
        <x:v>555</x:v>
      </x:c>
      <x:c r="B556" s="313" t="s">
        <x:v>38</x:v>
      </x:c>
      <x:c r="C556" s="313" t="s">
        <x:v>17</x:v>
      </x:c>
      <x:c r="D556" s="314">
        <x:v>2</x:v>
      </x:c>
      <x:c r="E556" s="320">
        <x:v>8450</x:v>
      </x:c>
      <x:c r="F556" s="320">
        <x:v>16900</x:v>
      </x:c>
      <x:c r="G556" s="320">
        <x:v>4900</x:v>
      </x:c>
      <x:c r="H556" s="313" t="s">
        <x:v>62</x:v>
      </x:c>
      <x:c r="I556" s="313" t="s">
        <x:v>12</x:v>
      </x:c>
      <x:c r="J556" s="316" t="n">
        <x:f>IFERROR(G556/F556,0)</x:f>
        <x:v>0.28994082840236685</x:v>
      </x:c>
      <x:c r="K556" s="312" t="str">
        <x:f>IF(B556="Bilinmeyen Personel","Kontrol","OK")</x:f>
        <x:v>OK</x:v>
      </x:c>
    </x:row>
    <x:row r="557" ht="15.75">
      <x:c r="A557" s="313" t="n">
        <x:f t="shared" si="8">ROW()-ROW($A$2)+1</x:f>
        <x:v>556</x:v>
      </x:c>
      <x:c r="B557" s="313" t="s">
        <x:v>23</x:v>
      </x:c>
      <x:c r="C557" s="313" t="s">
        <x:v>20</x:v>
      </x:c>
      <x:c r="D557" s="314">
        <x:v>1</x:v>
      </x:c>
      <x:c r="E557" s="320">
        <x:v>1350</x:v>
      </x:c>
      <x:c r="F557" s="320">
        <x:v>1350</x:v>
      </x:c>
      <x:c r="G557" s="320">
        <x:v>550</x:v>
      </x:c>
      <x:c r="H557" s="313" t="s">
        <x:v>62</x:v>
      </x:c>
      <x:c r="I557" s="313" t="s">
        <x:v>21</x:v>
      </x:c>
      <x:c r="J557" s="316" t="n">
        <x:f>IFERROR(G557/F557,0)</x:f>
        <x:v>0.4074074074074074</x:v>
      </x:c>
      <x:c r="K557" s="312" t="str">
        <x:f>IF(B557="Bilinmeyen Personel","Kontrol","OK")</x:f>
        <x:v>OK</x:v>
      </x:c>
    </x:row>
    <x:row r="558" ht="15.75">
      <x:c r="A558" s="313" t="n">
        <x:f t="shared" si="8">ROW()-ROW($A$2)+1</x:f>
        <x:v>557</x:v>
      </x:c>
      <x:c r="B558" s="313" t="s">
        <x:v>32</x:v>
      </x:c>
      <x:c r="C558" s="313" t="s">
        <x:v>34</x:v>
      </x:c>
      <x:c r="D558" s="314">
        <x:v>1</x:v>
      </x:c>
      <x:c r="E558" s="320">
        <x:v>1090</x:v>
      </x:c>
      <x:c r="F558" s="320">
        <x:v>1090</x:v>
      </x:c>
      <x:c r="G558" s="320">
        <x:v>290</x:v>
      </x:c>
      <x:c r="H558" s="313" t="s">
        <x:v>62</x:v>
      </x:c>
      <x:c r="I558" s="313" t="s">
        <x:v>42</x:v>
      </x:c>
      <x:c r="J558" s="316" t="n">
        <x:f>IFERROR(G558/F558,0)</x:f>
        <x:v>0.26605504587155965</x:v>
      </x:c>
      <x:c r="K558" s="312" t="str">
        <x:f>IF(B558="Bilinmeyen Personel","Kontrol","OK")</x:f>
        <x:v>OK</x:v>
      </x:c>
    </x:row>
    <x:row r="559" ht="15.75">
      <x:c r="A559" s="313" t="n">
        <x:f t="shared" si="8">ROW()-ROW($A$2)+1</x:f>
        <x:v>558</x:v>
      </x:c>
      <x:c r="B559" s="313" t="s">
        <x:v>23</x:v>
      </x:c>
      <x:c r="C559" s="313" t="s">
        <x:v>22</x:v>
      </x:c>
      <x:c r="D559" s="314">
        <x:v>1</x:v>
      </x:c>
      <x:c r="E559" s="320">
        <x:v>2180</x:v>
      </x:c>
      <x:c r="F559" s="320">
        <x:v>2180</x:v>
      </x:c>
      <x:c r="G559" s="320">
        <x:v>680</x:v>
      </x:c>
      <x:c r="H559" s="313" t="s">
        <x:v>62</x:v>
      </x:c>
      <x:c r="I559" s="313" t="s">
        <x:v>44</x:v>
      </x:c>
      <x:c r="J559" s="316" t="n">
        <x:f>IFERROR(G559/F559,0)</x:f>
        <x:v>0.3119266055045872</x:v>
      </x:c>
      <x:c r="K559" s="312" t="str">
        <x:f>IF(B559="Bilinmeyen Personel","Kontrol","OK")</x:f>
        <x:v>OK</x:v>
      </x:c>
    </x:row>
    <x:row r="560" ht="15.75">
      <x:c r="A560" s="313" t="n">
        <x:f t="shared" si="8">ROW()-ROW($A$2)+1</x:f>
        <x:v>559</x:v>
      </x:c>
      <x:c r="B560" s="313" t="s">
        <x:v>9</x:v>
      </x:c>
      <x:c r="C560" s="313" t="s">
        <x:v>10</x:v>
      </x:c>
      <x:c r="D560" s="314">
        <x:v>2</x:v>
      </x:c>
      <x:c r="E560" s="320">
        <x:v>6000</x:v>
      </x:c>
      <x:c r="F560" s="320">
        <x:v>12000</x:v>
      </x:c>
      <x:c r="G560" s="320">
        <x:v>4000</x:v>
      </x:c>
      <x:c r="H560" s="313" t="s">
        <x:v>62</x:v>
      </x:c>
      <x:c r="I560" s="313" t="s">
        <x:v>46</x:v>
      </x:c>
      <x:c r="J560" s="316" t="n">
        <x:f>IFERROR(G560/F560,0)</x:f>
        <x:v>0.3333333333333333</x:v>
      </x:c>
      <x:c r="K560" s="312" t="str">
        <x:f>IF(B560="Bilinmeyen Personel","Kontrol","OK")</x:f>
        <x:v>OK</x:v>
      </x:c>
    </x:row>
    <x:row r="561" ht="15.75">
      <x:c r="A561" s="313" t="n">
        <x:f t="shared" si="8">ROW()-ROW($A$2)+1</x:f>
        <x:v>560</x:v>
      </x:c>
      <x:c r="B561" s="313" t="s">
        <x:v>13</x:v>
      </x:c>
      <x:c r="C561" s="313" t="s">
        <x:v>14</x:v>
      </x:c>
      <x:c r="D561" s="314">
        <x:v>2</x:v>
      </x:c>
      <x:c r="E561" s="320">
        <x:v>1400</x:v>
      </x:c>
      <x:c r="F561" s="320">
        <x:v>2800</x:v>
      </x:c>
      <x:c r="G561" s="320">
        <x:v>1200</x:v>
      </x:c>
      <x:c r="H561" s="313" t="s">
        <x:v>62</x:v>
      </x:c>
      <x:c r="I561" s="313" t="s">
        <x:v>41</x:v>
      </x:c>
      <x:c r="J561" s="316" t="n">
        <x:f>IFERROR(G561/F561,0)</x:f>
        <x:v>0.42857142857142855</x:v>
      </x:c>
      <x:c r="K561" s="312" t="str">
        <x:f>IF(B561="Bilinmeyen Personel","Kontrol","OK")</x:f>
        <x:v>OK</x:v>
      </x:c>
    </x:row>
    <x:row r="562" ht="15.75">
      <x:c r="A562" s="313" t="n">
        <x:f t="shared" si="8">ROW()-ROW($A$2)+1</x:f>
        <x:v>561</x:v>
      </x:c>
      <x:c r="B562" s="313" t="s">
        <x:v>16</x:v>
      </x:c>
      <x:c r="C562" s="313" t="s">
        <x:v>17</x:v>
      </x:c>
      <x:c r="D562" s="314">
        <x:v>2</x:v>
      </x:c>
      <x:c r="E562" s="320">
        <x:v>8450</x:v>
      </x:c>
      <x:c r="F562" s="320">
        <x:v>16900</x:v>
      </x:c>
      <x:c r="G562" s="320">
        <x:v>4900</x:v>
      </x:c>
      <x:c r="H562" s="313" t="s">
        <x:v>62</x:v>
      </x:c>
      <x:c r="I562" s="313" t="s">
        <x:v>44</x:v>
      </x:c>
      <x:c r="J562" s="316" t="n">
        <x:f>IFERROR(G562/F562,0)</x:f>
        <x:v>0.28994082840236685</x:v>
      </x:c>
      <x:c r="K562" s="312" t="str">
        <x:f>IF(B562="Bilinmeyen Personel","Kontrol","OK")</x:f>
        <x:v>OK</x:v>
      </x:c>
    </x:row>
    <x:row r="563" ht="15.75">
      <x:c r="A563" s="313" t="n">
        <x:f t="shared" si="8">ROW()-ROW($A$2)+1</x:f>
        <x:v>562</x:v>
      </x:c>
      <x:c r="B563" s="313" t="s">
        <x:v>19</x:v>
      </x:c>
      <x:c r="C563" s="313" t="s">
        <x:v>20</x:v>
      </x:c>
      <x:c r="D563" s="314">
        <x:v>3</x:v>
      </x:c>
      <x:c r="E563" s="320">
        <x:v>1350</x:v>
      </x:c>
      <x:c r="F563" s="320">
        <x:v>4050</x:v>
      </x:c>
      <x:c r="G563" s="320">
        <x:v>1650</x:v>
      </x:c>
      <x:c r="H563" s="313" t="s">
        <x:v>62</x:v>
      </x:c>
      <x:c r="I563" s="313" t="s">
        <x:v>46</x:v>
      </x:c>
      <x:c r="J563" s="316" t="n">
        <x:f>IFERROR(G563/F563,0)</x:f>
        <x:v>0.4074074074074074</x:v>
      </x:c>
      <x:c r="K563" s="312" t="str">
        <x:f>IF(B563="Bilinmeyen Personel","Kontrol","OK")</x:f>
        <x:v>OK</x:v>
      </x:c>
    </x:row>
    <x:row r="564" ht="15.75">
      <x:c r="A564" s="313" t="n">
        <x:f t="shared" si="8">ROW()-ROW($A$2)+1</x:f>
        <x:v>563</x:v>
      </x:c>
      <x:c r="B564" s="313" t="s">
        <x:v>9</x:v>
      </x:c>
      <x:c r="C564" s="313" t="s">
        <x:v>22</x:v>
      </x:c>
      <x:c r="D564" s="314">
        <x:v>2</x:v>
      </x:c>
      <x:c r="E564" s="320">
        <x:v>2180</x:v>
      </x:c>
      <x:c r="F564" s="320">
        <x:v>4360</x:v>
      </x:c>
      <x:c r="G564" s="320">
        <x:v>1360</x:v>
      </x:c>
      <x:c r="H564" s="313" t="s">
        <x:v>62</x:v>
      </x:c>
      <x:c r="I564" s="313" t="s">
        <x:v>44</x:v>
      </x:c>
      <x:c r="J564" s="316" t="n">
        <x:f>IFERROR(G564/F564,0)</x:f>
        <x:v>0.3119266055045872</x:v>
      </x:c>
      <x:c r="K564" s="312" t="str">
        <x:f>IF(B564="Bilinmeyen Personel","Kontrol","OK")</x:f>
        <x:v>OK</x:v>
      </x:c>
    </x:row>
    <x:row r="565" ht="15.75">
      <x:c r="A565" s="313" t="n">
        <x:f t="shared" si="8">ROW()-ROW($A$2)+1</x:f>
        <x:v>564</x:v>
      </x:c>
      <x:c r="B565" s="313" t="s">
        <x:v>23</x:v>
      </x:c>
      <x:c r="C565" s="313" t="s">
        <x:v>24</x:v>
      </x:c>
      <x:c r="D565" s="314">
        <x:v>2</x:v>
      </x:c>
      <x:c r="E565" s="320">
        <x:v>7600</x:v>
      </x:c>
      <x:c r="F565" s="320">
        <x:v>15200</x:v>
      </x:c>
      <x:c r="G565" s="320">
        <x:v>3200</x:v>
      </x:c>
      <x:c r="H565" s="313" t="s">
        <x:v>62</x:v>
      </x:c>
      <x:c r="I565" s="313" t="s">
        <x:v>12</x:v>
      </x:c>
      <x:c r="J565" s="316" t="n">
        <x:f>IFERROR(G565/F565,0)</x:f>
        <x:v>0.21052631578947367</x:v>
      </x:c>
      <x:c r="K565" s="312" t="str">
        <x:f>IF(B565="Bilinmeyen Personel","Kontrol","OK")</x:f>
        <x:v>OK</x:v>
      </x:c>
    </x:row>
    <x:row r="566" ht="15.75">
      <x:c r="A566" s="313" t="n">
        <x:f t="shared" si="8">ROW()-ROW($A$2)+1</x:f>
        <x:v>565</x:v>
      </x:c>
      <x:c r="B566" s="313" t="s">
        <x:v>13</x:v>
      </x:c>
      <x:c r="C566" s="313" t="s">
        <x:v>26</x:v>
      </x:c>
      <x:c r="D566" s="314">
        <x:v>2</x:v>
      </x:c>
      <x:c r="E566" s="320">
        <x:v>7250</x:v>
      </x:c>
      <x:c r="F566" s="320">
        <x:v>14500</x:v>
      </x:c>
      <x:c r="G566" s="320">
        <x:v>4500</x:v>
      </x:c>
      <x:c r="H566" s="313" t="s">
        <x:v>62</x:v>
      </x:c>
      <x:c r="I566" s="313" t="s">
        <x:v>25</x:v>
      </x:c>
      <x:c r="J566" s="316" t="n">
        <x:f>IFERROR(G566/F566,0)</x:f>
        <x:v>0.3103448275862069</x:v>
      </x:c>
      <x:c r="K566" s="312" t="str">
        <x:f>IF(B566="Bilinmeyen Personel","Kontrol","OK")</x:f>
        <x:v>OK</x:v>
      </x:c>
    </x:row>
    <x:row r="567" ht="15.75">
      <x:c r="A567" s="313" t="n">
        <x:f t="shared" si="8">ROW()-ROW($A$2)+1</x:f>
        <x:v>566</x:v>
      </x:c>
      <x:c r="B567" s="313" t="s">
        <x:v>19</x:v>
      </x:c>
      <x:c r="C567" s="313" t="s">
        <x:v>27</x:v>
      </x:c>
      <x:c r="D567" s="314">
        <x:v>3</x:v>
      </x:c>
      <x:c r="E567" s="320">
        <x:v>1100</x:v>
      </x:c>
      <x:c r="F567" s="320">
        <x:v>3300</x:v>
      </x:c>
      <x:c r="G567" s="320">
        <x:v>900</x:v>
      </x:c>
      <x:c r="H567" s="313" t="s">
        <x:v>62</x:v>
      </x:c>
      <x:c r="I567" s="313" t="s">
        <x:v>31</x:v>
      </x:c>
      <x:c r="J567" s="316" t="n">
        <x:f>IFERROR(G567/F567,0)</x:f>
        <x:v>0.2727272727272727</x:v>
      </x:c>
      <x:c r="K567" s="312" t="str">
        <x:f>IF(B567="Bilinmeyen Personel","Kontrol","OK")</x:f>
        <x:v>OK</x:v>
      </x:c>
    </x:row>
    <x:row r="568" ht="15.75">
      <x:c r="A568" s="313" t="n">
        <x:f t="shared" si="8">ROW()-ROW($A$2)+1</x:f>
        <x:v>567</x:v>
      </x:c>
      <x:c r="B568" s="313" t="s">
        <x:v>29</x:v>
      </x:c>
      <x:c r="C568" s="313" t="s">
        <x:v>10</x:v>
      </x:c>
      <x:c r="D568" s="314">
        <x:v>2</x:v>
      </x:c>
      <x:c r="E568" s="320">
        <x:v>6000</x:v>
      </x:c>
      <x:c r="F568" s="320">
        <x:v>12000</x:v>
      </x:c>
      <x:c r="G568" s="320">
        <x:v>4000</x:v>
      </x:c>
      <x:c r="H568" s="313" t="s">
        <x:v>62</x:v>
      </x:c>
      <x:c r="I568" s="313" t="s">
        <x:v>46</x:v>
      </x:c>
      <x:c r="J568" s="316" t="n">
        <x:f>IFERROR(G568/F568,0)</x:f>
        <x:v>0.3333333333333333</x:v>
      </x:c>
      <x:c r="K568" s="312" t="str">
        <x:f>IF(B568="Bilinmeyen Personel","Kontrol","OK")</x:f>
        <x:v>OK</x:v>
      </x:c>
    </x:row>
    <x:row r="569" ht="15.75">
      <x:c r="A569" s="313" t="n">
        <x:f t="shared" si="8">ROW()-ROW($A$2)+1</x:f>
        <x:v>568</x:v>
      </x:c>
      <x:c r="B569" s="313" t="s">
        <x:v>9</x:v>
      </x:c>
      <x:c r="C569" s="313" t="s">
        <x:v>30</x:v>
      </x:c>
      <x:c r="D569" s="314">
        <x:v>1</x:v>
      </x:c>
      <x:c r="E569" s="320">
        <x:v>1200</x:v>
      </x:c>
      <x:c r="F569" s="320">
        <x:v>1200</x:v>
      </x:c>
      <x:c r="G569" s="320">
        <x:v>400</x:v>
      </x:c>
      <x:c r="H569" s="313" t="s">
        <x:v>62</x:v>
      </x:c>
      <x:c r="I569" s="313" t="s">
        <x:v>28</x:v>
      </x:c>
      <x:c r="J569" s="316" t="n">
        <x:f>IFERROR(G569/F569,0)</x:f>
        <x:v>0.3333333333333333</x:v>
      </x:c>
      <x:c r="K569" s="312" t="str">
        <x:f>IF(B569="Bilinmeyen Personel","Kontrol","OK")</x:f>
        <x:v>OK</x:v>
      </x:c>
    </x:row>
    <x:row r="570" ht="15.75">
      <x:c r="A570" s="313" t="n">
        <x:f t="shared" si="8">ROW()-ROW($A$2)+1</x:f>
        <x:v>569</x:v>
      </x:c>
      <x:c r="B570" s="313" t="s">
        <x:v>32</x:v>
      </x:c>
      <x:c r="C570" s="313" t="s">
        <x:v>33</x:v>
      </x:c>
      <x:c r="D570" s="314">
        <x:v>2</x:v>
      </x:c>
      <x:c r="E570" s="320">
        <x:v>1800</x:v>
      </x:c>
      <x:c r="F570" s="320">
        <x:v>3600</x:v>
      </x:c>
      <x:c r="G570" s="320">
        <x:v>2000</x:v>
      </x:c>
      <x:c r="H570" s="313" t="s">
        <x:v>62</x:v>
      </x:c>
      <x:c r="I570" s="313" t="s">
        <x:v>31</x:v>
      </x:c>
      <x:c r="J570" s="316" t="n">
        <x:f>IFERROR(G570/F570,0)</x:f>
        <x:v>0.5555555555555556</x:v>
      </x:c>
      <x:c r="K570" s="312" t="str">
        <x:f>IF(B570="Bilinmeyen Personel","Kontrol","OK")</x:f>
        <x:v>OK</x:v>
      </x:c>
    </x:row>
    <x:row r="571" ht="15.75">
      <x:c r="A571" s="313" t="n">
        <x:f t="shared" si="8">ROW()-ROW($A$2)+1</x:f>
        <x:v>570</x:v>
      </x:c>
      <x:c r="B571" s="313" t="s">
        <x:v>32</x:v>
      </x:c>
      <x:c r="C571" s="313" t="s">
        <x:v>34</x:v>
      </x:c>
      <x:c r="D571" s="314">
        <x:v>2</x:v>
      </x:c>
      <x:c r="E571" s="320">
        <x:v>1090</x:v>
      </x:c>
      <x:c r="F571" s="320">
        <x:v>2180</x:v>
      </x:c>
      <x:c r="G571" s="320">
        <x:v>580</x:v>
      </x:c>
      <x:c r="H571" s="313" t="s">
        <x:v>62</x:v>
      </x:c>
      <x:c r="I571" s="313" t="s">
        <x:v>44</x:v>
      </x:c>
      <x:c r="J571" s="316" t="n">
        <x:f>IFERROR(G571/F571,0)</x:f>
        <x:v>0.26605504587155965</x:v>
      </x:c>
      <x:c r="K571" s="312" t="str">
        <x:f>IF(B571="Bilinmeyen Personel","Kontrol","OK")</x:f>
        <x:v>OK</x:v>
      </x:c>
    </x:row>
    <x:row r="572" ht="15.75">
      <x:c r="A572" s="313" t="n">
        <x:f t="shared" si="8">ROW()-ROW($A$2)+1</x:f>
        <x:v>571</x:v>
      </x:c>
      <x:c r="B572" s="313" t="s">
        <x:v>29</x:v>
      </x:c>
      <x:c r="C572" s="313" t="s">
        <x:v>22</x:v>
      </x:c>
      <x:c r="D572" s="314">
        <x:v>3</x:v>
      </x:c>
      <x:c r="E572" s="320">
        <x:v>2180</x:v>
      </x:c>
      <x:c r="F572" s="320">
        <x:v>6540</x:v>
      </x:c>
      <x:c r="G572" s="320">
        <x:v>2040</x:v>
      </x:c>
      <x:c r="H572" s="313" t="s">
        <x:v>62</x:v>
      </x:c>
      <x:c r="I572" s="313" t="s">
        <x:v>21</x:v>
      </x:c>
      <x:c r="J572" s="316" t="n">
        <x:f>IFERROR(G572/F572,0)</x:f>
        <x:v>0.3119266055045872</x:v>
      </x:c>
      <x:c r="K572" s="312" t="str">
        <x:f>IF(B572="Bilinmeyen Personel","Kontrol","OK")</x:f>
        <x:v>OK</x:v>
      </x:c>
    </x:row>
    <x:row r="573" ht="15.75">
      <x:c r="A573" s="313" t="n">
        <x:f t="shared" si="8">ROW()-ROW($A$2)+1</x:f>
        <x:v>572</x:v>
      </x:c>
      <x:c r="B573" s="313" t="s">
        <x:v>35</x:v>
      </x:c>
      <x:c r="C573" s="313" t="s">
        <x:v>33</x:v>
      </x:c>
      <x:c r="D573" s="314">
        <x:v>3</x:v>
      </x:c>
      <x:c r="E573" s="320">
        <x:v>1800</x:v>
      </x:c>
      <x:c r="F573" s="320">
        <x:v>5400</x:v>
      </x:c>
      <x:c r="G573" s="320">
        <x:v>3000</x:v>
      </x:c>
      <x:c r="H573" s="313" t="s">
        <x:v>62</x:v>
      </x:c>
      <x:c r="I573" s="313" t="s">
        <x:v>41</x:v>
      </x:c>
      <x:c r="J573" s="316" t="n">
        <x:f>IFERROR(G573/F573,0)</x:f>
        <x:v>0.5555555555555556</x:v>
      </x:c>
      <x:c r="K573" s="312" t="str">
        <x:f>IF(B573="Bilinmeyen Personel","Kontrol","OK")</x:f>
        <x:v>OK</x:v>
      </x:c>
    </x:row>
    <x:row r="574" ht="15.75">
      <x:c r="A574" s="313" t="n">
        <x:f t="shared" si="8">ROW()-ROW($A$2)+1</x:f>
        <x:v>573</x:v>
      </x:c>
      <x:c r="B574" s="313" t="s">
        <x:v>23</x:v>
      </x:c>
      <x:c r="C574" s="313" t="s">
        <x:v>36</x:v>
      </x:c>
      <x:c r="D574" s="314">
        <x:v>3</x:v>
      </x:c>
      <x:c r="E574" s="320">
        <x:v>8000</x:v>
      </x:c>
      <x:c r="F574" s="320">
        <x:v>24000</x:v>
      </x:c>
      <x:c r="G574" s="320">
        <x:v>6000</x:v>
      </x:c>
      <x:c r="H574" s="313" t="s">
        <x:v>62</x:v>
      </x:c>
      <x:c r="I574" s="313" t="s">
        <x:v>37</x:v>
      </x:c>
      <x:c r="J574" s="316" t="n">
        <x:f>IFERROR(G574/F574,0)</x:f>
        <x:v>0.25</x:v>
      </x:c>
      <x:c r="K574" s="312" t="str">
        <x:f>IF(B574="Bilinmeyen Personel","Kontrol","OK")</x:f>
        <x:v>OK</x:v>
      </x:c>
    </x:row>
    <x:row r="575" ht="15.75">
      <x:c r="A575" s="313" t="n">
        <x:f t="shared" si="8">ROW()-ROW($A$2)+1</x:f>
        <x:v>574</x:v>
      </x:c>
      <x:c r="B575" s="313" t="s">
        <x:v>29</x:v>
      </x:c>
      <x:c r="C575" s="313" t="s">
        <x:v>14</x:v>
      </x:c>
      <x:c r="D575" s="314">
        <x:v>1</x:v>
      </x:c>
      <x:c r="E575" s="320">
        <x:v>1400</x:v>
      </x:c>
      <x:c r="F575" s="320">
        <x:v>1400</x:v>
      </x:c>
      <x:c r="G575" s="320">
        <x:v>600</x:v>
      </x:c>
      <x:c r="H575" s="313" t="s">
        <x:v>62</x:v>
      </x:c>
      <x:c r="I575" s="313" t="s">
        <x:v>42</x:v>
      </x:c>
      <x:c r="J575" s="316" t="n">
        <x:f>IFERROR(G575/F575,0)</x:f>
        <x:v>0.42857142857142855</x:v>
      </x:c>
      <x:c r="K575" s="312" t="str">
        <x:f>IF(B575="Bilinmeyen Personel","Kontrol","OK")</x:f>
        <x:v>OK</x:v>
      </x:c>
    </x:row>
    <x:row r="576" ht="15.75">
      <x:c r="A576" s="313" t="n">
        <x:f t="shared" si="8">ROW()-ROW($A$2)+1</x:f>
        <x:v>575</x:v>
      </x:c>
      <x:c r="B576" s="313" t="s">
        <x:v>38</x:v>
      </x:c>
      <x:c r="C576" s="313" t="s">
        <x:v>39</x:v>
      </x:c>
      <x:c r="D576" s="314">
        <x:v>1</x:v>
      </x:c>
      <x:c r="E576" s="320">
        <x:v>10590</x:v>
      </x:c>
      <x:c r="F576" s="320">
        <x:v>10590</x:v>
      </x:c>
      <x:c r="G576" s="320">
        <x:v>4590</x:v>
      </x:c>
      <x:c r="H576" s="313" t="s">
        <x:v>62</x:v>
      </x:c>
      <x:c r="I576" s="313" t="s">
        <x:v>31</x:v>
      </x:c>
      <x:c r="J576" s="316" t="n">
        <x:f>IFERROR(G576/F576,0)</x:f>
        <x:v>0.43342776203966005</x:v>
      </x:c>
      <x:c r="K576" s="312" t="str">
        <x:f>IF(B576="Bilinmeyen Personel","Kontrol","OK")</x:f>
        <x:v>OK</x:v>
      </x:c>
    </x:row>
    <x:row r="577" ht="15.75">
      <x:c r="A577" s="313" t="n">
        <x:f t="shared" si="8">ROW()-ROW($A$2)+1</x:f>
        <x:v>576</x:v>
      </x:c>
      <x:c r="B577" s="313" t="s">
        <x:v>40</x:v>
      </x:c>
      <x:c r="C577" s="313" t="s">
        <x:v>20</x:v>
      </x:c>
      <x:c r="D577" s="314">
        <x:v>2</x:v>
      </x:c>
      <x:c r="E577" s="320">
        <x:v>1350</x:v>
      </x:c>
      <x:c r="F577" s="320">
        <x:v>2700</x:v>
      </x:c>
      <x:c r="G577" s="320">
        <x:v>1100</x:v>
      </x:c>
      <x:c r="H577" s="313" t="s">
        <x:v>62</x:v>
      </x:c>
      <x:c r="I577" s="313" t="s">
        <x:v>42</x:v>
      </x:c>
      <x:c r="J577" s="316" t="n">
        <x:f>IFERROR(G577/F577,0)</x:f>
        <x:v>0.4074074074074074</x:v>
      </x:c>
      <x:c r="K577" s="312" t="str">
        <x:f>IF(B577="Bilinmeyen Personel","Kontrol","OK")</x:f>
        <x:v>OK</x:v>
      </x:c>
    </x:row>
    <x:row r="578" ht="15.75">
      <x:c r="A578" s="313" t="n">
        <x:f t="shared" si="8">ROW()-ROW($A$2)+1</x:f>
        <x:v>577</x:v>
      </x:c>
      <x:c r="B578" s="313" t="s">
        <x:v>32</x:v>
      </x:c>
      <x:c r="C578" s="313" t="s">
        <x:v>14</x:v>
      </x:c>
      <x:c r="D578" s="314">
        <x:v>2</x:v>
      </x:c>
      <x:c r="E578" s="320">
        <x:v>1400</x:v>
      </x:c>
      <x:c r="F578" s="320">
        <x:v>2800</x:v>
      </x:c>
      <x:c r="G578" s="320">
        <x:v>1200</x:v>
      </x:c>
      <x:c r="H578" s="313" t="s">
        <x:v>62</x:v>
      </x:c>
      <x:c r="I578" s="313" t="s">
        <x:v>46</x:v>
      </x:c>
      <x:c r="J578" s="316" t="n">
        <x:f>IFERROR(G578/F578,0)</x:f>
        <x:v>0.42857142857142855</x:v>
      </x:c>
      <x:c r="K578" s="312" t="str">
        <x:f>IF(B578="Bilinmeyen Personel","Kontrol","OK")</x:f>
        <x:v>OK</x:v>
      </x:c>
    </x:row>
    <x:row r="579" ht="15.75">
      <x:c r="A579" s="313" t="n">
        <x:f t="shared" ref="A579:A642" si="9">ROW()-ROW($A$2)+1</x:f>
        <x:v>578</x:v>
      </x:c>
      <x:c r="B579" s="313" t="s">
        <x:v>19</x:v>
      </x:c>
      <x:c r="C579" s="313" t="s">
        <x:v>10</x:v>
      </x:c>
      <x:c r="D579" s="314">
        <x:v>1</x:v>
      </x:c>
      <x:c r="E579" s="320">
        <x:v>6000</x:v>
      </x:c>
      <x:c r="F579" s="320">
        <x:v>6000</x:v>
      </x:c>
      <x:c r="G579" s="320">
        <x:v>2000</x:v>
      </x:c>
      <x:c r="H579" s="313" t="s">
        <x:v>62</x:v>
      </x:c>
      <x:c r="I579" s="313" t="s">
        <x:v>44</x:v>
      </x:c>
      <x:c r="J579" s="316" t="n">
        <x:f>IFERROR(G579/F579,0)</x:f>
        <x:v>0.3333333333333333</x:v>
      </x:c>
      <x:c r="K579" s="312" t="str">
        <x:f>IF(B579="Bilinmeyen Personel","Kontrol","OK")</x:f>
        <x:v>OK</x:v>
      </x:c>
    </x:row>
    <x:row r="580" ht="15.75">
      <x:c r="A580" s="313" t="n">
        <x:f t="shared" si="9">ROW()-ROW($A$2)+1</x:f>
        <x:v>579</x:v>
      </x:c>
      <x:c r="B580" s="313" t="s">
        <x:v>38</x:v>
      </x:c>
      <x:c r="C580" s="313" t="s">
        <x:v>27</x:v>
      </x:c>
      <x:c r="D580" s="314">
        <x:v>2</x:v>
      </x:c>
      <x:c r="E580" s="320">
        <x:v>1100</x:v>
      </x:c>
      <x:c r="F580" s="320">
        <x:v>2200</x:v>
      </x:c>
      <x:c r="G580" s="320">
        <x:v>600</x:v>
      </x:c>
      <x:c r="H580" s="313" t="s">
        <x:v>62</x:v>
      </x:c>
      <x:c r="I580" s="313" t="s">
        <x:v>15</x:v>
      </x:c>
      <x:c r="J580" s="316" t="n">
        <x:f>IFERROR(G580/F580,0)</x:f>
        <x:v>0.2727272727272727</x:v>
      </x:c>
      <x:c r="K580" s="312" t="str">
        <x:f>IF(B580="Bilinmeyen Personel","Kontrol","OK")</x:f>
        <x:v>OK</x:v>
      </x:c>
    </x:row>
    <x:row r="581" ht="15.75">
      <x:c r="A581" s="313" t="n">
        <x:f t="shared" si="9">ROW()-ROW($A$2)+1</x:f>
        <x:v>580</x:v>
      </x:c>
      <x:c r="B581" s="313" t="s">
        <x:v>16</x:v>
      </x:c>
      <x:c r="C581" s="313" t="s">
        <x:v>10</x:v>
      </x:c>
      <x:c r="D581" s="314">
        <x:v>2</x:v>
      </x:c>
      <x:c r="E581" s="320">
        <x:v>6000</x:v>
      </x:c>
      <x:c r="F581" s="320">
        <x:v>12000</x:v>
      </x:c>
      <x:c r="G581" s="320">
        <x:v>4000</x:v>
      </x:c>
      <x:c r="H581" s="313" t="s">
        <x:v>62</x:v>
      </x:c>
      <x:c r="I581" s="313" t="s">
        <x:v>31</x:v>
      </x:c>
      <x:c r="J581" s="316" t="n">
        <x:f>IFERROR(G581/F581,0)</x:f>
        <x:v>0.3333333333333333</x:v>
      </x:c>
      <x:c r="K581" s="312" t="str">
        <x:f>IF(B581="Bilinmeyen Personel","Kontrol","OK")</x:f>
        <x:v>OK</x:v>
      </x:c>
    </x:row>
    <x:row r="582" ht="15.75">
      <x:c r="A582" s="313" t="n">
        <x:f t="shared" si="9">ROW()-ROW($A$2)+1</x:f>
        <x:v>581</x:v>
      </x:c>
      <x:c r="B582" s="313" t="s">
        <x:v>40</x:v>
      </x:c>
      <x:c r="C582" s="313" t="s">
        <x:v>43</x:v>
      </x:c>
      <x:c r="D582" s="314">
        <x:v>1</x:v>
      </x:c>
      <x:c r="E582" s="320">
        <x:v>1490</x:v>
      </x:c>
      <x:c r="F582" s="320">
        <x:v>1490</x:v>
      </x:c>
      <x:c r="G582" s="320">
        <x:v>690</x:v>
      </x:c>
      <x:c r="H582" s="313" t="s">
        <x:v>62</x:v>
      </x:c>
      <x:c r="I582" s="313" t="s">
        <x:v>18</x:v>
      </x:c>
      <x:c r="J582" s="316" t="n">
        <x:f>IFERROR(G582/F582,0)</x:f>
        <x:v>0.46308724832214765</x:v>
      </x:c>
      <x:c r="K582" s="312" t="str">
        <x:f>IF(B582="Bilinmeyen Personel","Kontrol","OK")</x:f>
        <x:v>OK</x:v>
      </x:c>
    </x:row>
    <x:row r="583" ht="15.75">
      <x:c r="A583" s="313" t="n">
        <x:f t="shared" si="9">ROW()-ROW($A$2)+1</x:f>
        <x:v>582</x:v>
      </x:c>
      <x:c r="B583" s="313" t="s">
        <x:v>38</x:v>
      </x:c>
      <x:c r="C583" s="313" t="s">
        <x:v>39</x:v>
      </x:c>
      <x:c r="D583" s="314">
        <x:v>2</x:v>
      </x:c>
      <x:c r="E583" s="320">
        <x:v>10590</x:v>
      </x:c>
      <x:c r="F583" s="320">
        <x:v>21180</x:v>
      </x:c>
      <x:c r="G583" s="320">
        <x:v>9180</x:v>
      </x:c>
      <x:c r="H583" s="313" t="s">
        <x:v>62</x:v>
      </x:c>
      <x:c r="I583" s="313" t="s">
        <x:v>37</x:v>
      </x:c>
      <x:c r="J583" s="316" t="n">
        <x:f>IFERROR(G583/F583,0)</x:f>
        <x:v>0.43342776203966005</x:v>
      </x:c>
      <x:c r="K583" s="312" t="str">
        <x:f>IF(B583="Bilinmeyen Personel","Kontrol","OK")</x:f>
        <x:v>OK</x:v>
      </x:c>
    </x:row>
    <x:row r="584" ht="15.75">
      <x:c r="A584" s="313" t="n">
        <x:f t="shared" si="9">ROW()-ROW($A$2)+1</x:f>
        <x:v>583</x:v>
      </x:c>
      <x:c r="B584" s="313" t="s">
        <x:v>16</x:v>
      </x:c>
      <x:c r="C584" s="313" t="s">
        <x:v>36</x:v>
      </x:c>
      <x:c r="D584" s="314">
        <x:v>3</x:v>
      </x:c>
      <x:c r="E584" s="320">
        <x:v>8000</x:v>
      </x:c>
      <x:c r="F584" s="320">
        <x:v>24000</x:v>
      </x:c>
      <x:c r="G584" s="320">
        <x:v>6000</x:v>
      </x:c>
      <x:c r="H584" s="313" t="s">
        <x:v>62</x:v>
      </x:c>
      <x:c r="I584" s="313" t="s">
        <x:v>18</x:v>
      </x:c>
      <x:c r="J584" s="316" t="n">
        <x:f>IFERROR(G584/F584,0)</x:f>
        <x:v>0.25</x:v>
      </x:c>
      <x:c r="K584" s="312" t="str">
        <x:f>IF(B584="Bilinmeyen Personel","Kontrol","OK")</x:f>
        <x:v>OK</x:v>
      </x:c>
    </x:row>
    <x:row r="585" ht="15.75">
      <x:c r="A585" s="313" t="n">
        <x:f t="shared" si="9">ROW()-ROW($A$2)+1</x:f>
        <x:v>584</x:v>
      </x:c>
      <x:c r="B585" s="313" t="s">
        <x:v>32</x:v>
      </x:c>
      <x:c r="C585" s="313" t="s">
        <x:v>27</x:v>
      </x:c>
      <x:c r="D585" s="314">
        <x:v>1</x:v>
      </x:c>
      <x:c r="E585" s="320">
        <x:v>1100</x:v>
      </x:c>
      <x:c r="F585" s="320">
        <x:v>1100</x:v>
      </x:c>
      <x:c r="G585" s="320">
        <x:v>300</x:v>
      </x:c>
      <x:c r="H585" s="313" t="s">
        <x:v>62</x:v>
      </x:c>
      <x:c r="I585" s="313" t="s">
        <x:v>18</x:v>
      </x:c>
      <x:c r="J585" s="316" t="n">
        <x:f>IFERROR(G585/F585,0)</x:f>
        <x:v>0.2727272727272727</x:v>
      </x:c>
      <x:c r="K585" s="312" t="str">
        <x:f>IF(B585="Bilinmeyen Personel","Kontrol","OK")</x:f>
        <x:v>OK</x:v>
      </x:c>
    </x:row>
    <x:row r="586" ht="15.75">
      <x:c r="A586" s="313" t="n">
        <x:f t="shared" si="9">ROW()-ROW($A$2)+1</x:f>
        <x:v>585</x:v>
      </x:c>
      <x:c r="B586" s="313" t="s">
        <x:v>40</x:v>
      </x:c>
      <x:c r="C586" s="313" t="s">
        <x:v>30</x:v>
      </x:c>
      <x:c r="D586" s="314">
        <x:v>1</x:v>
      </x:c>
      <x:c r="E586" s="320">
        <x:v>1200</x:v>
      </x:c>
      <x:c r="F586" s="320">
        <x:v>1200</x:v>
      </x:c>
      <x:c r="G586" s="320">
        <x:v>400</x:v>
      </x:c>
      <x:c r="H586" s="313" t="s">
        <x:v>62</x:v>
      </x:c>
      <x:c r="I586" s="313" t="s">
        <x:v>42</x:v>
      </x:c>
      <x:c r="J586" s="316" t="n">
        <x:f>IFERROR(G586/F586,0)</x:f>
        <x:v>0.3333333333333333</x:v>
      </x:c>
      <x:c r="K586" s="312" t="str">
        <x:f>IF(B586="Bilinmeyen Personel","Kontrol","OK")</x:f>
        <x:v>OK</x:v>
      </x:c>
    </x:row>
    <x:row r="587" ht="15.75">
      <x:c r="A587" s="313" t="n">
        <x:f t="shared" si="9">ROW()-ROW($A$2)+1</x:f>
        <x:v>586</x:v>
      </x:c>
      <x:c r="B587" s="313" t="s">
        <x:v>23</x:v>
      </x:c>
      <x:c r="C587" s="313" t="s">
        <x:v>45</x:v>
      </x:c>
      <x:c r="D587" s="314">
        <x:v>2</x:v>
      </x:c>
      <x:c r="E587" s="320">
        <x:v>4200</x:v>
      </x:c>
      <x:c r="F587" s="320">
        <x:v>8400</x:v>
      </x:c>
      <x:c r="G587" s="320">
        <x:v>2400</x:v>
      </x:c>
      <x:c r="H587" s="313" t="s">
        <x:v>62</x:v>
      </x:c>
      <x:c r="I587" s="313" t="s">
        <x:v>41</x:v>
      </x:c>
      <x:c r="J587" s="316" t="n">
        <x:f>IFERROR(G587/F587,0)</x:f>
        <x:v>0.2857142857142857</x:v>
      </x:c>
      <x:c r="K587" s="312" t="str">
        <x:f>IF(B587="Bilinmeyen Personel","Kontrol","OK")</x:f>
        <x:v>OK</x:v>
      </x:c>
    </x:row>
    <x:row r="588" ht="15.75">
      <x:c r="A588" s="313" t="n">
        <x:f t="shared" si="9">ROW()-ROW($A$2)+1</x:f>
        <x:v>587</x:v>
      </x:c>
      <x:c r="B588" s="313" t="s">
        <x:v>13</x:v>
      </x:c>
      <x:c r="C588" s="313" t="s">
        <x:v>47</x:v>
      </x:c>
      <x:c r="D588" s="314">
        <x:v>3</x:v>
      </x:c>
      <x:c r="E588" s="320">
        <x:v>5775</x:v>
      </x:c>
      <x:c r="F588" s="320">
        <x:v>17325</x:v>
      </x:c>
      <x:c r="G588" s="320">
        <x:v>5325</x:v>
      </x:c>
      <x:c r="H588" s="313" t="s">
        <x:v>62</x:v>
      </x:c>
      <x:c r="I588" s="313" t="s">
        <x:v>54</x:v>
      </x:c>
      <x:c r="J588" s="316" t="n">
        <x:f>IFERROR(G588/F588,0)</x:f>
        <x:v>0.30735930735930733</x:v>
      </x:c>
      <x:c r="K588" s="312" t="str">
        <x:f>IF(B588="Bilinmeyen Personel","Kontrol","OK")</x:f>
        <x:v>OK</x:v>
      </x:c>
    </x:row>
    <x:row r="589" ht="15.75">
      <x:c r="A589" s="313" t="n">
        <x:f t="shared" si="9">ROW()-ROW($A$2)+1</x:f>
        <x:v>588</x:v>
      </x:c>
      <x:c r="B589" s="313" t="s">
        <x:v>48</x:v>
      </x:c>
      <x:c r="C589" s="313" t="s">
        <x:v>24</x:v>
      </x:c>
      <x:c r="D589" s="314">
        <x:v>3</x:v>
      </x:c>
      <x:c r="E589" s="320">
        <x:v>7600</x:v>
      </x:c>
      <x:c r="F589" s="320">
        <x:v>22800</x:v>
      </x:c>
      <x:c r="G589" s="320">
        <x:v>4800</x:v>
      </x:c>
      <x:c r="H589" s="313" t="s">
        <x:v>62</x:v>
      </x:c>
      <x:c r="I589" s="313" t="s">
        <x:v>12</x:v>
      </x:c>
      <x:c r="J589" s="316" t="n">
        <x:f>IFERROR(G589/F589,0)</x:f>
        <x:v>0.21052631578947367</x:v>
      </x:c>
      <x:c r="K589" s="312" t="str">
        <x:f>IF(B589="Bilinmeyen Personel","Kontrol","OK")</x:f>
        <x:v>OK</x:v>
      </x:c>
    </x:row>
    <x:row r="590" ht="15.75">
      <x:c r="A590" s="313" t="n">
        <x:f t="shared" si="9">ROW()-ROW($A$2)+1</x:f>
        <x:v>589</x:v>
      </x:c>
      <x:c r="B590" s="313" t="s">
        <x:v>13</x:v>
      </x:c>
      <x:c r="C590" s="313" t="s">
        <x:v>26</x:v>
      </x:c>
      <x:c r="D590" s="314">
        <x:v>3</x:v>
      </x:c>
      <x:c r="E590" s="320">
        <x:v>7250</x:v>
      </x:c>
      <x:c r="F590" s="320">
        <x:v>21750</x:v>
      </x:c>
      <x:c r="G590" s="320">
        <x:v>6750</x:v>
      </x:c>
      <x:c r="H590" s="313" t="s">
        <x:v>62</x:v>
      </x:c>
      <x:c r="I590" s="313" t="s">
        <x:v>21</x:v>
      </x:c>
      <x:c r="J590" s="316" t="n">
        <x:f>IFERROR(G590/F590,0)</x:f>
        <x:v>0.3103448275862069</x:v>
      </x:c>
      <x:c r="K590" s="312" t="str">
        <x:f>IF(B590="Bilinmeyen Personel","Kontrol","OK")</x:f>
        <x:v>OK</x:v>
      </x:c>
    </x:row>
    <x:row r="591" ht="15.75">
      <x:c r="A591" s="313" t="n">
        <x:f t="shared" si="9">ROW()-ROW($A$2)+1</x:f>
        <x:v>590</x:v>
      </x:c>
      <x:c r="B591" s="313" t="s">
        <x:v>9</x:v>
      </x:c>
      <x:c r="C591" s="313" t="s">
        <x:v>26</x:v>
      </x:c>
      <x:c r="D591" s="314">
        <x:v>3</x:v>
      </x:c>
      <x:c r="E591" s="320">
        <x:v>7250</x:v>
      </x:c>
      <x:c r="F591" s="320">
        <x:v>21750</x:v>
      </x:c>
      <x:c r="G591" s="320">
        <x:v>6750</x:v>
      </x:c>
      <x:c r="H591" s="313" t="s">
        <x:v>62</x:v>
      </x:c>
      <x:c r="I591" s="313" t="s">
        <x:v>31</x:v>
      </x:c>
      <x:c r="J591" s="316" t="n">
        <x:f>IFERROR(G591/F591,0)</x:f>
        <x:v>0.3103448275862069</x:v>
      </x:c>
      <x:c r="K591" s="312" t="str">
        <x:f>IF(B591="Bilinmeyen Personel","Kontrol","OK")</x:f>
        <x:v>OK</x:v>
      </x:c>
    </x:row>
    <x:row r="592" ht="15.75">
      <x:c r="A592" s="313" t="n">
        <x:f t="shared" si="9">ROW()-ROW($A$2)+1</x:f>
        <x:v>591</x:v>
      </x:c>
      <x:c r="B592" s="313" t="s">
        <x:v>38</x:v>
      </x:c>
      <x:c r="C592" s="313" t="s">
        <x:v>26</x:v>
      </x:c>
      <x:c r="D592" s="314">
        <x:v>3</x:v>
      </x:c>
      <x:c r="E592" s="320">
        <x:v>7250</x:v>
      </x:c>
      <x:c r="F592" s="320">
        <x:v>21750</x:v>
      </x:c>
      <x:c r="G592" s="320">
        <x:v>6750</x:v>
      </x:c>
      <x:c r="H592" s="313" t="s">
        <x:v>62</x:v>
      </x:c>
      <x:c r="I592" s="313" t="s">
        <x:v>41</x:v>
      </x:c>
      <x:c r="J592" s="316" t="n">
        <x:f>IFERROR(G592/F592,0)</x:f>
        <x:v>0.3103448275862069</x:v>
      </x:c>
      <x:c r="K592" s="312" t="str">
        <x:f>IF(B592="Bilinmeyen Personel","Kontrol","OK")</x:f>
        <x:v>OK</x:v>
      </x:c>
    </x:row>
    <x:row r="593" ht="15.75">
      <x:c r="A593" s="313" t="n">
        <x:f t="shared" si="9">ROW()-ROW($A$2)+1</x:f>
        <x:v>592</x:v>
      </x:c>
      <x:c r="B593" s="313" t="s">
        <x:v>29</x:v>
      </x:c>
      <x:c r="C593" s="313" t="s">
        <x:v>20</x:v>
      </x:c>
      <x:c r="D593" s="314">
        <x:v>1</x:v>
      </x:c>
      <x:c r="E593" s="320">
        <x:v>1350</x:v>
      </x:c>
      <x:c r="F593" s="320">
        <x:v>1350</x:v>
      </x:c>
      <x:c r="G593" s="320">
        <x:v>550</x:v>
      </x:c>
      <x:c r="H593" s="313" t="s">
        <x:v>62</x:v>
      </x:c>
      <x:c r="I593" s="313" t="s">
        <x:v>37</x:v>
      </x:c>
      <x:c r="J593" s="316" t="n">
        <x:f>IFERROR(G593/F593,0)</x:f>
        <x:v>0.4074074074074074</x:v>
      </x:c>
      <x:c r="K593" s="312" t="str">
        <x:f>IF(B593="Bilinmeyen Personel","Kontrol","OK")</x:f>
        <x:v>OK</x:v>
      </x:c>
    </x:row>
    <x:row r="594" ht="15.75">
      <x:c r="A594" s="313" t="n">
        <x:f t="shared" si="9">ROW()-ROW($A$2)+1</x:f>
        <x:v>593</x:v>
      </x:c>
      <x:c r="B594" s="313" t="s">
        <x:v>13</x:v>
      </x:c>
      <x:c r="C594" s="313" t="s">
        <x:v>26</x:v>
      </x:c>
      <x:c r="D594" s="314">
        <x:v>2</x:v>
      </x:c>
      <x:c r="E594" s="320">
        <x:v>7250</x:v>
      </x:c>
      <x:c r="F594" s="320">
        <x:v>14500</x:v>
      </x:c>
      <x:c r="G594" s="320">
        <x:v>4500</x:v>
      </x:c>
      <x:c r="H594" s="313" t="s">
        <x:v>62</x:v>
      </x:c>
      <x:c r="I594" s="313" t="s">
        <x:v>54</x:v>
      </x:c>
      <x:c r="J594" s="316" t="n">
        <x:f>IFERROR(G594/F594,0)</x:f>
        <x:v>0.3103448275862069</x:v>
      </x:c>
      <x:c r="K594" s="312" t="str">
        <x:f>IF(B594="Bilinmeyen Personel","Kontrol","OK")</x:f>
        <x:v>OK</x:v>
      </x:c>
    </x:row>
    <x:row r="595" ht="15.75">
      <x:c r="A595" s="313" t="n">
        <x:f t="shared" si="9">ROW()-ROW($A$2)+1</x:f>
        <x:v>594</x:v>
      </x:c>
      <x:c r="B595" s="313" t="s">
        <x:v>32</x:v>
      </x:c>
      <x:c r="C595" s="313" t="s">
        <x:v>24</x:v>
      </x:c>
      <x:c r="D595" s="314">
        <x:v>1</x:v>
      </x:c>
      <x:c r="E595" s="320">
        <x:v>7600</x:v>
      </x:c>
      <x:c r="F595" s="320">
        <x:v>7600</x:v>
      </x:c>
      <x:c r="G595" s="320">
        <x:v>1600</x:v>
      </x:c>
      <x:c r="H595" s="313" t="s">
        <x:v>62</x:v>
      </x:c>
      <x:c r="I595" s="313" t="s">
        <x:v>31</x:v>
      </x:c>
      <x:c r="J595" s="316" t="n">
        <x:f>IFERROR(G595/F595,0)</x:f>
        <x:v>0.21052631578947367</x:v>
      </x:c>
      <x:c r="K595" s="312" t="str">
        <x:f>IF(B595="Bilinmeyen Personel","Kontrol","OK")</x:f>
        <x:v>OK</x:v>
      </x:c>
    </x:row>
    <x:row r="596" ht="15.75">
      <x:c r="A596" s="313" t="n">
        <x:f t="shared" si="9">ROW()-ROW($A$2)+1</x:f>
        <x:v>595</x:v>
      </x:c>
      <x:c r="B596" s="313" t="s">
        <x:v>50</x:v>
      </x:c>
      <x:c r="C596" s="313" t="s">
        <x:v>24</x:v>
      </x:c>
      <x:c r="D596" s="314">
        <x:v>3</x:v>
      </x:c>
      <x:c r="E596" s="320">
        <x:v>7600</x:v>
      </x:c>
      <x:c r="F596" s="320">
        <x:v>22800</x:v>
      </x:c>
      <x:c r="G596" s="320">
        <x:v>4800</x:v>
      </x:c>
      <x:c r="H596" s="313" t="s">
        <x:v>62</x:v>
      </x:c>
      <x:c r="I596" s="313" t="s">
        <x:v>44</x:v>
      </x:c>
      <x:c r="J596" s="316" t="n">
        <x:f>IFERROR(G596/F596,0)</x:f>
        <x:v>0.21052631578947367</x:v>
      </x:c>
      <x:c r="K596" s="312" t="str">
        <x:f>IF(B596="Bilinmeyen Personel","Kontrol","OK")</x:f>
        <x:v>OK</x:v>
      </x:c>
    </x:row>
    <x:row r="597" ht="15.75">
      <x:c r="A597" s="313" t="n">
        <x:f t="shared" si="9">ROW()-ROW($A$2)+1</x:f>
        <x:v>596</x:v>
      </x:c>
      <x:c r="B597" s="313" t="s">
        <x:v>13</x:v>
      </x:c>
      <x:c r="C597" s="313" t="s">
        <x:v>43</x:v>
      </x:c>
      <x:c r="D597" s="314">
        <x:v>3</x:v>
      </x:c>
      <x:c r="E597" s="320">
        <x:v>1490</x:v>
      </x:c>
      <x:c r="F597" s="320">
        <x:v>4470</x:v>
      </x:c>
      <x:c r="G597" s="320">
        <x:v>2070</x:v>
      </x:c>
      <x:c r="H597" s="313" t="s">
        <x:v>62</x:v>
      </x:c>
      <x:c r="I597" s="313" t="s">
        <x:v>12</x:v>
      </x:c>
      <x:c r="J597" s="316" t="n">
        <x:f>IFERROR(G597/F597,0)</x:f>
        <x:v>0.46308724832214765</x:v>
      </x:c>
      <x:c r="K597" s="312" t="str">
        <x:f>IF(B597="Bilinmeyen Personel","Kontrol","OK")</x:f>
        <x:v>OK</x:v>
      </x:c>
    </x:row>
    <x:row r="598" ht="15.75">
      <x:c r="A598" s="313" t="n">
        <x:f t="shared" si="9">ROW()-ROW($A$2)+1</x:f>
        <x:v>597</x:v>
      </x:c>
      <x:c r="B598" s="313" t="s">
        <x:v>29</x:v>
      </x:c>
      <x:c r="C598" s="313" t="s">
        <x:v>51</x:v>
      </x:c>
      <x:c r="D598" s="314">
        <x:v>2</x:v>
      </x:c>
      <x:c r="E598" s="320">
        <x:v>2900</x:v>
      </x:c>
      <x:c r="F598" s="320">
        <x:v>5800</x:v>
      </x:c>
      <x:c r="G598" s="320">
        <x:v>1800</x:v>
      </x:c>
      <x:c r="H598" s="313" t="s">
        <x:v>62</x:v>
      </x:c>
      <x:c r="I598" s="313" t="s">
        <x:v>25</x:v>
      </x:c>
      <x:c r="J598" s="316" t="n">
        <x:f>IFERROR(G598/F598,0)</x:f>
        <x:v>0.3103448275862069</x:v>
      </x:c>
      <x:c r="K598" s="312" t="str">
        <x:f>IF(B598="Bilinmeyen Personel","Kontrol","OK")</x:f>
        <x:v>OK</x:v>
      </x:c>
    </x:row>
    <x:row r="599" ht="15.75">
      <x:c r="A599" s="313" t="n">
        <x:f t="shared" si="9">ROW()-ROW($A$2)+1</x:f>
        <x:v>598</x:v>
      </x:c>
      <x:c r="B599" s="313" t="s">
        <x:v>40</x:v>
      </x:c>
      <x:c r="C599" s="313" t="s">
        <x:v>43</x:v>
      </x:c>
      <x:c r="D599" s="314">
        <x:v>1</x:v>
      </x:c>
      <x:c r="E599" s="320">
        <x:v>1490</x:v>
      </x:c>
      <x:c r="F599" s="320">
        <x:v>1490</x:v>
      </x:c>
      <x:c r="G599" s="320">
        <x:v>690</x:v>
      </x:c>
      <x:c r="H599" s="313" t="s">
        <x:v>62</x:v>
      </x:c>
      <x:c r="I599" s="313" t="s">
        <x:v>37</x:v>
      </x:c>
      <x:c r="J599" s="316" t="n">
        <x:f>IFERROR(G599/F599,0)</x:f>
        <x:v>0.46308724832214765</x:v>
      </x:c>
      <x:c r="K599" s="312" t="str">
        <x:f>IF(B599="Bilinmeyen Personel","Kontrol","OK")</x:f>
        <x:v>OK</x:v>
      </x:c>
    </x:row>
    <x:row r="600" ht="15.75">
      <x:c r="A600" s="313" t="n">
        <x:f t="shared" si="9">ROW()-ROW($A$2)+1</x:f>
        <x:v>599</x:v>
      </x:c>
      <x:c r="B600" s="313" t="s">
        <x:v>40</x:v>
      </x:c>
      <x:c r="C600" s="313" t="s">
        <x:v>34</x:v>
      </x:c>
      <x:c r="D600" s="314">
        <x:v>2</x:v>
      </x:c>
      <x:c r="E600" s="320">
        <x:v>1090</x:v>
      </x:c>
      <x:c r="F600" s="320">
        <x:v>2180</x:v>
      </x:c>
      <x:c r="G600" s="320">
        <x:v>580</x:v>
      </x:c>
      <x:c r="H600" s="313" t="s">
        <x:v>62</x:v>
      </x:c>
      <x:c r="I600" s="313" t="s">
        <x:v>25</x:v>
      </x:c>
      <x:c r="J600" s="316" t="n">
        <x:f>IFERROR(G600/F600,0)</x:f>
        <x:v>0.26605504587155965</x:v>
      </x:c>
      <x:c r="K600" s="312" t="str">
        <x:f>IF(B600="Bilinmeyen Personel","Kontrol","OK")</x:f>
        <x:v>OK</x:v>
      </x:c>
    </x:row>
    <x:row r="601" ht="15.75">
      <x:c r="A601" s="313" t="n">
        <x:f t="shared" si="9">ROW()-ROW($A$2)+1</x:f>
        <x:v>600</x:v>
      </x:c>
      <x:c r="B601" s="313" t="s">
        <x:v>29</x:v>
      </x:c>
      <x:c r="C601" s="313" t="s">
        <x:v>30</x:v>
      </x:c>
      <x:c r="D601" s="314">
        <x:v>2</x:v>
      </x:c>
      <x:c r="E601" s="320">
        <x:v>1200</x:v>
      </x:c>
      <x:c r="F601" s="320">
        <x:v>2400</x:v>
      </x:c>
      <x:c r="G601" s="320">
        <x:v>800</x:v>
      </x:c>
      <x:c r="H601" s="313" t="s">
        <x:v>62</x:v>
      </x:c>
      <x:c r="I601" s="313" t="s">
        <x:v>46</x:v>
      </x:c>
      <x:c r="J601" s="316" t="n">
        <x:f>IFERROR(G601/F601,0)</x:f>
        <x:v>0.3333333333333333</x:v>
      </x:c>
      <x:c r="K601" s="312" t="str">
        <x:f>IF(B601="Bilinmeyen Personel","Kontrol","OK")</x:f>
        <x:v>OK</x:v>
      </x:c>
    </x:row>
    <x:row r="602" ht="15.75">
      <x:c r="A602" s="313" t="n">
        <x:f t="shared" si="9">ROW()-ROW($A$2)+1</x:f>
        <x:v>601</x:v>
      </x:c>
      <x:c r="B602" s="313" t="s">
        <x:v>38</x:v>
      </x:c>
      <x:c r="C602" s="313" t="s">
        <x:v>39</x:v>
      </x:c>
      <x:c r="D602" s="314">
        <x:v>2</x:v>
      </x:c>
      <x:c r="E602" s="320">
        <x:v>10590</x:v>
      </x:c>
      <x:c r="F602" s="320">
        <x:v>21180</x:v>
      </x:c>
      <x:c r="G602" s="320">
        <x:v>9180</x:v>
      </x:c>
      <x:c r="H602" s="313" t="s">
        <x:v>62</x:v>
      </x:c>
      <x:c r="I602" s="313" t="s">
        <x:v>42</x:v>
      </x:c>
      <x:c r="J602" s="316" t="n">
        <x:f>IFERROR(G602/F602,0)</x:f>
        <x:v>0.43342776203966005</x:v>
      </x:c>
      <x:c r="K602" s="312" t="str">
        <x:f>IF(B602="Bilinmeyen Personel","Kontrol","OK")</x:f>
        <x:v>OK</x:v>
      </x:c>
    </x:row>
    <x:row r="603" ht="15.75">
      <x:c r="A603" s="313" t="n">
        <x:f t="shared" si="9">ROW()-ROW($A$2)+1</x:f>
        <x:v>602</x:v>
      </x:c>
      <x:c r="B603" s="313" t="s">
        <x:v>32</x:v>
      </x:c>
      <x:c r="C603" s="313" t="s">
        <x:v>45</x:v>
      </x:c>
      <x:c r="D603" s="314">
        <x:v>3</x:v>
      </x:c>
      <x:c r="E603" s="320">
        <x:v>4200</x:v>
      </x:c>
      <x:c r="F603" s="320">
        <x:v>12600</x:v>
      </x:c>
      <x:c r="G603" s="320">
        <x:v>3600</x:v>
      </x:c>
      <x:c r="H603" s="313" t="s">
        <x:v>62</x:v>
      </x:c>
      <x:c r="I603" s="313" t="s">
        <x:v>18</x:v>
      </x:c>
      <x:c r="J603" s="316" t="n">
        <x:f>IFERROR(G603/F603,0)</x:f>
        <x:v>0.2857142857142857</x:v>
      </x:c>
      <x:c r="K603" s="312" t="str">
        <x:f>IF(B603="Bilinmeyen Personel","Kontrol","OK")</x:f>
        <x:v>OK</x:v>
      </x:c>
    </x:row>
    <x:row r="604" ht="15.75">
      <x:c r="A604" s="313" t="n">
        <x:f t="shared" si="9">ROW()-ROW($A$2)+1</x:f>
        <x:v>603</x:v>
      </x:c>
      <x:c r="B604" s="313" t="s">
        <x:v>19</x:v>
      </x:c>
      <x:c r="C604" s="313" t="s">
        <x:v>45</x:v>
      </x:c>
      <x:c r="D604" s="314">
        <x:v>3</x:v>
      </x:c>
      <x:c r="E604" s="320">
        <x:v>4200</x:v>
      </x:c>
      <x:c r="F604" s="320">
        <x:v>12600</x:v>
      </x:c>
      <x:c r="G604" s="320">
        <x:v>3600</x:v>
      </x:c>
      <x:c r="H604" s="313" t="s">
        <x:v>62</x:v>
      </x:c>
      <x:c r="I604" s="313" t="s">
        <x:v>44</x:v>
      </x:c>
      <x:c r="J604" s="316" t="n">
        <x:f>IFERROR(G604/F604,0)</x:f>
        <x:v>0.2857142857142857</x:v>
      </x:c>
      <x:c r="K604" s="312" t="str">
        <x:f>IF(B604="Bilinmeyen Personel","Kontrol","OK")</x:f>
        <x:v>OK</x:v>
      </x:c>
    </x:row>
    <x:row r="605" ht="15.75">
      <x:c r="A605" s="313" t="n">
        <x:f t="shared" si="9">ROW()-ROW($A$2)+1</x:f>
        <x:v>604</x:v>
      </x:c>
      <x:c r="B605" s="313" t="s">
        <x:v>35</x:v>
      </x:c>
      <x:c r="C605" s="313" t="s">
        <x:v>39</x:v>
      </x:c>
      <x:c r="D605" s="314">
        <x:v>2</x:v>
      </x:c>
      <x:c r="E605" s="320">
        <x:v>10590</x:v>
      </x:c>
      <x:c r="F605" s="320">
        <x:v>21180</x:v>
      </x:c>
      <x:c r="G605" s="320">
        <x:v>9180</x:v>
      </x:c>
      <x:c r="H605" s="313" t="s">
        <x:v>62</x:v>
      </x:c>
      <x:c r="I605" s="313" t="s">
        <x:v>18</x:v>
      </x:c>
      <x:c r="J605" s="316" t="n">
        <x:f>IFERROR(G605/F605,0)</x:f>
        <x:v>0.43342776203966005</x:v>
      </x:c>
      <x:c r="K605" s="312" t="str">
        <x:f>IF(B605="Bilinmeyen Personel","Kontrol","OK")</x:f>
        <x:v>OK</x:v>
      </x:c>
    </x:row>
    <x:row r="606" ht="15.75">
      <x:c r="A606" s="313" t="n">
        <x:f t="shared" si="9">ROW()-ROW($A$2)+1</x:f>
        <x:v>605</x:v>
      </x:c>
      <x:c r="B606" s="313" t="s">
        <x:v>50</x:v>
      </x:c>
      <x:c r="C606" s="313" t="s">
        <x:v>52</x:v>
      </x:c>
      <x:c r="D606" s="314">
        <x:v>1</x:v>
      </x:c>
      <x:c r="E606" s="320">
        <x:v>1250</x:v>
      </x:c>
      <x:c r="F606" s="320">
        <x:v>1250</x:v>
      </x:c>
      <x:c r="G606" s="320">
        <x:v>450</x:v>
      </x:c>
      <x:c r="H606" s="313" t="s">
        <x:v>62</x:v>
      </x:c>
      <x:c r="I606" s="313" t="s">
        <x:v>44</x:v>
      </x:c>
      <x:c r="J606" s="316" t="n">
        <x:f>IFERROR(G606/F606,0)</x:f>
        <x:v>0.36</x:v>
      </x:c>
      <x:c r="K606" s="312" t="str">
        <x:f>IF(B606="Bilinmeyen Personel","Kontrol","OK")</x:f>
        <x:v>OK</x:v>
      </x:c>
    </x:row>
    <x:row r="607" ht="15.75">
      <x:c r="A607" s="313" t="n">
        <x:f t="shared" si="9">ROW()-ROW($A$2)+1</x:f>
        <x:v>606</x:v>
      </x:c>
      <x:c r="B607" s="313" t="s">
        <x:v>9</x:v>
      </x:c>
      <x:c r="C607" s="313" t="s">
        <x:v>43</x:v>
      </x:c>
      <x:c r="D607" s="314">
        <x:v>3</x:v>
      </x:c>
      <x:c r="E607" s="320">
        <x:v>1490</x:v>
      </x:c>
      <x:c r="F607" s="320">
        <x:v>4470</x:v>
      </x:c>
      <x:c r="G607" s="320">
        <x:v>2070</x:v>
      </x:c>
      <x:c r="H607" s="313" t="s">
        <x:v>62</x:v>
      </x:c>
      <x:c r="I607" s="313" t="s">
        <x:v>28</x:v>
      </x:c>
      <x:c r="J607" s="316" t="n">
        <x:f>IFERROR(G607/F607,0)</x:f>
        <x:v>0.46308724832214765</x:v>
      </x:c>
      <x:c r="K607" s="312" t="str">
        <x:f>IF(B607="Bilinmeyen Personel","Kontrol","OK")</x:f>
        <x:v>OK</x:v>
      </x:c>
    </x:row>
    <x:row r="608" ht="15.75">
      <x:c r="A608" s="313" t="n">
        <x:f t="shared" si="9">ROW()-ROW($A$2)+1</x:f>
        <x:v>607</x:v>
      </x:c>
      <x:c r="B608" s="313" t="s">
        <x:v>32</x:v>
      </x:c>
      <x:c r="C608" s="313" t="s">
        <x:v>30</x:v>
      </x:c>
      <x:c r="D608" s="314">
        <x:v>2</x:v>
      </x:c>
      <x:c r="E608" s="320">
        <x:v>1200</x:v>
      </x:c>
      <x:c r="F608" s="320">
        <x:v>2400</x:v>
      </x:c>
      <x:c r="G608" s="320">
        <x:v>800</x:v>
      </x:c>
      <x:c r="H608" s="313" t="s">
        <x:v>62</x:v>
      </x:c>
      <x:c r="I608" s="313" t="s">
        <x:v>28</x:v>
      </x:c>
      <x:c r="J608" s="316" t="n">
        <x:f>IFERROR(G608/F608,0)</x:f>
        <x:v>0.3333333333333333</x:v>
      </x:c>
      <x:c r="K608" s="312" t="str">
        <x:f>IF(B608="Bilinmeyen Personel","Kontrol","OK")</x:f>
        <x:v>OK</x:v>
      </x:c>
    </x:row>
    <x:row r="609" ht="15.75">
      <x:c r="A609" s="313" t="n">
        <x:f t="shared" si="9">ROW()-ROW($A$2)+1</x:f>
        <x:v>608</x:v>
      </x:c>
      <x:c r="B609" s="313" t="s">
        <x:v>16</x:v>
      </x:c>
      <x:c r="C609" s="313" t="s">
        <x:v>22</x:v>
      </x:c>
      <x:c r="D609" s="314">
        <x:v>3</x:v>
      </x:c>
      <x:c r="E609" s="320">
        <x:v>2180</x:v>
      </x:c>
      <x:c r="F609" s="320">
        <x:v>6540</x:v>
      </x:c>
      <x:c r="G609" s="320">
        <x:v>2040</x:v>
      </x:c>
      <x:c r="H609" s="313" t="s">
        <x:v>62</x:v>
      </x:c>
      <x:c r="I609" s="313" t="s">
        <x:v>42</x:v>
      </x:c>
      <x:c r="J609" s="316" t="n">
        <x:f>IFERROR(G609/F609,0)</x:f>
        <x:v>0.3119266055045872</x:v>
      </x:c>
      <x:c r="K609" s="312" t="str">
        <x:f>IF(B609="Bilinmeyen Personel","Kontrol","OK")</x:f>
        <x:v>OK</x:v>
      </x:c>
    </x:row>
    <x:row r="610" ht="15.75">
      <x:c r="A610" s="313" t="n">
        <x:f t="shared" si="9">ROW()-ROW($A$2)+1</x:f>
        <x:v>609</x:v>
      </x:c>
      <x:c r="B610" s="313" t="s">
        <x:v>40</x:v>
      </x:c>
      <x:c r="C610" s="313" t="s">
        <x:v>53</x:v>
      </x:c>
      <x:c r="D610" s="314">
        <x:v>3</x:v>
      </x:c>
      <x:c r="E610" s="320">
        <x:v>1200</x:v>
      </x:c>
      <x:c r="F610" s="320">
        <x:v>3600</x:v>
      </x:c>
      <x:c r="G610" s="320">
        <x:v>1200</x:v>
      </x:c>
      <x:c r="H610" s="313" t="s">
        <x:v>62</x:v>
      </x:c>
      <x:c r="I610" s="313" t="s">
        <x:v>15</x:v>
      </x:c>
      <x:c r="J610" s="316" t="n">
        <x:f>IFERROR(G610/F610,0)</x:f>
        <x:v>0.3333333333333333</x:v>
      </x:c>
      <x:c r="K610" s="312" t="str">
        <x:f>IF(B610="Bilinmeyen Personel","Kontrol","OK")</x:f>
        <x:v>OK</x:v>
      </x:c>
    </x:row>
    <x:row r="611" ht="15.75">
      <x:c r="A611" s="313" t="n">
        <x:f t="shared" si="9">ROW()-ROW($A$2)+1</x:f>
        <x:v>610</x:v>
      </x:c>
      <x:c r="B611" s="313" t="s">
        <x:v>9</x:v>
      </x:c>
      <x:c r="C611" s="313" t="s">
        <x:v>33</x:v>
      </x:c>
      <x:c r="D611" s="314">
        <x:v>1</x:v>
      </x:c>
      <x:c r="E611" s="320">
        <x:v>1800</x:v>
      </x:c>
      <x:c r="F611" s="320">
        <x:v>1800</x:v>
      </x:c>
      <x:c r="G611" s="320">
        <x:v>1000</x:v>
      </x:c>
      <x:c r="H611" s="313" t="s">
        <x:v>62</x:v>
      </x:c>
      <x:c r="I611" s="313" t="s">
        <x:v>25</x:v>
      </x:c>
      <x:c r="J611" s="316" t="n">
        <x:f>IFERROR(G611/F611,0)</x:f>
        <x:v>0.5555555555555556</x:v>
      </x:c>
      <x:c r="K611" s="312" t="str">
        <x:f>IF(B611="Bilinmeyen Personel","Kontrol","OK")</x:f>
        <x:v>OK</x:v>
      </x:c>
    </x:row>
    <x:row r="612" ht="15.75">
      <x:c r="A612" s="313" t="n">
        <x:f t="shared" si="9">ROW()-ROW($A$2)+1</x:f>
        <x:v>611</x:v>
      </x:c>
      <x:c r="B612" s="313" t="s">
        <x:v>16</x:v>
      </x:c>
      <x:c r="C612" s="313" t="s">
        <x:v>24</x:v>
      </x:c>
      <x:c r="D612" s="314">
        <x:v>1</x:v>
      </x:c>
      <x:c r="E612" s="320">
        <x:v>7600</x:v>
      </x:c>
      <x:c r="F612" s="320">
        <x:v>7600</x:v>
      </x:c>
      <x:c r="G612" s="320">
        <x:v>1600</x:v>
      </x:c>
      <x:c r="H612" s="313" t="s">
        <x:v>63</x:v>
      </x:c>
      <x:c r="I612" s="313" t="s">
        <x:v>37</x:v>
      </x:c>
      <x:c r="J612" s="316" t="n">
        <x:f>IFERROR(G612/F612,0)</x:f>
        <x:v>0.21052631578947367</x:v>
      </x:c>
      <x:c r="K612" s="312" t="str">
        <x:f>IF(B612="Bilinmeyen Personel","Kontrol","OK")</x:f>
        <x:v>OK</x:v>
      </x:c>
    </x:row>
    <x:row r="613" ht="15.75">
      <x:c r="A613" s="313" t="n">
        <x:f t="shared" si="9">ROW()-ROW($A$2)+1</x:f>
        <x:v>612</x:v>
      </x:c>
      <x:c r="B613" s="313" t="s">
        <x:v>35</x:v>
      </x:c>
      <x:c r="C613" s="313" t="s">
        <x:v>55</x:v>
      </x:c>
      <x:c r="D613" s="314">
        <x:v>1</x:v>
      </x:c>
      <x:c r="E613" s="320">
        <x:v>7530</x:v>
      </x:c>
      <x:c r="F613" s="320">
        <x:v>7530</x:v>
      </x:c>
      <x:c r="G613" s="320">
        <x:v>1530</x:v>
      </x:c>
      <x:c r="H613" s="313" t="s">
        <x:v>63</x:v>
      </x:c>
      <x:c r="I613" s="313" t="s">
        <x:v>21</x:v>
      </x:c>
      <x:c r="J613" s="316" t="n">
        <x:f>IFERROR(G613/F613,0)</x:f>
        <x:v>0.20318725099601595</x:v>
      </x:c>
      <x:c r="K613" s="312" t="str">
        <x:f>IF(B613="Bilinmeyen Personel","Kontrol","OK")</x:f>
        <x:v>OK</x:v>
      </x:c>
    </x:row>
    <x:row r="614" ht="15.75">
      <x:c r="A614" s="313" t="n">
        <x:f t="shared" si="9">ROW()-ROW($A$2)+1</x:f>
        <x:v>613</x:v>
      </x:c>
      <x:c r="B614" s="313" t="s">
        <x:v>50</x:v>
      </x:c>
      <x:c r="C614" s="313" t="s">
        <x:v>43</x:v>
      </x:c>
      <x:c r="D614" s="314">
        <x:v>2</x:v>
      </x:c>
      <x:c r="E614" s="320">
        <x:v>1490</x:v>
      </x:c>
      <x:c r="F614" s="320">
        <x:v>2980</x:v>
      </x:c>
      <x:c r="G614" s="320">
        <x:v>1380</x:v>
      </x:c>
      <x:c r="H614" s="313" t="s">
        <x:v>63</x:v>
      </x:c>
      <x:c r="I614" s="313" t="s">
        <x:v>15</x:v>
      </x:c>
      <x:c r="J614" s="316" t="n">
        <x:f>IFERROR(G614/F614,0)</x:f>
        <x:v>0.46308724832214765</x:v>
      </x:c>
      <x:c r="K614" s="312" t="str">
        <x:f>IF(B614="Bilinmeyen Personel","Kontrol","OK")</x:f>
        <x:v>OK</x:v>
      </x:c>
    </x:row>
    <x:row r="615" ht="15.75">
      <x:c r="A615" s="313" t="n">
        <x:f t="shared" si="9">ROW()-ROW($A$2)+1</x:f>
        <x:v>614</x:v>
      </x:c>
      <x:c r="B615" s="313" t="s">
        <x:v>9</x:v>
      </x:c>
      <x:c r="C615" s="313" t="s">
        <x:v>56</x:v>
      </x:c>
      <x:c r="D615" s="314">
        <x:v>1</x:v>
      </x:c>
      <x:c r="E615" s="320">
        <x:v>5300</x:v>
      </x:c>
      <x:c r="F615" s="320">
        <x:v>5300</x:v>
      </x:c>
      <x:c r="G615" s="320">
        <x:v>1300</x:v>
      </x:c>
      <x:c r="H615" s="313" t="s">
        <x:v>63</x:v>
      </x:c>
      <x:c r="I615" s="313" t="s">
        <x:v>46</x:v>
      </x:c>
      <x:c r="J615" s="316" t="n">
        <x:f>IFERROR(G615/F615,0)</x:f>
        <x:v>0.24528301886792453</x:v>
      </x:c>
      <x:c r="K615" s="312" t="str">
        <x:f>IF(B615="Bilinmeyen Personel","Kontrol","OK")</x:f>
        <x:v>OK</x:v>
      </x:c>
    </x:row>
    <x:row r="616" ht="15.75">
      <x:c r="A616" s="313" t="n">
        <x:f t="shared" si="9">ROW()-ROW($A$2)+1</x:f>
        <x:v>615</x:v>
      </x:c>
      <x:c r="B616" s="313" t="s">
        <x:v>23</x:v>
      </x:c>
      <x:c r="C616" s="313" t="s">
        <x:v>51</x:v>
      </x:c>
      <x:c r="D616" s="314">
        <x:v>2</x:v>
      </x:c>
      <x:c r="E616" s="320">
        <x:v>1200</x:v>
      </x:c>
      <x:c r="F616" s="320">
        <x:v>2400</x:v>
      </x:c>
      <x:c r="G616" s="320">
        <x:v>800</x:v>
      </x:c>
      <x:c r="H616" s="313" t="s">
        <x:v>63</x:v>
      </x:c>
      <x:c r="I616" s="313" t="s">
        <x:v>37</x:v>
      </x:c>
      <x:c r="J616" s="316" t="n">
        <x:f>IFERROR(G616/F616,0)</x:f>
        <x:v>0.3333333333333333</x:v>
      </x:c>
      <x:c r="K616" s="312" t="str">
        <x:f>IF(B616="Bilinmeyen Personel","Kontrol","OK")</x:f>
        <x:v>OK</x:v>
      </x:c>
    </x:row>
    <x:row r="617" ht="15.75">
      <x:c r="A617" s="313" t="n">
        <x:f t="shared" si="9">ROW()-ROW($A$2)+1</x:f>
        <x:v>616</x:v>
      </x:c>
      <x:c r="B617" s="313" t="s">
        <x:v>40</x:v>
      </x:c>
      <x:c r="C617" s="313" t="s">
        <x:v>34</x:v>
      </x:c>
      <x:c r="D617" s="314">
        <x:v>1</x:v>
      </x:c>
      <x:c r="E617" s="320">
        <x:v>1090</x:v>
      </x:c>
      <x:c r="F617" s="320">
        <x:v>1090</x:v>
      </x:c>
      <x:c r="G617" s="320">
        <x:v>290</x:v>
      </x:c>
      <x:c r="H617" s="313" t="s">
        <x:v>63</x:v>
      </x:c>
      <x:c r="I617" s="313" t="s">
        <x:v>41</x:v>
      </x:c>
      <x:c r="J617" s="316" t="n">
        <x:f>IFERROR(G617/F617,0)</x:f>
        <x:v>0.26605504587155965</x:v>
      </x:c>
      <x:c r="K617" s="312" t="str">
        <x:f>IF(B617="Bilinmeyen Personel","Kontrol","OK")</x:f>
        <x:v>OK</x:v>
      </x:c>
    </x:row>
    <x:row r="618" ht="15.75">
      <x:c r="A618" s="313" t="n">
        <x:f t="shared" si="9">ROW()-ROW($A$2)+1</x:f>
        <x:v>617</x:v>
      </x:c>
      <x:c r="B618" s="313" t="s">
        <x:v>23</x:v>
      </x:c>
      <x:c r="C618" s="313" t="s">
        <x:v>26</x:v>
      </x:c>
      <x:c r="D618" s="314">
        <x:v>1</x:v>
      </x:c>
      <x:c r="E618" s="320">
        <x:v>7250</x:v>
      </x:c>
      <x:c r="F618" s="320">
        <x:v>7250</x:v>
      </x:c>
      <x:c r="G618" s="320">
        <x:v>2250</x:v>
      </x:c>
      <x:c r="H618" s="313" t="s">
        <x:v>63</x:v>
      </x:c>
      <x:c r="I618" s="313" t="s">
        <x:v>21</x:v>
      </x:c>
      <x:c r="J618" s="316" t="n">
        <x:f>IFERROR(G618/F618,0)</x:f>
        <x:v>0.3103448275862069</x:v>
      </x:c>
      <x:c r="K618" s="312" t="str">
        <x:f>IF(B618="Bilinmeyen Personel","Kontrol","OK")</x:f>
        <x:v>OK</x:v>
      </x:c>
    </x:row>
    <x:row r="619" ht="15.75">
      <x:c r="A619" s="313" t="n">
        <x:f t="shared" si="9">ROW()-ROW($A$2)+1</x:f>
        <x:v>618</x:v>
      </x:c>
      <x:c r="B619" s="313" t="s">
        <x:v>48</x:v>
      </x:c>
      <x:c r="C619" s="313" t="s">
        <x:v>14</x:v>
      </x:c>
      <x:c r="D619" s="314">
        <x:v>3</x:v>
      </x:c>
      <x:c r="E619" s="320">
        <x:v>1400</x:v>
      </x:c>
      <x:c r="F619" s="320">
        <x:v>4200</x:v>
      </x:c>
      <x:c r="G619" s="320">
        <x:v>1800</x:v>
      </x:c>
      <x:c r="H619" s="313" t="s">
        <x:v>63</x:v>
      </x:c>
      <x:c r="I619" s="313" t="s">
        <x:v>25</x:v>
      </x:c>
      <x:c r="J619" s="316" t="n">
        <x:f>IFERROR(G619/F619,0)</x:f>
        <x:v>0.42857142857142855</x:v>
      </x:c>
      <x:c r="K619" s="312" t="str">
        <x:f>IF(B619="Bilinmeyen Personel","Kontrol","OK")</x:f>
        <x:v>OK</x:v>
      </x:c>
    </x:row>
    <x:row r="620" ht="15.75">
      <x:c r="A620" s="313" t="n">
        <x:f t="shared" si="9">ROW()-ROW($A$2)+1</x:f>
        <x:v>619</x:v>
      </x:c>
      <x:c r="B620" s="313" t="s">
        <x:v>16</x:v>
      </x:c>
      <x:c r="C620" s="313" t="s">
        <x:v>57</x:v>
      </x:c>
      <x:c r="D620" s="314">
        <x:v>1</x:v>
      </x:c>
      <x:c r="E620" s="320">
        <x:v>1500</x:v>
      </x:c>
      <x:c r="F620" s="320">
        <x:v>1500</x:v>
      </x:c>
      <x:c r="G620" s="320">
        <x:v>700</x:v>
      </x:c>
      <x:c r="H620" s="313" t="s">
        <x:v>63</x:v>
      </x:c>
      <x:c r="I620" s="313" t="s">
        <x:v>44</x:v>
      </x:c>
      <x:c r="J620" s="316" t="n">
        <x:f>IFERROR(G620/F620,0)</x:f>
        <x:v>0.4666666666666667</x:v>
      </x:c>
      <x:c r="K620" s="312" t="str">
        <x:f>IF(B620="Bilinmeyen Personel","Kontrol","OK")</x:f>
        <x:v>OK</x:v>
      </x:c>
    </x:row>
    <x:row r="621" ht="15.75">
      <x:c r="A621" s="313" t="n">
        <x:f t="shared" si="9">ROW()-ROW($A$2)+1</x:f>
        <x:v>620</x:v>
      </x:c>
      <x:c r="B621" s="313" t="s">
        <x:v>35</x:v>
      </x:c>
      <x:c r="C621" s="313" t="s">
        <x:v>20</x:v>
      </x:c>
      <x:c r="D621" s="314">
        <x:v>1</x:v>
      </x:c>
      <x:c r="E621" s="320">
        <x:v>1350</x:v>
      </x:c>
      <x:c r="F621" s="320">
        <x:v>1350</x:v>
      </x:c>
      <x:c r="G621" s="320">
        <x:v>550</x:v>
      </x:c>
      <x:c r="H621" s="313" t="s">
        <x:v>63</x:v>
      </x:c>
      <x:c r="I621" s="313" t="s">
        <x:v>41</x:v>
      </x:c>
      <x:c r="J621" s="316" t="n">
        <x:f>IFERROR(G621/F621,0)</x:f>
        <x:v>0.4074074074074074</x:v>
      </x:c>
      <x:c r="K621" s="312" t="str">
        <x:f>IF(B621="Bilinmeyen Personel","Kontrol","OK")</x:f>
        <x:v>OK</x:v>
      </x:c>
    </x:row>
    <x:row r="622" ht="15.75">
      <x:c r="A622" s="313" t="n">
        <x:f t="shared" si="9">ROW()-ROW($A$2)+1</x:f>
        <x:v>621</x:v>
      </x:c>
      <x:c r="B622" s="313" t="s">
        <x:v>35</x:v>
      </x:c>
      <x:c r="C622" s="313" t="s">
        <x:v>30</x:v>
      </x:c>
      <x:c r="D622" s="314">
        <x:v>3</x:v>
      </x:c>
      <x:c r="E622" s="320">
        <x:v>1200</x:v>
      </x:c>
      <x:c r="F622" s="320">
        <x:v>3600</x:v>
      </x:c>
      <x:c r="G622" s="320">
        <x:v>1200</x:v>
      </x:c>
      <x:c r="H622" s="313" t="s">
        <x:v>63</x:v>
      </x:c>
      <x:c r="I622" s="313" t="s">
        <x:v>37</x:v>
      </x:c>
      <x:c r="J622" s="316" t="n">
        <x:f>IFERROR(G622/F622,0)</x:f>
        <x:v>0.3333333333333333</x:v>
      </x:c>
      <x:c r="K622" s="312" t="str">
        <x:f>IF(B622="Bilinmeyen Personel","Kontrol","OK")</x:f>
        <x:v>OK</x:v>
      </x:c>
    </x:row>
    <x:row r="623" ht="15.75">
      <x:c r="A623" s="313" t="n">
        <x:f t="shared" si="9">ROW()-ROW($A$2)+1</x:f>
        <x:v>622</x:v>
      </x:c>
      <x:c r="B623" s="313" t="s">
        <x:v>13</x:v>
      </x:c>
      <x:c r="C623" s="313" t="s">
        <x:v>55</x:v>
      </x:c>
      <x:c r="D623" s="314">
        <x:v>3</x:v>
      </x:c>
      <x:c r="E623" s="320">
        <x:v>7530</x:v>
      </x:c>
      <x:c r="F623" s="320">
        <x:v>22590</x:v>
      </x:c>
      <x:c r="G623" s="320">
        <x:v>4590</x:v>
      </x:c>
      <x:c r="H623" s="313" t="s">
        <x:v>63</x:v>
      </x:c>
      <x:c r="I623" s="313" t="s">
        <x:v>25</x:v>
      </x:c>
      <x:c r="J623" s="316" t="n">
        <x:f>IFERROR(G623/F623,0)</x:f>
        <x:v>0.20318725099601595</x:v>
      </x:c>
      <x:c r="K623" s="312" t="str">
        <x:f>IF(B623="Bilinmeyen Personel","Kontrol","OK")</x:f>
        <x:v>OK</x:v>
      </x:c>
    </x:row>
    <x:row r="624" ht="15.75">
      <x:c r="A624" s="313" t="n">
        <x:f t="shared" si="9">ROW()-ROW($A$2)+1</x:f>
        <x:v>623</x:v>
      </x:c>
      <x:c r="B624" s="313" t="s">
        <x:v>48</x:v>
      </x:c>
      <x:c r="C624" s="313" t="s">
        <x:v>30</x:v>
      </x:c>
      <x:c r="D624" s="314">
        <x:v>1</x:v>
      </x:c>
      <x:c r="E624" s="320">
        <x:v>1200</x:v>
      </x:c>
      <x:c r="F624" s="320">
        <x:v>1200</x:v>
      </x:c>
      <x:c r="G624" s="320">
        <x:v>400</x:v>
      </x:c>
      <x:c r="H624" s="313" t="s">
        <x:v>63</x:v>
      </x:c>
      <x:c r="I624" s="313" t="s">
        <x:v>54</x:v>
      </x:c>
      <x:c r="J624" s="316" t="n">
        <x:f>IFERROR(G624/F624,0)</x:f>
        <x:v>0.3333333333333333</x:v>
      </x:c>
      <x:c r="K624" s="312" t="str">
        <x:f>IF(B624="Bilinmeyen Personel","Kontrol","OK")</x:f>
        <x:v>OK</x:v>
      </x:c>
    </x:row>
    <x:row r="625" ht="15.75">
      <x:c r="A625" s="313" t="n">
        <x:f t="shared" si="9">ROW()-ROW($A$2)+1</x:f>
        <x:v>624</x:v>
      </x:c>
      <x:c r="B625" s="313" t="s">
        <x:v>38</x:v>
      </x:c>
      <x:c r="C625" s="313" t="s">
        <x:v>33</x:v>
      </x:c>
      <x:c r="D625" s="314">
        <x:v>3</x:v>
      </x:c>
      <x:c r="E625" s="320">
        <x:v>1800</x:v>
      </x:c>
      <x:c r="F625" s="320">
        <x:v>5400</x:v>
      </x:c>
      <x:c r="G625" s="320">
        <x:v>3000</x:v>
      </x:c>
      <x:c r="H625" s="313" t="s">
        <x:v>63</x:v>
      </x:c>
      <x:c r="I625" s="313" t="s">
        <x:v>46</x:v>
      </x:c>
      <x:c r="J625" s="316" t="n">
        <x:f>IFERROR(G625/F625,0)</x:f>
        <x:v>0.5555555555555556</x:v>
      </x:c>
      <x:c r="K625" s="312" t="str">
        <x:f>IF(B625="Bilinmeyen Personel","Kontrol","OK")</x:f>
        <x:v>OK</x:v>
      </x:c>
    </x:row>
    <x:row r="626" ht="15.75">
      <x:c r="A626" s="313" t="n">
        <x:f t="shared" si="9">ROW()-ROW($A$2)+1</x:f>
        <x:v>625</x:v>
      </x:c>
      <x:c r="B626" s="313" t="s">
        <x:v>9</x:v>
      </x:c>
      <x:c r="C626" s="313" t="s">
        <x:v>26</x:v>
      </x:c>
      <x:c r="D626" s="314">
        <x:v>1</x:v>
      </x:c>
      <x:c r="E626" s="320">
        <x:v>7250</x:v>
      </x:c>
      <x:c r="F626" s="320">
        <x:v>7250</x:v>
      </x:c>
      <x:c r="G626" s="320">
        <x:v>2250</x:v>
      </x:c>
      <x:c r="H626" s="313" t="s">
        <x:v>63</x:v>
      </x:c>
      <x:c r="I626" s="313" t="s">
        <x:v>37</x:v>
      </x:c>
      <x:c r="J626" s="316" t="n">
        <x:f>IFERROR(G626/F626,0)</x:f>
        <x:v>0.3103448275862069</x:v>
      </x:c>
      <x:c r="K626" s="312" t="str">
        <x:f>IF(B626="Bilinmeyen Personel","Kontrol","OK")</x:f>
        <x:v>OK</x:v>
      </x:c>
    </x:row>
    <x:row r="627" ht="15.75">
      <x:c r="A627" s="313" t="n">
        <x:f t="shared" si="9">ROW()-ROW($A$2)+1</x:f>
        <x:v>626</x:v>
      </x:c>
      <x:c r="B627" s="313" t="s">
        <x:v>40</x:v>
      </x:c>
      <x:c r="C627" s="313" t="s">
        <x:v>43</x:v>
      </x:c>
      <x:c r="D627" s="314">
        <x:v>3</x:v>
      </x:c>
      <x:c r="E627" s="320">
        <x:v>1490</x:v>
      </x:c>
      <x:c r="F627" s="320">
        <x:v>4470</x:v>
      </x:c>
      <x:c r="G627" s="320">
        <x:v>2070</x:v>
      </x:c>
      <x:c r="H627" s="313" t="s">
        <x:v>63</x:v>
      </x:c>
      <x:c r="I627" s="313" t="s">
        <x:v>37</x:v>
      </x:c>
      <x:c r="J627" s="316" t="n">
        <x:f>IFERROR(G627/F627,0)</x:f>
        <x:v>0.46308724832214765</x:v>
      </x:c>
      <x:c r="K627" s="312" t="str">
        <x:f>IF(B627="Bilinmeyen Personel","Kontrol","OK")</x:f>
        <x:v>OK</x:v>
      </x:c>
    </x:row>
    <x:row r="628" ht="15.75">
      <x:c r="A628" s="313" t="n">
        <x:f t="shared" si="9">ROW()-ROW($A$2)+1</x:f>
        <x:v>627</x:v>
      </x:c>
      <x:c r="B628" s="313" t="s">
        <x:v>40</x:v>
      </x:c>
      <x:c r="C628" s="313" t="s">
        <x:v>53</x:v>
      </x:c>
      <x:c r="D628" s="314">
        <x:v>1</x:v>
      </x:c>
      <x:c r="E628" s="320">
        <x:v>1200</x:v>
      </x:c>
      <x:c r="F628" s="320">
        <x:v>1200</x:v>
      </x:c>
      <x:c r="G628" s="320">
        <x:v>400</x:v>
      </x:c>
      <x:c r="H628" s="313" t="s">
        <x:v>63</x:v>
      </x:c>
      <x:c r="I628" s="313" t="s">
        <x:v>54</x:v>
      </x:c>
      <x:c r="J628" s="316" t="n">
        <x:f>IFERROR(G628/F628,0)</x:f>
        <x:v>0.3333333333333333</x:v>
      </x:c>
      <x:c r="K628" s="312" t="str">
        <x:f>IF(B628="Bilinmeyen Personel","Kontrol","OK")</x:f>
        <x:v>OK</x:v>
      </x:c>
    </x:row>
    <x:row r="629" ht="15.75">
      <x:c r="A629" s="313" t="n">
        <x:f t="shared" si="9">ROW()-ROW($A$2)+1</x:f>
        <x:v>628</x:v>
      </x:c>
      <x:c r="B629" s="313" t="s">
        <x:v>13</x:v>
      </x:c>
      <x:c r="C629" s="313" t="s">
        <x:v>36</x:v>
      </x:c>
      <x:c r="D629" s="314">
        <x:v>1</x:v>
      </x:c>
      <x:c r="E629" s="320">
        <x:v>8000</x:v>
      </x:c>
      <x:c r="F629" s="320">
        <x:v>8000</x:v>
      </x:c>
      <x:c r="G629" s="320">
        <x:v>2000</x:v>
      </x:c>
      <x:c r="H629" s="313" t="s">
        <x:v>63</x:v>
      </x:c>
      <x:c r="I629" s="313" t="s">
        <x:v>46</x:v>
      </x:c>
      <x:c r="J629" s="316" t="n">
        <x:f>IFERROR(G629/F629,0)</x:f>
        <x:v>0.25</x:v>
      </x:c>
      <x:c r="K629" s="312" t="str">
        <x:f>IF(B629="Bilinmeyen Personel","Kontrol","OK")</x:f>
        <x:v>OK</x:v>
      </x:c>
    </x:row>
    <x:row r="630" ht="15.75">
      <x:c r="A630" s="313" t="n">
        <x:f t="shared" si="9">ROW()-ROW($A$2)+1</x:f>
        <x:v>629</x:v>
      </x:c>
      <x:c r="B630" s="313" t="s">
        <x:v>32</x:v>
      </x:c>
      <x:c r="C630" s="313" t="s">
        <x:v>14</x:v>
      </x:c>
      <x:c r="D630" s="314">
        <x:v>1</x:v>
      </x:c>
      <x:c r="E630" s="320">
        <x:v>1400</x:v>
      </x:c>
      <x:c r="F630" s="320">
        <x:v>1400</x:v>
      </x:c>
      <x:c r="G630" s="320">
        <x:v>600</x:v>
      </x:c>
      <x:c r="H630" s="313" t="s">
        <x:v>63</x:v>
      </x:c>
      <x:c r="I630" s="313" t="s">
        <x:v>21</x:v>
      </x:c>
      <x:c r="J630" s="316" t="n">
        <x:f>IFERROR(G630/F630,0)</x:f>
        <x:v>0.42857142857142855</x:v>
      </x:c>
      <x:c r="K630" s="312" t="str">
        <x:f>IF(B630="Bilinmeyen Personel","Kontrol","OK")</x:f>
        <x:v>OK</x:v>
      </x:c>
    </x:row>
    <x:row r="631" ht="15.75">
      <x:c r="A631" s="313" t="n">
        <x:f t="shared" si="9">ROW()-ROW($A$2)+1</x:f>
        <x:v>630</x:v>
      </x:c>
      <x:c r="B631" s="313" t="s">
        <x:v>29</x:v>
      </x:c>
      <x:c r="C631" s="313" t="s">
        <x:v>20</x:v>
      </x:c>
      <x:c r="D631" s="314">
        <x:v>1</x:v>
      </x:c>
      <x:c r="E631" s="320">
        <x:v>1350</x:v>
      </x:c>
      <x:c r="F631" s="320">
        <x:v>1350</x:v>
      </x:c>
      <x:c r="G631" s="320">
        <x:v>550</x:v>
      </x:c>
      <x:c r="H631" s="313" t="s">
        <x:v>63</x:v>
      </x:c>
      <x:c r="I631" s="313" t="s">
        <x:v>44</x:v>
      </x:c>
      <x:c r="J631" s="316" t="n">
        <x:f>IFERROR(G631/F631,0)</x:f>
        <x:v>0.4074074074074074</x:v>
      </x:c>
      <x:c r="K631" s="312" t="str">
        <x:f>IF(B631="Bilinmeyen Personel","Kontrol","OK")</x:f>
        <x:v>OK</x:v>
      </x:c>
    </x:row>
    <x:row r="632" ht="15.75">
      <x:c r="A632" s="313" t="n">
        <x:f t="shared" si="9">ROW()-ROW($A$2)+1</x:f>
        <x:v>631</x:v>
      </x:c>
      <x:c r="B632" s="313" t="s">
        <x:v>38</x:v>
      </x:c>
      <x:c r="C632" s="313" t="s">
        <x:v>53</x:v>
      </x:c>
      <x:c r="D632" s="314">
        <x:v>1</x:v>
      </x:c>
      <x:c r="E632" s="320">
        <x:v>1200</x:v>
      </x:c>
      <x:c r="F632" s="320">
        <x:v>1200</x:v>
      </x:c>
      <x:c r="G632" s="320">
        <x:v>400</x:v>
      </x:c>
      <x:c r="H632" s="313" t="s">
        <x:v>63</x:v>
      </x:c>
      <x:c r="I632" s="313" t="s">
        <x:v>25</x:v>
      </x:c>
      <x:c r="J632" s="316" t="n">
        <x:f>IFERROR(G632/F632,0)</x:f>
        <x:v>0.3333333333333333</x:v>
      </x:c>
      <x:c r="K632" s="312" t="str">
        <x:f>IF(B632="Bilinmeyen Personel","Kontrol","OK")</x:f>
        <x:v>OK</x:v>
      </x:c>
    </x:row>
    <x:row r="633" ht="15.75">
      <x:c r="A633" s="313" t="n">
        <x:f t="shared" si="9">ROW()-ROW($A$2)+1</x:f>
        <x:v>632</x:v>
      </x:c>
      <x:c r="B633" s="313" t="s">
        <x:v>32</x:v>
      </x:c>
      <x:c r="C633" s="313" t="s">
        <x:v>56</x:v>
      </x:c>
      <x:c r="D633" s="314">
        <x:v>1</x:v>
      </x:c>
      <x:c r="E633" s="320">
        <x:v>5300</x:v>
      </x:c>
      <x:c r="F633" s="320">
        <x:v>5300</x:v>
      </x:c>
      <x:c r="G633" s="320">
        <x:v>1300</x:v>
      </x:c>
      <x:c r="H633" s="313" t="s">
        <x:v>63</x:v>
      </x:c>
      <x:c r="I633" s="313" t="s">
        <x:v>15</x:v>
      </x:c>
      <x:c r="J633" s="316" t="n">
        <x:f>IFERROR(G633/F633,0)</x:f>
        <x:v>0.24528301886792453</x:v>
      </x:c>
      <x:c r="K633" s="312" t="str">
        <x:f>IF(B633="Bilinmeyen Personel","Kontrol","OK")</x:f>
        <x:v>OK</x:v>
      </x:c>
    </x:row>
    <x:row r="634" ht="15.75">
      <x:c r="A634" s="313" t="n">
        <x:f t="shared" si="9">ROW()-ROW($A$2)+1</x:f>
        <x:v>633</x:v>
      </x:c>
      <x:c r="B634" s="313" t="s">
        <x:v>40</x:v>
      </x:c>
      <x:c r="C634" s="313" t="s">
        <x:v>39</x:v>
      </x:c>
      <x:c r="D634" s="314">
        <x:v>3</x:v>
      </x:c>
      <x:c r="E634" s="320">
        <x:v>10590</x:v>
      </x:c>
      <x:c r="F634" s="320">
        <x:v>31770</x:v>
      </x:c>
      <x:c r="G634" s="320">
        <x:v>13770</x:v>
      </x:c>
      <x:c r="H634" s="313" t="s">
        <x:v>63</x:v>
      </x:c>
      <x:c r="I634" s="313" t="s">
        <x:v>28</x:v>
      </x:c>
      <x:c r="J634" s="316" t="n">
        <x:f>IFERROR(G634/F634,0)</x:f>
        <x:v>0.43342776203966005</x:v>
      </x:c>
      <x:c r="K634" s="312" t="str">
        <x:f>IF(B634="Bilinmeyen Personel","Kontrol","OK")</x:f>
        <x:v>OK</x:v>
      </x:c>
    </x:row>
    <x:row r="635" ht="15.75">
      <x:c r="A635" s="313" t="n">
        <x:f t="shared" si="9">ROW()-ROW($A$2)+1</x:f>
        <x:v>634</x:v>
      </x:c>
      <x:c r="B635" s="313" t="s">
        <x:v>23</x:v>
      </x:c>
      <x:c r="C635" s="313" t="s">
        <x:v>52</x:v>
      </x:c>
      <x:c r="D635" s="314">
        <x:v>1</x:v>
      </x:c>
      <x:c r="E635" s="320">
        <x:v>1250</x:v>
      </x:c>
      <x:c r="F635" s="320">
        <x:v>1250</x:v>
      </x:c>
      <x:c r="G635" s="320">
        <x:v>450</x:v>
      </x:c>
      <x:c r="H635" s="313" t="s">
        <x:v>63</x:v>
      </x:c>
      <x:c r="I635" s="313" t="s">
        <x:v>44</x:v>
      </x:c>
      <x:c r="J635" s="316" t="n">
        <x:f>IFERROR(G635/F635,0)</x:f>
        <x:v>0.36</x:v>
      </x:c>
      <x:c r="K635" s="312" t="str">
        <x:f>IF(B635="Bilinmeyen Personel","Kontrol","OK")</x:f>
        <x:v>OK</x:v>
      </x:c>
    </x:row>
    <x:row r="636" ht="15.75">
      <x:c r="A636" s="313" t="n">
        <x:f t="shared" si="9">ROW()-ROW($A$2)+1</x:f>
        <x:v>635</x:v>
      </x:c>
      <x:c r="B636" s="313" t="s">
        <x:v>50</x:v>
      </x:c>
      <x:c r="C636" s="313" t="s">
        <x:v>53</x:v>
      </x:c>
      <x:c r="D636" s="314">
        <x:v>1</x:v>
      </x:c>
      <x:c r="E636" s="320">
        <x:v>1200</x:v>
      </x:c>
      <x:c r="F636" s="320">
        <x:v>1200</x:v>
      </x:c>
      <x:c r="G636" s="320">
        <x:v>400</x:v>
      </x:c>
      <x:c r="H636" s="313" t="s">
        <x:v>63</x:v>
      </x:c>
      <x:c r="I636" s="313" t="s">
        <x:v>44</x:v>
      </x:c>
      <x:c r="J636" s="316" t="n">
        <x:f>IFERROR(G636/F636,0)</x:f>
        <x:v>0.3333333333333333</x:v>
      </x:c>
      <x:c r="K636" s="312" t="str">
        <x:f>IF(B636="Bilinmeyen Personel","Kontrol","OK")</x:f>
        <x:v>OK</x:v>
      </x:c>
    </x:row>
    <x:row r="637" ht="15.75">
      <x:c r="A637" s="313" t="n">
        <x:f t="shared" si="9">ROW()-ROW($A$2)+1</x:f>
        <x:v>636</x:v>
      </x:c>
      <x:c r="B637" s="313" t="s">
        <x:v>23</x:v>
      </x:c>
      <x:c r="C637" s="313" t="s">
        <x:v>14</x:v>
      </x:c>
      <x:c r="D637" s="314">
        <x:v>3</x:v>
      </x:c>
      <x:c r="E637" s="320">
        <x:v>1400</x:v>
      </x:c>
      <x:c r="F637" s="320">
        <x:v>4200</x:v>
      </x:c>
      <x:c r="G637" s="320">
        <x:v>1800</x:v>
      </x:c>
      <x:c r="H637" s="313" t="s">
        <x:v>63</x:v>
      </x:c>
      <x:c r="I637" s="313" t="s">
        <x:v>41</x:v>
      </x:c>
      <x:c r="J637" s="316" t="n">
        <x:f>IFERROR(G637/F637,0)</x:f>
        <x:v>0.42857142857142855</x:v>
      </x:c>
      <x:c r="K637" s="312" t="str">
        <x:f>IF(B637="Bilinmeyen Personel","Kontrol","OK")</x:f>
        <x:v>OK</x:v>
      </x:c>
    </x:row>
    <x:row r="638" ht="15.75">
      <x:c r="A638" s="313" t="n">
        <x:f t="shared" si="9">ROW()-ROW($A$2)+1</x:f>
        <x:v>637</x:v>
      </x:c>
      <x:c r="B638" s="313" t="s">
        <x:v>50</x:v>
      </x:c>
      <x:c r="C638" s="313" t="s">
        <x:v>55</x:v>
      </x:c>
      <x:c r="D638" s="314">
        <x:v>2</x:v>
      </x:c>
      <x:c r="E638" s="320">
        <x:v>7530</x:v>
      </x:c>
      <x:c r="F638" s="320">
        <x:v>15060</x:v>
      </x:c>
      <x:c r="G638" s="320">
        <x:v>3060</x:v>
      </x:c>
      <x:c r="H638" s="313" t="s">
        <x:v>63</x:v>
      </x:c>
      <x:c r="I638" s="313" t="s">
        <x:v>46</x:v>
      </x:c>
      <x:c r="J638" s="316" t="n">
        <x:f>IFERROR(G638/F638,0)</x:f>
        <x:v>0.20318725099601595</x:v>
      </x:c>
      <x:c r="K638" s="312" t="str">
        <x:f>IF(B638="Bilinmeyen Personel","Kontrol","OK")</x:f>
        <x:v>OK</x:v>
      </x:c>
    </x:row>
    <x:row r="639" ht="15.75">
      <x:c r="A639" s="313" t="n">
        <x:f t="shared" si="9">ROW()-ROW($A$2)+1</x:f>
        <x:v>638</x:v>
      </x:c>
      <x:c r="B639" s="313" t="s">
        <x:v>32</x:v>
      </x:c>
      <x:c r="C639" s="313" t="s">
        <x:v>24</x:v>
      </x:c>
      <x:c r="D639" s="314">
        <x:v>1</x:v>
      </x:c>
      <x:c r="E639" s="320">
        <x:v>7600</x:v>
      </x:c>
      <x:c r="F639" s="320">
        <x:v>7600</x:v>
      </x:c>
      <x:c r="G639" s="320">
        <x:v>1600</x:v>
      </x:c>
      <x:c r="H639" s="313" t="s">
        <x:v>63</x:v>
      </x:c>
      <x:c r="I639" s="313" t="s">
        <x:v>25</x:v>
      </x:c>
      <x:c r="J639" s="316" t="n">
        <x:f>IFERROR(G639/F639,0)</x:f>
        <x:v>0.21052631578947367</x:v>
      </x:c>
      <x:c r="K639" s="312" t="str">
        <x:f>IF(B639="Bilinmeyen Personel","Kontrol","OK")</x:f>
        <x:v>OK</x:v>
      </x:c>
    </x:row>
    <x:row r="640" ht="15.75">
      <x:c r="A640" s="313" t="n">
        <x:f t="shared" si="9">ROW()-ROW($A$2)+1</x:f>
        <x:v>639</x:v>
      </x:c>
      <x:c r="B640" s="313" t="s">
        <x:v>50</x:v>
      </x:c>
      <x:c r="C640" s="313" t="s">
        <x:v>57</x:v>
      </x:c>
      <x:c r="D640" s="314">
        <x:v>1</x:v>
      </x:c>
      <x:c r="E640" s="320">
        <x:v>1500</x:v>
      </x:c>
      <x:c r="F640" s="320">
        <x:v>1500</x:v>
      </x:c>
      <x:c r="G640" s="320">
        <x:v>700</x:v>
      </x:c>
      <x:c r="H640" s="313" t="s">
        <x:v>63</x:v>
      </x:c>
      <x:c r="I640" s="313" t="s">
        <x:v>31</x:v>
      </x:c>
      <x:c r="J640" s="316" t="n">
        <x:f>IFERROR(G640/F640,0)</x:f>
        <x:v>0.4666666666666667</x:v>
      </x:c>
      <x:c r="K640" s="312" t="str">
        <x:f>IF(B640="Bilinmeyen Personel","Kontrol","OK")</x:f>
        <x:v>OK</x:v>
      </x:c>
    </x:row>
    <x:row r="641" ht="15.75">
      <x:c r="A641" s="313" t="n">
        <x:f t="shared" si="9">ROW()-ROW($A$2)+1</x:f>
        <x:v>640</x:v>
      </x:c>
      <x:c r="B641" s="313" t="s">
        <x:v>40</x:v>
      </x:c>
      <x:c r="C641" s="313" t="s">
        <x:v>22</x:v>
      </x:c>
      <x:c r="D641" s="314">
        <x:v>2</x:v>
      </x:c>
      <x:c r="E641" s="320">
        <x:v>2180</x:v>
      </x:c>
      <x:c r="F641" s="320">
        <x:v>4360</x:v>
      </x:c>
      <x:c r="G641" s="320">
        <x:v>1360</x:v>
      </x:c>
      <x:c r="H641" s="313" t="s">
        <x:v>63</x:v>
      </x:c>
      <x:c r="I641" s="313" t="s">
        <x:v>18</x:v>
      </x:c>
      <x:c r="J641" s="316" t="n">
        <x:f>IFERROR(G641/F641,0)</x:f>
        <x:v>0.3119266055045872</x:v>
      </x:c>
      <x:c r="K641" s="312" t="str">
        <x:f>IF(B641="Bilinmeyen Personel","Kontrol","OK")</x:f>
        <x:v>OK</x:v>
      </x:c>
    </x:row>
    <x:row r="642" ht="15.75">
      <x:c r="A642" s="313" t="n">
        <x:f t="shared" si="9">ROW()-ROW($A$2)+1</x:f>
        <x:v>641</x:v>
      </x:c>
      <x:c r="B642" s="313" t="s">
        <x:v>19</x:v>
      </x:c>
      <x:c r="C642" s="313" t="s">
        <x:v>22</x:v>
      </x:c>
      <x:c r="D642" s="314">
        <x:v>1</x:v>
      </x:c>
      <x:c r="E642" s="320">
        <x:v>2180</x:v>
      </x:c>
      <x:c r="F642" s="320">
        <x:v>2180</x:v>
      </x:c>
      <x:c r="G642" s="320">
        <x:v>680</x:v>
      </x:c>
      <x:c r="H642" s="313" t="s">
        <x:v>63</x:v>
      </x:c>
      <x:c r="I642" s="313" t="s">
        <x:v>25</x:v>
      </x:c>
      <x:c r="J642" s="316" t="n">
        <x:f>IFERROR(G642/F642,0)</x:f>
        <x:v>0.3119266055045872</x:v>
      </x:c>
      <x:c r="K642" s="312" t="str">
        <x:f>IF(B642="Bilinmeyen Personel","Kontrol","OK")</x:f>
        <x:v>OK</x:v>
      </x:c>
    </x:row>
    <x:row r="643" ht="15.75">
      <x:c r="A643" s="313" t="n">
        <x:f t="shared" ref="A643:A706" si="10">ROW()-ROW($A$2)+1</x:f>
        <x:v>642</x:v>
      </x:c>
      <x:c r="B643" s="313" t="s">
        <x:v>40</x:v>
      </x:c>
      <x:c r="C643" s="313" t="s">
        <x:v>47</x:v>
      </x:c>
      <x:c r="D643" s="314">
        <x:v>1</x:v>
      </x:c>
      <x:c r="E643" s="320">
        <x:v>5775</x:v>
      </x:c>
      <x:c r="F643" s="320">
        <x:v>5775</x:v>
      </x:c>
      <x:c r="G643" s="320">
        <x:v>1775</x:v>
      </x:c>
      <x:c r="H643" s="313" t="s">
        <x:v>63</x:v>
      </x:c>
      <x:c r="I643" s="313" t="s">
        <x:v>42</x:v>
      </x:c>
      <x:c r="J643" s="316" t="n">
        <x:f>IFERROR(G643/F643,0)</x:f>
        <x:v>0.30735930735930733</x:v>
      </x:c>
      <x:c r="K643" s="312" t="str">
        <x:f>IF(B643="Bilinmeyen Personel","Kontrol","OK")</x:f>
        <x:v>OK</x:v>
      </x:c>
    </x:row>
    <x:row r="644" ht="15.75">
      <x:c r="A644" s="313" t="n">
        <x:f t="shared" si="10">ROW()-ROW($A$2)+1</x:f>
        <x:v>643</x:v>
      </x:c>
      <x:c r="B644" s="313" t="s">
        <x:v>40</x:v>
      </x:c>
      <x:c r="C644" s="313" t="s">
        <x:v>27</x:v>
      </x:c>
      <x:c r="D644" s="314">
        <x:v>3</x:v>
      </x:c>
      <x:c r="E644" s="320">
        <x:v>1100</x:v>
      </x:c>
      <x:c r="F644" s="320">
        <x:v>3300</x:v>
      </x:c>
      <x:c r="G644" s="320">
        <x:v>900</x:v>
      </x:c>
      <x:c r="H644" s="313" t="s">
        <x:v>63</x:v>
      </x:c>
      <x:c r="I644" s="313" t="s">
        <x:v>46</x:v>
      </x:c>
      <x:c r="J644" s="316" t="n">
        <x:f>IFERROR(G644/F644,0)</x:f>
        <x:v>0.2727272727272727</x:v>
      </x:c>
      <x:c r="K644" s="312" t="str">
        <x:f>IF(B644="Bilinmeyen Personel","Kontrol","OK")</x:f>
        <x:v>OK</x:v>
      </x:c>
    </x:row>
    <x:row r="645" ht="15.75">
      <x:c r="A645" s="313" t="n">
        <x:f t="shared" si="10">ROW()-ROW($A$2)+1</x:f>
        <x:v>644</x:v>
      </x:c>
      <x:c r="B645" s="313" t="s">
        <x:v>48</x:v>
      </x:c>
      <x:c r="C645" s="313" t="s">
        <x:v>47</x:v>
      </x:c>
      <x:c r="D645" s="314">
        <x:v>1</x:v>
      </x:c>
      <x:c r="E645" s="320">
        <x:v>5775</x:v>
      </x:c>
      <x:c r="F645" s="320">
        <x:v>5775</x:v>
      </x:c>
      <x:c r="G645" s="320">
        <x:v>1775</x:v>
      </x:c>
      <x:c r="H645" s="313" t="s">
        <x:v>63</x:v>
      </x:c>
      <x:c r="I645" s="313" t="s">
        <x:v>41</x:v>
      </x:c>
      <x:c r="J645" s="316" t="n">
        <x:f>IFERROR(G645/F645,0)</x:f>
        <x:v>0.30735930735930733</x:v>
      </x:c>
      <x:c r="K645" s="312" t="str">
        <x:f>IF(B645="Bilinmeyen Personel","Kontrol","OK")</x:f>
        <x:v>OK</x:v>
      </x:c>
    </x:row>
    <x:row r="646" ht="15.75">
      <x:c r="A646" s="313" t="n">
        <x:f t="shared" si="10">ROW()-ROW($A$2)+1</x:f>
        <x:v>645</x:v>
      </x:c>
      <x:c r="B646" s="313" t="s">
        <x:v>35</x:v>
      </x:c>
      <x:c r="C646" s="313" t="s">
        <x:v>20</x:v>
      </x:c>
      <x:c r="D646" s="314">
        <x:v>1</x:v>
      </x:c>
      <x:c r="E646" s="320">
        <x:v>1350</x:v>
      </x:c>
      <x:c r="F646" s="320">
        <x:v>1350</x:v>
      </x:c>
      <x:c r="G646" s="320">
        <x:v>550</x:v>
      </x:c>
      <x:c r="H646" s="313" t="s">
        <x:v>63</x:v>
      </x:c>
      <x:c r="I646" s="313" t="s">
        <x:v>37</x:v>
      </x:c>
      <x:c r="J646" s="316" t="n">
        <x:f>IFERROR(G646/F646,0)</x:f>
        <x:v>0.4074074074074074</x:v>
      </x:c>
      <x:c r="K646" s="312" t="str">
        <x:f>IF(B646="Bilinmeyen Personel","Kontrol","OK")</x:f>
        <x:v>OK</x:v>
      </x:c>
    </x:row>
    <x:row r="647" ht="15.75">
      <x:c r="A647" s="313" t="n">
        <x:f t="shared" si="10">ROW()-ROW($A$2)+1</x:f>
        <x:v>646</x:v>
      </x:c>
      <x:c r="B647" s="313" t="s">
        <x:v>9</x:v>
      </x:c>
      <x:c r="C647" s="313" t="s">
        <x:v>24</x:v>
      </x:c>
      <x:c r="D647" s="314">
        <x:v>3</x:v>
      </x:c>
      <x:c r="E647" s="320">
        <x:v>7600</x:v>
      </x:c>
      <x:c r="F647" s="320">
        <x:v>22800</x:v>
      </x:c>
      <x:c r="G647" s="320">
        <x:v>4800</x:v>
      </x:c>
      <x:c r="H647" s="313" t="s">
        <x:v>63</x:v>
      </x:c>
      <x:c r="I647" s="313" t="s">
        <x:v>18</x:v>
      </x:c>
      <x:c r="J647" s="316" t="n">
        <x:f>IFERROR(G647/F647,0)</x:f>
        <x:v>0.21052631578947367</x:v>
      </x:c>
      <x:c r="K647" s="312" t="str">
        <x:f>IF(B647="Bilinmeyen Personel","Kontrol","OK")</x:f>
        <x:v>OK</x:v>
      </x:c>
    </x:row>
    <x:row r="648" ht="15.75">
      <x:c r="A648" s="313" t="n">
        <x:f t="shared" si="10">ROW()-ROW($A$2)+1</x:f>
        <x:v>647</x:v>
      </x:c>
      <x:c r="B648" s="313" t="s">
        <x:v>16</x:v>
      </x:c>
      <x:c r="C648" s="313" t="s">
        <x:v>26</x:v>
      </x:c>
      <x:c r="D648" s="314">
        <x:v>3</x:v>
      </x:c>
      <x:c r="E648" s="320">
        <x:v>7250</x:v>
      </x:c>
      <x:c r="F648" s="320">
        <x:v>21750</x:v>
      </x:c>
      <x:c r="G648" s="320">
        <x:v>6750</x:v>
      </x:c>
      <x:c r="H648" s="313" t="s">
        <x:v>63</x:v>
      </x:c>
      <x:c r="I648" s="313" t="s">
        <x:v>37</x:v>
      </x:c>
      <x:c r="J648" s="316" t="n">
        <x:f>IFERROR(G648/F648,0)</x:f>
        <x:v>0.3103448275862069</x:v>
      </x:c>
      <x:c r="K648" s="312" t="str">
        <x:f>IF(B648="Bilinmeyen Personel","Kontrol","OK")</x:f>
        <x:v>OK</x:v>
      </x:c>
    </x:row>
    <x:row r="649" ht="15.75">
      <x:c r="A649" s="313" t="n">
        <x:f t="shared" si="10">ROW()-ROW($A$2)+1</x:f>
        <x:v>648</x:v>
      </x:c>
      <x:c r="B649" s="313" t="s">
        <x:v>50</x:v>
      </x:c>
      <x:c r="C649" s="313" t="s">
        <x:v>43</x:v>
      </x:c>
      <x:c r="D649" s="314">
        <x:v>2</x:v>
      </x:c>
      <x:c r="E649" s="320">
        <x:v>1490</x:v>
      </x:c>
      <x:c r="F649" s="320">
        <x:v>2980</x:v>
      </x:c>
      <x:c r="G649" s="320">
        <x:v>1380</x:v>
      </x:c>
      <x:c r="H649" s="313" t="s">
        <x:v>63</x:v>
      </x:c>
      <x:c r="I649" s="313" t="s">
        <x:v>15</x:v>
      </x:c>
      <x:c r="J649" s="316" t="n">
        <x:f>IFERROR(G649/F649,0)</x:f>
        <x:v>0.46308724832214765</x:v>
      </x:c>
      <x:c r="K649" s="312" t="str">
        <x:f>IF(B649="Bilinmeyen Personel","Kontrol","OK")</x:f>
        <x:v>OK</x:v>
      </x:c>
    </x:row>
    <x:row r="650" ht="15.75">
      <x:c r="A650" s="313" t="n">
        <x:f t="shared" si="10">ROW()-ROW($A$2)+1</x:f>
        <x:v>649</x:v>
      </x:c>
      <x:c r="B650" s="313" t="s">
        <x:v>19</x:v>
      </x:c>
      <x:c r="C650" s="313" t="s">
        <x:v>43</x:v>
      </x:c>
      <x:c r="D650" s="314">
        <x:v>2</x:v>
      </x:c>
      <x:c r="E650" s="320">
        <x:v>1490</x:v>
      </x:c>
      <x:c r="F650" s="320">
        <x:v>2980</x:v>
      </x:c>
      <x:c r="G650" s="320">
        <x:v>1380</x:v>
      </x:c>
      <x:c r="H650" s="313" t="s">
        <x:v>63</x:v>
      </x:c>
      <x:c r="I650" s="313" t="s">
        <x:v>28</x:v>
      </x:c>
      <x:c r="J650" s="316" t="n">
        <x:f>IFERROR(G650/F650,0)</x:f>
        <x:v>0.46308724832214765</x:v>
      </x:c>
      <x:c r="K650" s="312" t="str">
        <x:f>IF(B650="Bilinmeyen Personel","Kontrol","OK")</x:f>
        <x:v>OK</x:v>
      </x:c>
    </x:row>
    <x:row r="651" ht="15.75">
      <x:c r="A651" s="313" t="n">
        <x:f t="shared" si="10">ROW()-ROW($A$2)+1</x:f>
        <x:v>650</x:v>
      </x:c>
      <x:c r="B651" s="313" t="s">
        <x:v>38</x:v>
      </x:c>
      <x:c r="C651" s="313" t="s">
        <x:v>34</x:v>
      </x:c>
      <x:c r="D651" s="314">
        <x:v>2</x:v>
      </x:c>
      <x:c r="E651" s="320">
        <x:v>1090</x:v>
      </x:c>
      <x:c r="F651" s="320">
        <x:v>2180</x:v>
      </x:c>
      <x:c r="G651" s="320">
        <x:v>580</x:v>
      </x:c>
      <x:c r="H651" s="313" t="s">
        <x:v>63</x:v>
      </x:c>
      <x:c r="I651" s="313" t="s">
        <x:v>37</x:v>
      </x:c>
      <x:c r="J651" s="316" t="n">
        <x:f>IFERROR(G651/F651,0)</x:f>
        <x:v>0.26605504587155965</x:v>
      </x:c>
      <x:c r="K651" s="312" t="str">
        <x:f>IF(B651="Bilinmeyen Personel","Kontrol","OK")</x:f>
        <x:v>OK</x:v>
      </x:c>
    </x:row>
    <x:row r="652" ht="15.75">
      <x:c r="A652" s="313" t="n">
        <x:f t="shared" si="10">ROW()-ROW($A$2)+1</x:f>
        <x:v>651</x:v>
      </x:c>
      <x:c r="B652" s="313" t="s">
        <x:v>38</x:v>
      </x:c>
      <x:c r="C652" s="313" t="s">
        <x:v>30</x:v>
      </x:c>
      <x:c r="D652" s="314">
        <x:v>3</x:v>
      </x:c>
      <x:c r="E652" s="320">
        <x:v>1200</x:v>
      </x:c>
      <x:c r="F652" s="320">
        <x:v>3600</x:v>
      </x:c>
      <x:c r="G652" s="320">
        <x:v>1200</x:v>
      </x:c>
      <x:c r="H652" s="313" t="s">
        <x:v>63</x:v>
      </x:c>
      <x:c r="I652" s="313" t="s">
        <x:v>25</x:v>
      </x:c>
      <x:c r="J652" s="316" t="n">
        <x:f>IFERROR(G652/F652,0)</x:f>
        <x:v>0.3333333333333333</x:v>
      </x:c>
      <x:c r="K652" s="312" t="str">
        <x:f>IF(B652="Bilinmeyen Personel","Kontrol","OK")</x:f>
        <x:v>OK</x:v>
      </x:c>
    </x:row>
    <x:row r="653" ht="15.75">
      <x:c r="A653" s="313" t="n">
        <x:f t="shared" si="10">ROW()-ROW($A$2)+1</x:f>
        <x:v>652</x:v>
      </x:c>
      <x:c r="B653" s="313" t="s">
        <x:v>50</x:v>
      </x:c>
      <x:c r="C653" s="313" t="s">
        <x:v>34</x:v>
      </x:c>
      <x:c r="D653" s="314">
        <x:v>2</x:v>
      </x:c>
      <x:c r="E653" s="320">
        <x:v>1090</x:v>
      </x:c>
      <x:c r="F653" s="320">
        <x:v>2180</x:v>
      </x:c>
      <x:c r="G653" s="320">
        <x:v>580</x:v>
      </x:c>
      <x:c r="H653" s="313" t="s">
        <x:v>63</x:v>
      </x:c>
      <x:c r="I653" s="313" t="s">
        <x:v>12</x:v>
      </x:c>
      <x:c r="J653" s="316" t="n">
        <x:f>IFERROR(G653/F653,0)</x:f>
        <x:v>0.26605504587155965</x:v>
      </x:c>
      <x:c r="K653" s="312" t="str">
        <x:f>IF(B653="Bilinmeyen Personel","Kontrol","OK")</x:f>
        <x:v>OK</x:v>
      </x:c>
    </x:row>
    <x:row r="654" ht="15.75">
      <x:c r="A654" s="313" t="n">
        <x:f t="shared" si="10">ROW()-ROW($A$2)+1</x:f>
        <x:v>653</x:v>
      </x:c>
      <x:c r="B654" s="313" t="s">
        <x:v>50</x:v>
      </x:c>
      <x:c r="C654" s="313" t="s">
        <x:v>22</x:v>
      </x:c>
      <x:c r="D654" s="314">
        <x:v>3</x:v>
      </x:c>
      <x:c r="E654" s="320">
        <x:v>2180</x:v>
      </x:c>
      <x:c r="F654" s="320">
        <x:v>6540</x:v>
      </x:c>
      <x:c r="G654" s="320">
        <x:v>2040</x:v>
      </x:c>
      <x:c r="H654" s="313" t="s">
        <x:v>63</x:v>
      </x:c>
      <x:c r="I654" s="313" t="s">
        <x:v>18</x:v>
      </x:c>
      <x:c r="J654" s="316" t="n">
        <x:f>IFERROR(G654/F654,0)</x:f>
        <x:v>0.3119266055045872</x:v>
      </x:c>
      <x:c r="K654" s="312" t="str">
        <x:f>IF(B654="Bilinmeyen Personel","Kontrol","OK")</x:f>
        <x:v>OK</x:v>
      </x:c>
    </x:row>
    <x:row r="655" ht="15.75">
      <x:c r="A655" s="313" t="n">
        <x:f t="shared" si="10">ROW()-ROW($A$2)+1</x:f>
        <x:v>654</x:v>
      </x:c>
      <x:c r="B655" s="313" t="s">
        <x:v>16</x:v>
      </x:c>
      <x:c r="C655" s="313" t="s">
        <x:v>56</x:v>
      </x:c>
      <x:c r="D655" s="314">
        <x:v>3</x:v>
      </x:c>
      <x:c r="E655" s="320">
        <x:v>5300</x:v>
      </x:c>
      <x:c r="F655" s="320">
        <x:v>15900</x:v>
      </x:c>
      <x:c r="G655" s="320">
        <x:v>3900</x:v>
      </x:c>
      <x:c r="H655" s="313" t="s">
        <x:v>63</x:v>
      </x:c>
      <x:c r="I655" s="313" t="s">
        <x:v>54</x:v>
      </x:c>
      <x:c r="J655" s="316" t="n">
        <x:f>IFERROR(G655/F655,0)</x:f>
        <x:v>0.24528301886792453</x:v>
      </x:c>
      <x:c r="K655" s="312" t="str">
        <x:f>IF(B655="Bilinmeyen Personel","Kontrol","OK")</x:f>
        <x:v>OK</x:v>
      </x:c>
    </x:row>
    <x:row r="656" ht="15.75">
      <x:c r="A656" s="313" t="n">
        <x:f t="shared" si="10">ROW()-ROW($A$2)+1</x:f>
        <x:v>655</x:v>
      </x:c>
      <x:c r="B656" s="313" t="s">
        <x:v>50</x:v>
      </x:c>
      <x:c r="C656" s="313" t="s">
        <x:v>56</x:v>
      </x:c>
      <x:c r="D656" s="314">
        <x:v>2</x:v>
      </x:c>
      <x:c r="E656" s="320">
        <x:v>5300</x:v>
      </x:c>
      <x:c r="F656" s="320">
        <x:v>10600</x:v>
      </x:c>
      <x:c r="G656" s="320">
        <x:v>2600</x:v>
      </x:c>
      <x:c r="H656" s="313" t="s">
        <x:v>63</x:v>
      </x:c>
      <x:c r="I656" s="313" t="s">
        <x:v>18</x:v>
      </x:c>
      <x:c r="J656" s="316" t="n">
        <x:f>IFERROR(G656/F656,0)</x:f>
        <x:v>0.24528301886792453</x:v>
      </x:c>
      <x:c r="K656" s="312" t="str">
        <x:f>IF(B656="Bilinmeyen Personel","Kontrol","OK")</x:f>
        <x:v>OK</x:v>
      </x:c>
    </x:row>
    <x:row r="657" ht="15.75">
      <x:c r="A657" s="313" t="n">
        <x:f t="shared" si="10">ROW()-ROW($A$2)+1</x:f>
        <x:v>656</x:v>
      </x:c>
      <x:c r="B657" s="313" t="s">
        <x:v>29</x:v>
      </x:c>
      <x:c r="C657" s="313" t="s">
        <x:v>26</x:v>
      </x:c>
      <x:c r="D657" s="314">
        <x:v>2</x:v>
      </x:c>
      <x:c r="E657" s="320">
        <x:v>7250</x:v>
      </x:c>
      <x:c r="F657" s="320">
        <x:v>14500</x:v>
      </x:c>
      <x:c r="G657" s="320">
        <x:v>4500</x:v>
      </x:c>
      <x:c r="H657" s="313" t="s">
        <x:v>63</x:v>
      </x:c>
      <x:c r="I657" s="313" t="s">
        <x:v>28</x:v>
      </x:c>
      <x:c r="J657" s="316" t="n">
        <x:f>IFERROR(G657/F657,0)</x:f>
        <x:v>0.3103448275862069</x:v>
      </x:c>
      <x:c r="K657" s="312" t="str">
        <x:f>IF(B657="Bilinmeyen Personel","Kontrol","OK")</x:f>
        <x:v>OK</x:v>
      </x:c>
    </x:row>
    <x:row r="658" ht="15.75">
      <x:c r="A658" s="313" t="n">
        <x:f t="shared" si="10">ROW()-ROW($A$2)+1</x:f>
        <x:v>657</x:v>
      </x:c>
      <x:c r="B658" s="313" t="s">
        <x:v>29</x:v>
      </x:c>
      <x:c r="C658" s="313" t="s">
        <x:v>53</x:v>
      </x:c>
      <x:c r="D658" s="314">
        <x:v>3</x:v>
      </x:c>
      <x:c r="E658" s="320">
        <x:v>1200</x:v>
      </x:c>
      <x:c r="F658" s="320">
        <x:v>3600</x:v>
      </x:c>
      <x:c r="G658" s="320">
        <x:v>1200</x:v>
      </x:c>
      <x:c r="H658" s="313" t="s">
        <x:v>63</x:v>
      </x:c>
      <x:c r="I658" s="313" t="s">
        <x:v>42</x:v>
      </x:c>
      <x:c r="J658" s="316" t="n">
        <x:f>IFERROR(G658/F658,0)</x:f>
        <x:v>0.3333333333333333</x:v>
      </x:c>
      <x:c r="K658" s="312" t="str">
        <x:f>IF(B658="Bilinmeyen Personel","Kontrol","OK")</x:f>
        <x:v>OK</x:v>
      </x:c>
    </x:row>
    <x:row r="659" ht="15.75">
      <x:c r="A659" s="313" t="n">
        <x:f t="shared" si="10">ROW()-ROW($A$2)+1</x:f>
        <x:v>658</x:v>
      </x:c>
      <x:c r="B659" s="313" t="s">
        <x:v>19</x:v>
      </x:c>
      <x:c r="C659" s="313" t="s">
        <x:v>10</x:v>
      </x:c>
      <x:c r="D659" s="314">
        <x:v>1</x:v>
      </x:c>
      <x:c r="E659" s="320">
        <x:v>6000</x:v>
      </x:c>
      <x:c r="F659" s="320">
        <x:v>6000</x:v>
      </x:c>
      <x:c r="G659" s="320">
        <x:v>2000</x:v>
      </x:c>
      <x:c r="H659" s="313" t="s">
        <x:v>63</x:v>
      </x:c>
      <x:c r="I659" s="313" t="s">
        <x:v>28</x:v>
      </x:c>
      <x:c r="J659" s="316" t="n">
        <x:f>IFERROR(G659/F659,0)</x:f>
        <x:v>0.3333333333333333</x:v>
      </x:c>
      <x:c r="K659" s="312" t="str">
        <x:f>IF(B659="Bilinmeyen Personel","Kontrol","OK")</x:f>
        <x:v>OK</x:v>
      </x:c>
    </x:row>
    <x:row r="660" ht="15.75">
      <x:c r="A660" s="313" t="n">
        <x:f t="shared" si="10">ROW()-ROW($A$2)+1</x:f>
        <x:v>659</x:v>
      </x:c>
      <x:c r="B660" s="313" t="s">
        <x:v>16</x:v>
      </x:c>
      <x:c r="C660" s="313" t="s">
        <x:v>17</x:v>
      </x:c>
      <x:c r="D660" s="314">
        <x:v>3</x:v>
      </x:c>
      <x:c r="E660" s="320">
        <x:v>8450</x:v>
      </x:c>
      <x:c r="F660" s="320">
        <x:v>25350</x:v>
      </x:c>
      <x:c r="G660" s="320">
        <x:v>7350</x:v>
      </x:c>
      <x:c r="H660" s="313" t="s">
        <x:v>63</x:v>
      </x:c>
      <x:c r="I660" s="313" t="s">
        <x:v>12</x:v>
      </x:c>
      <x:c r="J660" s="316" t="n">
        <x:f>IFERROR(G660/F660,0)</x:f>
        <x:v>0.28994082840236685</x:v>
      </x:c>
      <x:c r="K660" s="312" t="str">
        <x:f>IF(B660="Bilinmeyen Personel","Kontrol","OK")</x:f>
        <x:v>OK</x:v>
      </x:c>
    </x:row>
    <x:row r="661" ht="15.75">
      <x:c r="A661" s="313" t="n">
        <x:f t="shared" si="10">ROW()-ROW($A$2)+1</x:f>
        <x:v>660</x:v>
      </x:c>
      <x:c r="B661" s="313" t="s">
        <x:v>32</x:v>
      </x:c>
      <x:c r="C661" s="313" t="s">
        <x:v>45</x:v>
      </x:c>
      <x:c r="D661" s="314">
        <x:v>1</x:v>
      </x:c>
      <x:c r="E661" s="320">
        <x:v>4200</x:v>
      </x:c>
      <x:c r="F661" s="320">
        <x:v>4200</x:v>
      </x:c>
      <x:c r="G661" s="320">
        <x:v>1200</x:v>
      </x:c>
      <x:c r="H661" s="313" t="s">
        <x:v>63</x:v>
      </x:c>
      <x:c r="I661" s="313" t="s">
        <x:v>46</x:v>
      </x:c>
      <x:c r="J661" s="316" t="n">
        <x:f>IFERROR(G661/F661,0)</x:f>
        <x:v>0.2857142857142857</x:v>
      </x:c>
      <x:c r="K661" s="312" t="str">
        <x:f>IF(B661="Bilinmeyen Personel","Kontrol","OK")</x:f>
        <x:v>OK</x:v>
      </x:c>
    </x:row>
    <x:row r="662" ht="15.75">
      <x:c r="A662" s="313" t="n">
        <x:f t="shared" si="10">ROW()-ROW($A$2)+1</x:f>
        <x:v>661</x:v>
      </x:c>
      <x:c r="B662" s="313" t="s">
        <x:v>32</x:v>
      </x:c>
      <x:c r="C662" s="313" t="s">
        <x:v>39</x:v>
      </x:c>
      <x:c r="D662" s="314">
        <x:v>3</x:v>
      </x:c>
      <x:c r="E662" s="320">
        <x:v>10590</x:v>
      </x:c>
      <x:c r="F662" s="320">
        <x:v>31770</x:v>
      </x:c>
      <x:c r="G662" s="320">
        <x:v>13770</x:v>
      </x:c>
      <x:c r="H662" s="313" t="s">
        <x:v>63</x:v>
      </x:c>
      <x:c r="I662" s="313" t="s">
        <x:v>15</x:v>
      </x:c>
      <x:c r="J662" s="316" t="n">
        <x:f>IFERROR(G662/F662,0)</x:f>
        <x:v>0.43342776203966005</x:v>
      </x:c>
      <x:c r="K662" s="312" t="str">
        <x:f>IF(B662="Bilinmeyen Personel","Kontrol","OK")</x:f>
        <x:v>OK</x:v>
      </x:c>
    </x:row>
    <x:row r="663" ht="15.75">
      <x:c r="A663" s="313" t="n">
        <x:f t="shared" si="10">ROW()-ROW($A$2)+1</x:f>
        <x:v>662</x:v>
      </x:c>
      <x:c r="B663" s="313" t="s">
        <x:v>29</x:v>
      </x:c>
      <x:c r="C663" s="313" t="s">
        <x:v>53</x:v>
      </x:c>
      <x:c r="D663" s="314">
        <x:v>1</x:v>
      </x:c>
      <x:c r="E663" s="320">
        <x:v>1200</x:v>
      </x:c>
      <x:c r="F663" s="320">
        <x:v>1200</x:v>
      </x:c>
      <x:c r="G663" s="320">
        <x:v>400</x:v>
      </x:c>
      <x:c r="H663" s="313" t="s">
        <x:v>63</x:v>
      </x:c>
      <x:c r="I663" s="313" t="s">
        <x:v>25</x:v>
      </x:c>
      <x:c r="J663" s="316" t="n">
        <x:f>IFERROR(G663/F663,0)</x:f>
        <x:v>0.3333333333333333</x:v>
      </x:c>
      <x:c r="K663" s="312" t="str">
        <x:f>IF(B663="Bilinmeyen Personel","Kontrol","OK")</x:f>
        <x:v>OK</x:v>
      </x:c>
    </x:row>
    <x:row r="664" ht="15.75">
      <x:c r="A664" s="313" t="n">
        <x:f t="shared" si="10">ROW()-ROW($A$2)+1</x:f>
        <x:v>663</x:v>
      </x:c>
      <x:c r="B664" s="313" t="s">
        <x:v>48</x:v>
      </x:c>
      <x:c r="C664" s="313" t="s">
        <x:v>27</x:v>
      </x:c>
      <x:c r="D664" s="314">
        <x:v>2</x:v>
      </x:c>
      <x:c r="E664" s="320">
        <x:v>1100</x:v>
      </x:c>
      <x:c r="F664" s="320">
        <x:v>2200</x:v>
      </x:c>
      <x:c r="G664" s="320">
        <x:v>600</x:v>
      </x:c>
      <x:c r="H664" s="313" t="s">
        <x:v>63</x:v>
      </x:c>
      <x:c r="I664" s="313" t="s">
        <x:v>18</x:v>
      </x:c>
      <x:c r="J664" s="316" t="n">
        <x:f>IFERROR(G664/F664,0)</x:f>
        <x:v>0.2727272727272727</x:v>
      </x:c>
      <x:c r="K664" s="312" t="str">
        <x:f>IF(B664="Bilinmeyen Personel","Kontrol","OK")</x:f>
        <x:v>OK</x:v>
      </x:c>
    </x:row>
    <x:row r="665" ht="15.75">
      <x:c r="A665" s="313" t="n">
        <x:f t="shared" si="10">ROW()-ROW($A$2)+1</x:f>
        <x:v>664</x:v>
      </x:c>
      <x:c r="B665" s="313" t="s">
        <x:v>40</x:v>
      </x:c>
      <x:c r="C665" s="313" t="s">
        <x:v>58</x:v>
      </x:c>
      <x:c r="D665" s="314">
        <x:v>2</x:v>
      </x:c>
      <x:c r="E665" s="320">
        <x:v>3700</x:v>
      </x:c>
      <x:c r="F665" s="320">
        <x:v>7400</x:v>
      </x:c>
      <x:c r="G665" s="320">
        <x:v>1400</x:v>
      </x:c>
      <x:c r="H665" s="313" t="s">
        <x:v>63</x:v>
      </x:c>
      <x:c r="I665" s="313" t="s">
        <x:v>46</x:v>
      </x:c>
      <x:c r="J665" s="316" t="n">
        <x:f>IFERROR(G665/F665,0)</x:f>
        <x:v>0.1891891891891892</x:v>
      </x:c>
      <x:c r="K665" s="312" t="str">
        <x:f>IF(B665="Bilinmeyen Personel","Kontrol","OK")</x:f>
        <x:v>OK</x:v>
      </x:c>
    </x:row>
    <x:row r="666" ht="15.75">
      <x:c r="A666" s="313" t="n">
        <x:f t="shared" si="10">ROW()-ROW($A$2)+1</x:f>
        <x:v>665</x:v>
      </x:c>
      <x:c r="B666" s="313" t="s">
        <x:v>13</x:v>
      </x:c>
      <x:c r="C666" s="313" t="s">
        <x:v>58</x:v>
      </x:c>
      <x:c r="D666" s="314">
        <x:v>1</x:v>
      </x:c>
      <x:c r="E666" s="320">
        <x:v>3700</x:v>
      </x:c>
      <x:c r="F666" s="320">
        <x:v>3700</x:v>
      </x:c>
      <x:c r="G666" s="320">
        <x:v>700</x:v>
      </x:c>
      <x:c r="H666" s="313" t="s">
        <x:v>63</x:v>
      </x:c>
      <x:c r="I666" s="313" t="s">
        <x:v>18</x:v>
      </x:c>
      <x:c r="J666" s="316" t="n">
        <x:f>IFERROR(G666/F666,0)</x:f>
        <x:v>0.1891891891891892</x:v>
      </x:c>
      <x:c r="K666" s="312" t="str">
        <x:f>IF(B666="Bilinmeyen Personel","Kontrol","OK")</x:f>
        <x:v>OK</x:v>
      </x:c>
    </x:row>
    <x:row r="667" ht="15.75">
      <x:c r="A667" s="313" t="n">
        <x:f t="shared" si="10">ROW()-ROW($A$2)+1</x:f>
        <x:v>666</x:v>
      </x:c>
      <x:c r="B667" s="313" t="s">
        <x:v>32</x:v>
      </x:c>
      <x:c r="C667" s="313" t="s">
        <x:v>27</x:v>
      </x:c>
      <x:c r="D667" s="314">
        <x:v>3</x:v>
      </x:c>
      <x:c r="E667" s="320">
        <x:v>1100</x:v>
      </x:c>
      <x:c r="F667" s="320">
        <x:v>3300</x:v>
      </x:c>
      <x:c r="G667" s="320">
        <x:v>900</x:v>
      </x:c>
      <x:c r="H667" s="313" t="s">
        <x:v>63</x:v>
      </x:c>
      <x:c r="I667" s="313" t="s">
        <x:v>28</x:v>
      </x:c>
      <x:c r="J667" s="316" t="n">
        <x:f>IFERROR(G667/F667,0)</x:f>
        <x:v>0.2727272727272727</x:v>
      </x:c>
      <x:c r="K667" s="312" t="str">
        <x:f>IF(B667="Bilinmeyen Personel","Kontrol","OK")</x:f>
        <x:v>OK</x:v>
      </x:c>
    </x:row>
    <x:row r="668" ht="15.75">
      <x:c r="A668" s="313" t="n">
        <x:f t="shared" si="10">ROW()-ROW($A$2)+1</x:f>
        <x:v>667</x:v>
      </x:c>
      <x:c r="B668" s="313" t="s">
        <x:v>29</x:v>
      </x:c>
      <x:c r="C668" s="313" t="s">
        <x:v>58</x:v>
      </x:c>
      <x:c r="D668" s="314">
        <x:v>1</x:v>
      </x:c>
      <x:c r="E668" s="320">
        <x:v>3700</x:v>
      </x:c>
      <x:c r="F668" s="320">
        <x:v>3700</x:v>
      </x:c>
      <x:c r="G668" s="320">
        <x:v>700</x:v>
      </x:c>
      <x:c r="H668" s="313" t="s">
        <x:v>63</x:v>
      </x:c>
      <x:c r="I668" s="313" t="s">
        <x:v>18</x:v>
      </x:c>
      <x:c r="J668" s="316" t="n">
        <x:f>IFERROR(G668/F668,0)</x:f>
        <x:v>0.1891891891891892</x:v>
      </x:c>
      <x:c r="K668" s="312" t="str">
        <x:f>IF(B668="Bilinmeyen Personel","Kontrol","OK")</x:f>
        <x:v>OK</x:v>
      </x:c>
    </x:row>
    <x:row r="669" ht="15.75">
      <x:c r="A669" s="313" t="n">
        <x:f t="shared" si="10">ROW()-ROW($A$2)+1</x:f>
        <x:v>668</x:v>
      </x:c>
      <x:c r="B669" s="313" t="s">
        <x:v>48</x:v>
      </x:c>
      <x:c r="C669" s="313" t="s">
        <x:v>43</x:v>
      </x:c>
      <x:c r="D669" s="314">
        <x:v>1</x:v>
      </x:c>
      <x:c r="E669" s="320">
        <x:v>1490</x:v>
      </x:c>
      <x:c r="F669" s="320">
        <x:v>1490</x:v>
      </x:c>
      <x:c r="G669" s="320">
        <x:v>690</x:v>
      </x:c>
      <x:c r="H669" s="313" t="s">
        <x:v>63</x:v>
      </x:c>
      <x:c r="I669" s="313" t="s">
        <x:v>12</x:v>
      </x:c>
      <x:c r="J669" s="316" t="n">
        <x:f>IFERROR(G669/F669,0)</x:f>
        <x:v>0.46308724832214765</x:v>
      </x:c>
      <x:c r="K669" s="312" t="str">
        <x:f>IF(B669="Bilinmeyen Personel","Kontrol","OK")</x:f>
        <x:v>OK</x:v>
      </x:c>
    </x:row>
    <x:row r="670" ht="15.75">
      <x:c r="A670" s="313" t="n">
        <x:f t="shared" si="10">ROW()-ROW($A$2)+1</x:f>
        <x:v>669</x:v>
      </x:c>
      <x:c r="B670" s="313" t="s">
        <x:v>40</x:v>
      </x:c>
      <x:c r="C670" s="313" t="s">
        <x:v>57</x:v>
      </x:c>
      <x:c r="D670" s="314">
        <x:v>1</x:v>
      </x:c>
      <x:c r="E670" s="320">
        <x:v>1500</x:v>
      </x:c>
      <x:c r="F670" s="320">
        <x:v>1500</x:v>
      </x:c>
      <x:c r="G670" s="320">
        <x:v>700</x:v>
      </x:c>
      <x:c r="H670" s="313" t="s">
        <x:v>63</x:v>
      </x:c>
      <x:c r="I670" s="313" t="s">
        <x:v>25</x:v>
      </x:c>
      <x:c r="J670" s="316" t="n">
        <x:f>IFERROR(G670/F670,0)</x:f>
        <x:v>0.4666666666666667</x:v>
      </x:c>
      <x:c r="K670" s="312" t="str">
        <x:f>IF(B670="Bilinmeyen Personel","Kontrol","OK")</x:f>
        <x:v>OK</x:v>
      </x:c>
    </x:row>
    <x:row r="671" ht="15.75">
      <x:c r="A671" s="313" t="n">
        <x:f t="shared" si="10">ROW()-ROW($A$2)+1</x:f>
        <x:v>670</x:v>
      </x:c>
      <x:c r="B671" s="313" t="s">
        <x:v>38</x:v>
      </x:c>
      <x:c r="C671" s="313" t="s">
        <x:v>34</x:v>
      </x:c>
      <x:c r="D671" s="314">
        <x:v>2</x:v>
      </x:c>
      <x:c r="E671" s="320">
        <x:v>1090</x:v>
      </x:c>
      <x:c r="F671" s="320">
        <x:v>2180</x:v>
      </x:c>
      <x:c r="G671" s="320">
        <x:v>580</x:v>
      </x:c>
      <x:c r="H671" s="313" t="s">
        <x:v>63</x:v>
      </x:c>
      <x:c r="I671" s="313" t="s">
        <x:v>41</x:v>
      </x:c>
      <x:c r="J671" s="316" t="n">
        <x:f>IFERROR(G671/F671,0)</x:f>
        <x:v>0.26605504587155965</x:v>
      </x:c>
      <x:c r="K671" s="312" t="str">
        <x:f>IF(B671="Bilinmeyen Personel","Kontrol","OK")</x:f>
        <x:v>OK</x:v>
      </x:c>
    </x:row>
    <x:row r="672" ht="15.75">
      <x:c r="A672" s="313" t="n">
        <x:f t="shared" si="10">ROW()-ROW($A$2)+1</x:f>
        <x:v>671</x:v>
      </x:c>
      <x:c r="B672" s="313" t="s">
        <x:v>48</x:v>
      </x:c>
      <x:c r="C672" s="313" t="s">
        <x:v>33</x:v>
      </x:c>
      <x:c r="D672" s="314">
        <x:v>3</x:v>
      </x:c>
      <x:c r="E672" s="320">
        <x:v>1800</x:v>
      </x:c>
      <x:c r="F672" s="320">
        <x:v>5400</x:v>
      </x:c>
      <x:c r="G672" s="320">
        <x:v>3000</x:v>
      </x:c>
      <x:c r="H672" s="313" t="s">
        <x:v>63</x:v>
      </x:c>
      <x:c r="I672" s="313" t="s">
        <x:v>15</x:v>
      </x:c>
      <x:c r="J672" s="316" t="n">
        <x:f>IFERROR(G672/F672,0)</x:f>
        <x:v>0.5555555555555556</x:v>
      </x:c>
      <x:c r="K672" s="312" t="str">
        <x:f>IF(B672="Bilinmeyen Personel","Kontrol","OK")</x:f>
        <x:v>OK</x:v>
      </x:c>
    </x:row>
    <x:row r="673" ht="15.75">
      <x:c r="A673" s="313" t="n">
        <x:f t="shared" si="10">ROW()-ROW($A$2)+1</x:f>
        <x:v>672</x:v>
      </x:c>
      <x:c r="B673" s="313" t="s">
        <x:v>35</x:v>
      </x:c>
      <x:c r="C673" s="313" t="s">
        <x:v>55</x:v>
      </x:c>
      <x:c r="D673" s="314">
        <x:v>2</x:v>
      </x:c>
      <x:c r="E673" s="320">
        <x:v>7530</x:v>
      </x:c>
      <x:c r="F673" s="320">
        <x:v>15060</x:v>
      </x:c>
      <x:c r="G673" s="320">
        <x:v>3060</x:v>
      </x:c>
      <x:c r="H673" s="313" t="s">
        <x:v>63</x:v>
      </x:c>
      <x:c r="I673" s="313" t="s">
        <x:v>42</x:v>
      </x:c>
      <x:c r="J673" s="316" t="n">
        <x:f>IFERROR(G673/F673,0)</x:f>
        <x:v>0.20318725099601595</x:v>
      </x:c>
      <x:c r="K673" s="312" t="str">
        <x:f>IF(B673="Bilinmeyen Personel","Kontrol","OK")</x:f>
        <x:v>OK</x:v>
      </x:c>
    </x:row>
    <x:row r="674" ht="15.75">
      <x:c r="A674" s="313" t="n">
        <x:f t="shared" si="10">ROW()-ROW($A$2)+1</x:f>
        <x:v>673</x:v>
      </x:c>
      <x:c r="B674" s="313" t="s">
        <x:v>32</x:v>
      </x:c>
      <x:c r="C674" s="313" t="s">
        <x:v>27</x:v>
      </x:c>
      <x:c r="D674" s="314">
        <x:v>3</x:v>
      </x:c>
      <x:c r="E674" s="320">
        <x:v>1100</x:v>
      </x:c>
      <x:c r="F674" s="320">
        <x:v>3300</x:v>
      </x:c>
      <x:c r="G674" s="320">
        <x:v>900</x:v>
      </x:c>
      <x:c r="H674" s="313" t="s">
        <x:v>63</x:v>
      </x:c>
      <x:c r="I674" s="313" t="s">
        <x:v>41</x:v>
      </x:c>
      <x:c r="J674" s="316" t="n">
        <x:f>IFERROR(G674/F674,0)</x:f>
        <x:v>0.2727272727272727</x:v>
      </x:c>
      <x:c r="K674" s="312" t="str">
        <x:f>IF(B674="Bilinmeyen Personel","Kontrol","OK")</x:f>
        <x:v>OK</x:v>
      </x:c>
    </x:row>
    <x:row r="675" ht="15.75">
      <x:c r="A675" s="313" t="n">
        <x:f t="shared" si="10">ROW()-ROW($A$2)+1</x:f>
        <x:v>674</x:v>
      </x:c>
      <x:c r="B675" s="313" t="s">
        <x:v>40</x:v>
      </x:c>
      <x:c r="C675" s="313" t="s">
        <x:v>20</x:v>
      </x:c>
      <x:c r="D675" s="314">
        <x:v>3</x:v>
      </x:c>
      <x:c r="E675" s="320">
        <x:v>1350</x:v>
      </x:c>
      <x:c r="F675" s="320">
        <x:v>4050</x:v>
      </x:c>
      <x:c r="G675" s="320">
        <x:v>1650</x:v>
      </x:c>
      <x:c r="H675" s="313" t="s">
        <x:v>63</x:v>
      </x:c>
      <x:c r="I675" s="313" t="s">
        <x:v>12</x:v>
      </x:c>
      <x:c r="J675" s="316" t="n">
        <x:f>IFERROR(G675/F675,0)</x:f>
        <x:v>0.4074074074074074</x:v>
      </x:c>
      <x:c r="K675" s="312" t="str">
        <x:f>IF(B675="Bilinmeyen Personel","Kontrol","OK")</x:f>
        <x:v>OK</x:v>
      </x:c>
    </x:row>
    <x:row r="676" ht="15.75">
      <x:c r="A676" s="313" t="n">
        <x:f t="shared" si="10">ROW()-ROW($A$2)+1</x:f>
        <x:v>675</x:v>
      </x:c>
      <x:c r="B676" s="313" t="s">
        <x:v>38</x:v>
      </x:c>
      <x:c r="C676" s="313" t="s">
        <x:v>20</x:v>
      </x:c>
      <x:c r="D676" s="314">
        <x:v>1</x:v>
      </x:c>
      <x:c r="E676" s="320">
        <x:v>1350</x:v>
      </x:c>
      <x:c r="F676" s="320">
        <x:v>1350</x:v>
      </x:c>
      <x:c r="G676" s="320">
        <x:v>550</x:v>
      </x:c>
      <x:c r="H676" s="313" t="s">
        <x:v>63</x:v>
      </x:c>
      <x:c r="I676" s="313" t="s">
        <x:v>37</x:v>
      </x:c>
      <x:c r="J676" s="316" t="n">
        <x:f>IFERROR(G676/F676,0)</x:f>
        <x:v>0.4074074074074074</x:v>
      </x:c>
      <x:c r="K676" s="312" t="str">
        <x:f>IF(B676="Bilinmeyen Personel","Kontrol","OK")</x:f>
        <x:v>OK</x:v>
      </x:c>
    </x:row>
    <x:row r="677" ht="15.75">
      <x:c r="A677" s="313" t="n">
        <x:f t="shared" si="10">ROW()-ROW($A$2)+1</x:f>
        <x:v>676</x:v>
      </x:c>
      <x:c r="B677" s="313" t="s">
        <x:v>35</x:v>
      </x:c>
      <x:c r="C677" s="313" t="s">
        <x:v>34</x:v>
      </x:c>
      <x:c r="D677" s="314">
        <x:v>2</x:v>
      </x:c>
      <x:c r="E677" s="320">
        <x:v>1090</x:v>
      </x:c>
      <x:c r="F677" s="320">
        <x:v>2180</x:v>
      </x:c>
      <x:c r="G677" s="320">
        <x:v>580</x:v>
      </x:c>
      <x:c r="H677" s="313" t="s">
        <x:v>63</x:v>
      </x:c>
      <x:c r="I677" s="313" t="s">
        <x:v>15</x:v>
      </x:c>
      <x:c r="J677" s="316" t="n">
        <x:f>IFERROR(G677/F677,0)</x:f>
        <x:v>0.26605504587155965</x:v>
      </x:c>
      <x:c r="K677" s="312" t="str">
        <x:f>IF(B677="Bilinmeyen Personel","Kontrol","OK")</x:f>
        <x:v>OK</x:v>
      </x:c>
    </x:row>
    <x:row r="678" ht="15.75">
      <x:c r="A678" s="313" t="n">
        <x:f t="shared" si="10">ROW()-ROW($A$2)+1</x:f>
        <x:v>677</x:v>
      </x:c>
      <x:c r="B678" s="313" t="s">
        <x:v>35</x:v>
      </x:c>
      <x:c r="C678" s="313" t="s">
        <x:v>45</x:v>
      </x:c>
      <x:c r="D678" s="314">
        <x:v>1</x:v>
      </x:c>
      <x:c r="E678" s="320">
        <x:v>4200</x:v>
      </x:c>
      <x:c r="F678" s="320">
        <x:v>4200</x:v>
      </x:c>
      <x:c r="G678" s="320">
        <x:v>1200</x:v>
      </x:c>
      <x:c r="H678" s="313" t="s">
        <x:v>63</x:v>
      </x:c>
      <x:c r="I678" s="313" t="s">
        <x:v>25</x:v>
      </x:c>
      <x:c r="J678" s="316" t="n">
        <x:f>IFERROR(G678/F678,0)</x:f>
        <x:v>0.2857142857142857</x:v>
      </x:c>
      <x:c r="K678" s="312" t="str">
        <x:f>IF(B678="Bilinmeyen Personel","Kontrol","OK")</x:f>
        <x:v>OK</x:v>
      </x:c>
    </x:row>
    <x:row r="679" ht="15.75">
      <x:c r="A679" s="313" t="n">
        <x:f t="shared" si="10">ROW()-ROW($A$2)+1</x:f>
        <x:v>678</x:v>
      </x:c>
      <x:c r="B679" s="313" t="s">
        <x:v>40</x:v>
      </x:c>
      <x:c r="C679" s="313" t="s">
        <x:v>33</x:v>
      </x:c>
      <x:c r="D679" s="314">
        <x:v>2</x:v>
      </x:c>
      <x:c r="E679" s="320">
        <x:v>1800</x:v>
      </x:c>
      <x:c r="F679" s="320">
        <x:v>3600</x:v>
      </x:c>
      <x:c r="G679" s="320">
        <x:v>2000</x:v>
      </x:c>
      <x:c r="H679" s="313" t="s">
        <x:v>63</x:v>
      </x:c>
      <x:c r="I679" s="313" t="s">
        <x:v>46</x:v>
      </x:c>
      <x:c r="J679" s="316" t="n">
        <x:f>IFERROR(G679/F679,0)</x:f>
        <x:v>0.5555555555555556</x:v>
      </x:c>
      <x:c r="K679" s="312" t="str">
        <x:f>IF(B679="Bilinmeyen Personel","Kontrol","OK")</x:f>
        <x:v>OK</x:v>
      </x:c>
    </x:row>
    <x:row r="680" ht="15.75">
      <x:c r="A680" s="313" t="n">
        <x:f t="shared" si="10">ROW()-ROW($A$2)+1</x:f>
        <x:v>679</x:v>
      </x:c>
      <x:c r="B680" s="313" t="s">
        <x:v>50</x:v>
      </x:c>
      <x:c r="C680" s="313" t="s">
        <x:v>34</x:v>
      </x:c>
      <x:c r="D680" s="314">
        <x:v>1</x:v>
      </x:c>
      <x:c r="E680" s="320">
        <x:v>1090</x:v>
      </x:c>
      <x:c r="F680" s="320">
        <x:v>1090</x:v>
      </x:c>
      <x:c r="G680" s="320">
        <x:v>290</x:v>
      </x:c>
      <x:c r="H680" s="313" t="s">
        <x:v>63</x:v>
      </x:c>
      <x:c r="I680" s="313" t="s">
        <x:v>44</x:v>
      </x:c>
      <x:c r="J680" s="316" t="n">
        <x:f>IFERROR(G680/F680,0)</x:f>
        <x:v>0.26605504587155965</x:v>
      </x:c>
      <x:c r="K680" s="312" t="str">
        <x:f>IF(B680="Bilinmeyen Personel","Kontrol","OK")</x:f>
        <x:v>OK</x:v>
      </x:c>
    </x:row>
    <x:row r="681" ht="15.75">
      <x:c r="A681" s="313" t="n">
        <x:f t="shared" si="10">ROW()-ROW($A$2)+1</x:f>
        <x:v>680</x:v>
      </x:c>
      <x:c r="B681" s="313" t="s">
        <x:v>9</x:v>
      </x:c>
      <x:c r="C681" s="313" t="s">
        <x:v>24</x:v>
      </x:c>
      <x:c r="D681" s="314">
        <x:v>1</x:v>
      </x:c>
      <x:c r="E681" s="320">
        <x:v>7600</x:v>
      </x:c>
      <x:c r="F681" s="320">
        <x:v>7600</x:v>
      </x:c>
      <x:c r="G681" s="320">
        <x:v>1600</x:v>
      </x:c>
      <x:c r="H681" s="313" t="s">
        <x:v>63</x:v>
      </x:c>
      <x:c r="I681" s="313" t="s">
        <x:v>21</x:v>
      </x:c>
      <x:c r="J681" s="316" t="n">
        <x:f>IFERROR(G681/F681,0)</x:f>
        <x:v>0.21052631578947367</x:v>
      </x:c>
      <x:c r="K681" s="312" t="str">
        <x:f>IF(B681="Bilinmeyen Personel","Kontrol","OK")</x:f>
        <x:v>OK</x:v>
      </x:c>
    </x:row>
    <x:row r="682" ht="15.75">
      <x:c r="A682" s="313" t="n">
        <x:f t="shared" si="10">ROW()-ROW($A$2)+1</x:f>
        <x:v>681</x:v>
      </x:c>
      <x:c r="B682" s="313" t="s">
        <x:v>38</x:v>
      </x:c>
      <x:c r="C682" s="313" t="s">
        <x:v>24</x:v>
      </x:c>
      <x:c r="D682" s="314">
        <x:v>3</x:v>
      </x:c>
      <x:c r="E682" s="320">
        <x:v>7600</x:v>
      </x:c>
      <x:c r="F682" s="320">
        <x:v>22800</x:v>
      </x:c>
      <x:c r="G682" s="320">
        <x:v>4800</x:v>
      </x:c>
      <x:c r="H682" s="313" t="s">
        <x:v>63</x:v>
      </x:c>
      <x:c r="I682" s="313" t="s">
        <x:v>12</x:v>
      </x:c>
      <x:c r="J682" s="316" t="n">
        <x:f>IFERROR(G682/F682,0)</x:f>
        <x:v>0.21052631578947367</x:v>
      </x:c>
      <x:c r="K682" s="312" t="str">
        <x:f>IF(B682="Bilinmeyen Personel","Kontrol","OK")</x:f>
        <x:v>OK</x:v>
      </x:c>
    </x:row>
    <x:row r="683" ht="15.75">
      <x:c r="A683" s="313" t="n">
        <x:f t="shared" si="10">ROW()-ROW($A$2)+1</x:f>
        <x:v>682</x:v>
      </x:c>
      <x:c r="B683" s="313" t="s">
        <x:v>16</x:v>
      </x:c>
      <x:c r="C683" s="313" t="s">
        <x:v>58</x:v>
      </x:c>
      <x:c r="D683" s="314">
        <x:v>1</x:v>
      </x:c>
      <x:c r="E683" s="320">
        <x:v>3700</x:v>
      </x:c>
      <x:c r="F683" s="320">
        <x:v>3700</x:v>
      </x:c>
      <x:c r="G683" s="320">
        <x:v>700</x:v>
      </x:c>
      <x:c r="H683" s="313" t="s">
        <x:v>63</x:v>
      </x:c>
      <x:c r="I683" s="313" t="s">
        <x:v>41</x:v>
      </x:c>
      <x:c r="J683" s="316" t="n">
        <x:f>IFERROR(G683/F683,0)</x:f>
        <x:v>0.1891891891891892</x:v>
      </x:c>
      <x:c r="K683" s="312" t="str">
        <x:f>IF(B683="Bilinmeyen Personel","Kontrol","OK")</x:f>
        <x:v>OK</x:v>
      </x:c>
    </x:row>
    <x:row r="684" ht="15.75">
      <x:c r="A684" s="313" t="n">
        <x:f t="shared" si="10">ROW()-ROW($A$2)+1</x:f>
        <x:v>683</x:v>
      </x:c>
      <x:c r="B684" s="313" t="s">
        <x:v>23</x:v>
      </x:c>
      <x:c r="C684" s="313" t="s">
        <x:v>26</x:v>
      </x:c>
      <x:c r="D684" s="314">
        <x:v>3</x:v>
      </x:c>
      <x:c r="E684" s="320">
        <x:v>7250</x:v>
      </x:c>
      <x:c r="F684" s="320">
        <x:v>21750</x:v>
      </x:c>
      <x:c r="G684" s="320">
        <x:v>6750</x:v>
      </x:c>
      <x:c r="H684" s="313" t="s">
        <x:v>63</x:v>
      </x:c>
      <x:c r="I684" s="313" t="s">
        <x:v>44</x:v>
      </x:c>
      <x:c r="J684" s="316" t="n">
        <x:f>IFERROR(G684/F684,0)</x:f>
        <x:v>0.3103448275862069</x:v>
      </x:c>
      <x:c r="K684" s="312" t="str">
        <x:f>IF(B684="Bilinmeyen Personel","Kontrol","OK")</x:f>
        <x:v>OK</x:v>
      </x:c>
    </x:row>
    <x:row r="685" ht="15.75">
      <x:c r="A685" s="313" t="n">
        <x:f t="shared" si="10">ROW()-ROW($A$2)+1</x:f>
        <x:v>684</x:v>
      </x:c>
      <x:c r="B685" s="313" t="s">
        <x:v>13</x:v>
      </x:c>
      <x:c r="C685" s="313" t="s">
        <x:v>24</x:v>
      </x:c>
      <x:c r="D685" s="314">
        <x:v>3</x:v>
      </x:c>
      <x:c r="E685" s="320">
        <x:v>7600</x:v>
      </x:c>
      <x:c r="F685" s="320">
        <x:v>22800</x:v>
      </x:c>
      <x:c r="G685" s="320">
        <x:v>4800</x:v>
      </x:c>
      <x:c r="H685" s="313" t="s">
        <x:v>63</x:v>
      </x:c>
      <x:c r="I685" s="313" t="s">
        <x:v>28</x:v>
      </x:c>
      <x:c r="J685" s="316" t="n">
        <x:f>IFERROR(G685/F685,0)</x:f>
        <x:v>0.21052631578947367</x:v>
      </x:c>
      <x:c r="K685" s="312" t="str">
        <x:f>IF(B685="Bilinmeyen Personel","Kontrol","OK")</x:f>
        <x:v>OK</x:v>
      </x:c>
    </x:row>
    <x:row r="686" ht="15.75">
      <x:c r="A686" s="313" t="n">
        <x:f t="shared" si="10">ROW()-ROW($A$2)+1</x:f>
        <x:v>685</x:v>
      </x:c>
      <x:c r="B686" s="313" t="s">
        <x:v>48</x:v>
      </x:c>
      <x:c r="C686" s="313" t="s">
        <x:v>45</x:v>
      </x:c>
      <x:c r="D686" s="314">
        <x:v>1</x:v>
      </x:c>
      <x:c r="E686" s="320">
        <x:v>4200</x:v>
      </x:c>
      <x:c r="F686" s="320">
        <x:v>4200</x:v>
      </x:c>
      <x:c r="G686" s="320">
        <x:v>1200</x:v>
      </x:c>
      <x:c r="H686" s="313" t="s">
        <x:v>63</x:v>
      </x:c>
      <x:c r="I686" s="313" t="s">
        <x:v>44</x:v>
      </x:c>
      <x:c r="J686" s="316" t="n">
        <x:f>IFERROR(G686/F686,0)</x:f>
        <x:v>0.2857142857142857</x:v>
      </x:c>
      <x:c r="K686" s="312" t="str">
        <x:f>IF(B686="Bilinmeyen Personel","Kontrol","OK")</x:f>
        <x:v>OK</x:v>
      </x:c>
    </x:row>
    <x:row r="687" ht="15.75">
      <x:c r="A687" s="313" t="n">
        <x:f t="shared" si="10">ROW()-ROW($A$2)+1</x:f>
        <x:v>686</x:v>
      </x:c>
      <x:c r="B687" s="313" t="s">
        <x:v>32</x:v>
      </x:c>
      <x:c r="C687" s="313" t="s">
        <x:v>52</x:v>
      </x:c>
      <x:c r="D687" s="314">
        <x:v>3</x:v>
      </x:c>
      <x:c r="E687" s="320">
        <x:v>1250</x:v>
      </x:c>
      <x:c r="F687" s="320">
        <x:v>3750</x:v>
      </x:c>
      <x:c r="G687" s="320">
        <x:v>1350</x:v>
      </x:c>
      <x:c r="H687" s="313" t="s">
        <x:v>63</x:v>
      </x:c>
      <x:c r="I687" s="313" t="s">
        <x:v>18</x:v>
      </x:c>
      <x:c r="J687" s="316" t="n">
        <x:f>IFERROR(G687/F687,0)</x:f>
        <x:v>0.36</x:v>
      </x:c>
      <x:c r="K687" s="312" t="str">
        <x:f>IF(B687="Bilinmeyen Personel","Kontrol","OK")</x:f>
        <x:v>OK</x:v>
      </x:c>
    </x:row>
    <x:row r="688" ht="15.75">
      <x:c r="A688" s="313" t="n">
        <x:f t="shared" si="10">ROW()-ROW($A$2)+1</x:f>
        <x:v>687</x:v>
      </x:c>
      <x:c r="B688" s="313" t="s">
        <x:v>38</x:v>
      </x:c>
      <x:c r="C688" s="313" t="s">
        <x:v>34</x:v>
      </x:c>
      <x:c r="D688" s="314">
        <x:v>1</x:v>
      </x:c>
      <x:c r="E688" s="320">
        <x:v>1090</x:v>
      </x:c>
      <x:c r="F688" s="320">
        <x:v>1090</x:v>
      </x:c>
      <x:c r="G688" s="320">
        <x:v>290</x:v>
      </x:c>
      <x:c r="H688" s="313" t="s">
        <x:v>63</x:v>
      </x:c>
      <x:c r="I688" s="313" t="s">
        <x:v>25</x:v>
      </x:c>
      <x:c r="J688" s="316" t="n">
        <x:f>IFERROR(G688/F688,0)</x:f>
        <x:v>0.26605504587155965</x:v>
      </x:c>
      <x:c r="K688" s="312" t="str">
        <x:f>IF(B688="Bilinmeyen Personel","Kontrol","OK")</x:f>
        <x:v>OK</x:v>
      </x:c>
    </x:row>
    <x:row r="689" ht="15.75">
      <x:c r="A689" s="313" t="n">
        <x:f t="shared" si="10">ROW()-ROW($A$2)+1</x:f>
        <x:v>688</x:v>
      </x:c>
      <x:c r="B689" s="313" t="s">
        <x:v>19</x:v>
      </x:c>
      <x:c r="C689" s="313" t="s">
        <x:v>22</x:v>
      </x:c>
      <x:c r="D689" s="314">
        <x:v>1</x:v>
      </x:c>
      <x:c r="E689" s="320">
        <x:v>2180</x:v>
      </x:c>
      <x:c r="F689" s="320">
        <x:v>2180</x:v>
      </x:c>
      <x:c r="G689" s="320">
        <x:v>680</x:v>
      </x:c>
      <x:c r="H689" s="313" t="s">
        <x:v>63</x:v>
      </x:c>
      <x:c r="I689" s="313" t="s">
        <x:v>42</x:v>
      </x:c>
      <x:c r="J689" s="316" t="n">
        <x:f>IFERROR(G689/F689,0)</x:f>
        <x:v>0.3119266055045872</x:v>
      </x:c>
      <x:c r="K689" s="312" t="str">
        <x:f>IF(B689="Bilinmeyen Personel","Kontrol","OK")</x:f>
        <x:v>OK</x:v>
      </x:c>
    </x:row>
    <x:row r="690" ht="15.75">
      <x:c r="A690" s="313" t="n">
        <x:f t="shared" si="10">ROW()-ROW($A$2)+1</x:f>
        <x:v>689</x:v>
      </x:c>
      <x:c r="B690" s="313" t="s">
        <x:v>50</x:v>
      </x:c>
      <x:c r="C690" s="313" t="s">
        <x:v>58</x:v>
      </x:c>
      <x:c r="D690" s="314">
        <x:v>2</x:v>
      </x:c>
      <x:c r="E690" s="320">
        <x:v>3700</x:v>
      </x:c>
      <x:c r="F690" s="320">
        <x:v>7400</x:v>
      </x:c>
      <x:c r="G690" s="320">
        <x:v>1400</x:v>
      </x:c>
      <x:c r="H690" s="313" t="s">
        <x:v>63</x:v>
      </x:c>
      <x:c r="I690" s="313" t="s">
        <x:v>42</x:v>
      </x:c>
      <x:c r="J690" s="316" t="n">
        <x:f>IFERROR(G690/F690,0)</x:f>
        <x:v>0.1891891891891892</x:v>
      </x:c>
      <x:c r="K690" s="312" t="str">
        <x:f>IF(B690="Bilinmeyen Personel","Kontrol","OK")</x:f>
        <x:v>OK</x:v>
      </x:c>
    </x:row>
    <x:row r="691" ht="15.75">
      <x:c r="A691" s="313" t="n">
        <x:f t="shared" si="10">ROW()-ROW($A$2)+1</x:f>
        <x:v>690</x:v>
      </x:c>
      <x:c r="B691" s="313" t="s">
        <x:v>40</x:v>
      </x:c>
      <x:c r="C691" s="313" t="s">
        <x:v>10</x:v>
      </x:c>
      <x:c r="D691" s="314">
        <x:v>2</x:v>
      </x:c>
      <x:c r="E691" s="320">
        <x:v>6000</x:v>
      </x:c>
      <x:c r="F691" s="320">
        <x:v>12000</x:v>
      </x:c>
      <x:c r="G691" s="320">
        <x:v>4000</x:v>
      </x:c>
      <x:c r="H691" s="313" t="s">
        <x:v>63</x:v>
      </x:c>
      <x:c r="I691" s="313" t="s">
        <x:v>41</x:v>
      </x:c>
      <x:c r="J691" s="316" t="n">
        <x:f>IFERROR(G691/F691,0)</x:f>
        <x:v>0.3333333333333333</x:v>
      </x:c>
      <x:c r="K691" s="312" t="str">
        <x:f>IF(B691="Bilinmeyen Personel","Kontrol","OK")</x:f>
        <x:v>OK</x:v>
      </x:c>
    </x:row>
    <x:row r="692" ht="15.75">
      <x:c r="A692" s="313" t="n">
        <x:f t="shared" si="10">ROW()-ROW($A$2)+1</x:f>
        <x:v>691</x:v>
      </x:c>
      <x:c r="B692" s="313" t="s">
        <x:v>48</x:v>
      </x:c>
      <x:c r="C692" s="313" t="s">
        <x:v>52</x:v>
      </x:c>
      <x:c r="D692" s="314">
        <x:v>2</x:v>
      </x:c>
      <x:c r="E692" s="320">
        <x:v>1250</x:v>
      </x:c>
      <x:c r="F692" s="320">
        <x:v>2500</x:v>
      </x:c>
      <x:c r="G692" s="320">
        <x:v>900</x:v>
      </x:c>
      <x:c r="H692" s="313" t="s">
        <x:v>63</x:v>
      </x:c>
      <x:c r="I692" s="313" t="s">
        <x:v>18</x:v>
      </x:c>
      <x:c r="J692" s="316" t="n">
        <x:f>IFERROR(G692/F692,0)</x:f>
        <x:v>0.36</x:v>
      </x:c>
      <x:c r="K692" s="312" t="str">
        <x:f>IF(B692="Bilinmeyen Personel","Kontrol","OK")</x:f>
        <x:v>OK</x:v>
      </x:c>
    </x:row>
    <x:row r="693" ht="15.75">
      <x:c r="A693" s="313" t="n">
        <x:f t="shared" si="10">ROW()-ROW($A$2)+1</x:f>
        <x:v>692</x:v>
      </x:c>
      <x:c r="B693" s="313" t="s">
        <x:v>50</x:v>
      </x:c>
      <x:c r="C693" s="313" t="s">
        <x:v>24</x:v>
      </x:c>
      <x:c r="D693" s="314">
        <x:v>1</x:v>
      </x:c>
      <x:c r="E693" s="320">
        <x:v>7600</x:v>
      </x:c>
      <x:c r="F693" s="320">
        <x:v>7600</x:v>
      </x:c>
      <x:c r="G693" s="320">
        <x:v>1600</x:v>
      </x:c>
      <x:c r="H693" s="313" t="s">
        <x:v>63</x:v>
      </x:c>
      <x:c r="I693" s="313" t="s">
        <x:v>44</x:v>
      </x:c>
      <x:c r="J693" s="316" t="n">
        <x:f>IFERROR(G693/F693,0)</x:f>
        <x:v>0.21052631578947367</x:v>
      </x:c>
      <x:c r="K693" s="312" t="str">
        <x:f>IF(B693="Bilinmeyen Personel","Kontrol","OK")</x:f>
        <x:v>OK</x:v>
      </x:c>
    </x:row>
    <x:row r="694" ht="15.75">
      <x:c r="A694" s="313" t="n">
        <x:f t="shared" si="10">ROW()-ROW($A$2)+1</x:f>
        <x:v>693</x:v>
      </x:c>
      <x:c r="B694" s="313" t="s">
        <x:v>9</x:v>
      </x:c>
      <x:c r="C694" s="313" t="s">
        <x:v>14</x:v>
      </x:c>
      <x:c r="D694" s="314">
        <x:v>2</x:v>
      </x:c>
      <x:c r="E694" s="320">
        <x:v>1400</x:v>
      </x:c>
      <x:c r="F694" s="320">
        <x:v>2800</x:v>
      </x:c>
      <x:c r="G694" s="320">
        <x:v>1200</x:v>
      </x:c>
      <x:c r="H694" s="313" t="s">
        <x:v>63</x:v>
      </x:c>
      <x:c r="I694" s="313" t="s">
        <x:v>42</x:v>
      </x:c>
      <x:c r="J694" s="316" t="n">
        <x:f>IFERROR(G694/F694,0)</x:f>
        <x:v>0.42857142857142855</x:v>
      </x:c>
      <x:c r="K694" s="312" t="str">
        <x:f>IF(B694="Bilinmeyen Personel","Kontrol","OK")</x:f>
        <x:v>OK</x:v>
      </x:c>
    </x:row>
    <x:row r="695" ht="15.75">
      <x:c r="A695" s="313" t="n">
        <x:f t="shared" si="10">ROW()-ROW($A$2)+1</x:f>
        <x:v>694</x:v>
      </x:c>
      <x:c r="B695" s="313" t="s">
        <x:v>23</x:v>
      </x:c>
      <x:c r="C695" s="313" t="s">
        <x:v>22</x:v>
      </x:c>
      <x:c r="D695" s="314">
        <x:v>2</x:v>
      </x:c>
      <x:c r="E695" s="320">
        <x:v>2180</x:v>
      </x:c>
      <x:c r="F695" s="320">
        <x:v>4360</x:v>
      </x:c>
      <x:c r="G695" s="320">
        <x:v>1360</x:v>
      </x:c>
      <x:c r="H695" s="313" t="s">
        <x:v>63</x:v>
      </x:c>
      <x:c r="I695" s="313" t="s">
        <x:v>46</x:v>
      </x:c>
      <x:c r="J695" s="316" t="n">
        <x:f>IFERROR(G695/F695,0)</x:f>
        <x:v>0.3119266055045872</x:v>
      </x:c>
      <x:c r="K695" s="312" t="str">
        <x:f>IF(B695="Bilinmeyen Personel","Kontrol","OK")</x:f>
        <x:v>OK</x:v>
      </x:c>
    </x:row>
    <x:row r="696" ht="15.75">
      <x:c r="A696" s="313" t="n">
        <x:f t="shared" si="10">ROW()-ROW($A$2)+1</x:f>
        <x:v>695</x:v>
      </x:c>
      <x:c r="B696" s="313" t="s">
        <x:v>9</x:v>
      </x:c>
      <x:c r="C696" s="313" t="s">
        <x:v>33</x:v>
      </x:c>
      <x:c r="D696" s="314">
        <x:v>3</x:v>
      </x:c>
      <x:c r="E696" s="320">
        <x:v>1800</x:v>
      </x:c>
      <x:c r="F696" s="320">
        <x:v>5400</x:v>
      </x:c>
      <x:c r="G696" s="320">
        <x:v>3000</x:v>
      </x:c>
      <x:c r="H696" s="313" t="s">
        <x:v>63</x:v>
      </x:c>
      <x:c r="I696" s="313" t="s">
        <x:v>18</x:v>
      </x:c>
      <x:c r="J696" s="316" t="n">
        <x:f>IFERROR(G696/F696,0)</x:f>
        <x:v>0.5555555555555556</x:v>
      </x:c>
      <x:c r="K696" s="312" t="str">
        <x:f>IF(B696="Bilinmeyen Personel","Kontrol","OK")</x:f>
        <x:v>OK</x:v>
      </x:c>
    </x:row>
    <x:row r="697" ht="15.75">
      <x:c r="A697" s="313" t="n">
        <x:f t="shared" si="10">ROW()-ROW($A$2)+1</x:f>
        <x:v>696</x:v>
      </x:c>
      <x:c r="B697" s="313" t="s">
        <x:v>16</x:v>
      </x:c>
      <x:c r="C697" s="313" t="s">
        <x:v>57</x:v>
      </x:c>
      <x:c r="D697" s="314">
        <x:v>1</x:v>
      </x:c>
      <x:c r="E697" s="320">
        <x:v>1500</x:v>
      </x:c>
      <x:c r="F697" s="320">
        <x:v>1500</x:v>
      </x:c>
      <x:c r="G697" s="320">
        <x:v>700</x:v>
      </x:c>
      <x:c r="H697" s="313" t="s">
        <x:v>63</x:v>
      </x:c>
      <x:c r="I697" s="313" t="s">
        <x:v>44</x:v>
      </x:c>
      <x:c r="J697" s="316" t="n">
        <x:f>IFERROR(G697/F697,0)</x:f>
        <x:v>0.4666666666666667</x:v>
      </x:c>
      <x:c r="K697" s="312" t="str">
        <x:f>IF(B697="Bilinmeyen Personel","Kontrol","OK")</x:f>
        <x:v>OK</x:v>
      </x:c>
    </x:row>
    <x:row r="698" ht="15.75">
      <x:c r="A698" s="313" t="n">
        <x:f t="shared" si="10">ROW()-ROW($A$2)+1</x:f>
        <x:v>697</x:v>
      </x:c>
      <x:c r="B698" s="313" t="s">
        <x:v>32</x:v>
      </x:c>
      <x:c r="C698" s="313" t="s">
        <x:v>17</x:v>
      </x:c>
      <x:c r="D698" s="314">
        <x:v>3</x:v>
      </x:c>
      <x:c r="E698" s="320">
        <x:v>8450</x:v>
      </x:c>
      <x:c r="F698" s="320">
        <x:v>25350</x:v>
      </x:c>
      <x:c r="G698" s="320">
        <x:v>7350</x:v>
      </x:c>
      <x:c r="H698" s="313" t="s">
        <x:v>63</x:v>
      </x:c>
      <x:c r="I698" s="313" t="s">
        <x:v>28</x:v>
      </x:c>
      <x:c r="J698" s="316" t="n">
        <x:f>IFERROR(G698/F698,0)</x:f>
        <x:v>0.28994082840236685</x:v>
      </x:c>
      <x:c r="K698" s="312" t="str">
        <x:f>IF(B698="Bilinmeyen Personel","Kontrol","OK")</x:f>
        <x:v>OK</x:v>
      </x:c>
    </x:row>
    <x:row r="699" ht="15.75">
      <x:c r="A699" s="313" t="n">
        <x:f t="shared" si="10">ROW()-ROW($A$2)+1</x:f>
        <x:v>698</x:v>
      </x:c>
      <x:c r="B699" s="313" t="s">
        <x:v>40</x:v>
      </x:c>
      <x:c r="C699" s="313" t="s">
        <x:v>57</x:v>
      </x:c>
      <x:c r="D699" s="314">
        <x:v>3</x:v>
      </x:c>
      <x:c r="E699" s="320">
        <x:v>1500</x:v>
      </x:c>
      <x:c r="F699" s="320">
        <x:v>4500</x:v>
      </x:c>
      <x:c r="G699" s="320">
        <x:v>2100</x:v>
      </x:c>
      <x:c r="H699" s="313" t="s">
        <x:v>63</x:v>
      </x:c>
      <x:c r="I699" s="313" t="s">
        <x:v>37</x:v>
      </x:c>
      <x:c r="J699" s="316" t="n">
        <x:f>IFERROR(G699/F699,0)</x:f>
        <x:v>0.4666666666666667</x:v>
      </x:c>
      <x:c r="K699" s="312" t="str">
        <x:f>IF(B699="Bilinmeyen Personel","Kontrol","OK")</x:f>
        <x:v>OK</x:v>
      </x:c>
    </x:row>
    <x:row r="700" ht="15.75">
      <x:c r="A700" s="313" t="n">
        <x:f t="shared" si="10">ROW()-ROW($A$2)+1</x:f>
        <x:v>699</x:v>
      </x:c>
      <x:c r="B700" s="313" t="s">
        <x:v>29</x:v>
      </x:c>
      <x:c r="C700" s="313" t="s">
        <x:v>10</x:v>
      </x:c>
      <x:c r="D700" s="314">
        <x:v>3</x:v>
      </x:c>
      <x:c r="E700" s="320">
        <x:v>6000</x:v>
      </x:c>
      <x:c r="F700" s="320">
        <x:v>18000</x:v>
      </x:c>
      <x:c r="G700" s="320">
        <x:v>6000</x:v>
      </x:c>
      <x:c r="H700" s="313" t="s">
        <x:v>63</x:v>
      </x:c>
      <x:c r="I700" s="313" t="s">
        <x:v>21</x:v>
      </x:c>
      <x:c r="J700" s="316" t="n">
        <x:f>IFERROR(G700/F700,0)</x:f>
        <x:v>0.3333333333333333</x:v>
      </x:c>
      <x:c r="K700" s="312" t="str">
        <x:f>IF(B700="Bilinmeyen Personel","Kontrol","OK")</x:f>
        <x:v>OK</x:v>
      </x:c>
    </x:row>
    <x:row r="701" ht="15.75">
      <x:c r="A701" s="313" t="n">
        <x:f t="shared" si="10">ROW()-ROW($A$2)+1</x:f>
        <x:v>700</x:v>
      </x:c>
      <x:c r="B701" s="313" t="s">
        <x:v>50</x:v>
      </x:c>
      <x:c r="C701" s="313" t="s">
        <x:v>53</x:v>
      </x:c>
      <x:c r="D701" s="314">
        <x:v>1</x:v>
      </x:c>
      <x:c r="E701" s="320">
        <x:v>1200</x:v>
      </x:c>
      <x:c r="F701" s="320">
        <x:v>1200</x:v>
      </x:c>
      <x:c r="G701" s="320">
        <x:v>400</x:v>
      </x:c>
      <x:c r="H701" s="313" t="s">
        <x:v>63</x:v>
      </x:c>
      <x:c r="I701" s="313" t="s">
        <x:v>41</x:v>
      </x:c>
      <x:c r="J701" s="316" t="n">
        <x:f>IFERROR(G701/F701,0)</x:f>
        <x:v>0.3333333333333333</x:v>
      </x:c>
      <x:c r="K701" s="312" t="str">
        <x:f>IF(B701="Bilinmeyen Personel","Kontrol","OK")</x:f>
        <x:v>OK</x:v>
      </x:c>
    </x:row>
    <x:row r="702" ht="15.75">
      <x:c r="A702" s="313" t="n">
        <x:f t="shared" si="10">ROW()-ROW($A$2)+1</x:f>
        <x:v>701</x:v>
      </x:c>
      <x:c r="B702" s="313" t="s">
        <x:v>9</x:v>
      </x:c>
      <x:c r="C702" s="313" t="s">
        <x:v>45</x:v>
      </x:c>
      <x:c r="D702" s="314">
        <x:v>3</x:v>
      </x:c>
      <x:c r="E702" s="320">
        <x:v>4200</x:v>
      </x:c>
      <x:c r="F702" s="320">
        <x:v>12600</x:v>
      </x:c>
      <x:c r="G702" s="320">
        <x:v>3600</x:v>
      </x:c>
      <x:c r="H702" s="313" t="s">
        <x:v>63</x:v>
      </x:c>
      <x:c r="I702" s="313" t="s">
        <x:v>54</x:v>
      </x:c>
      <x:c r="J702" s="316" t="n">
        <x:f>IFERROR(G702/F702,0)</x:f>
        <x:v>0.2857142857142857</x:v>
      </x:c>
      <x:c r="K702" s="312" t="str">
        <x:f>IF(B702="Bilinmeyen Personel","Kontrol","OK")</x:f>
        <x:v>OK</x:v>
      </x:c>
    </x:row>
    <x:row r="703" ht="15.75">
      <x:c r="A703" s="313" t="n">
        <x:f t="shared" si="10">ROW()-ROW($A$2)+1</x:f>
        <x:v>702</x:v>
      </x:c>
      <x:c r="B703" s="313" t="s">
        <x:v>48</x:v>
      </x:c>
      <x:c r="C703" s="313" t="s">
        <x:v>24</x:v>
      </x:c>
      <x:c r="D703" s="314">
        <x:v>3</x:v>
      </x:c>
      <x:c r="E703" s="320">
        <x:v>7600</x:v>
      </x:c>
      <x:c r="F703" s="320">
        <x:v>22800</x:v>
      </x:c>
      <x:c r="G703" s="320">
        <x:v>4800</x:v>
      </x:c>
      <x:c r="H703" s="313" t="s">
        <x:v>63</x:v>
      </x:c>
      <x:c r="I703" s="313" t="s">
        <x:v>42</x:v>
      </x:c>
      <x:c r="J703" s="316" t="n">
        <x:f>IFERROR(G703/F703,0)</x:f>
        <x:v>0.21052631578947367</x:v>
      </x:c>
      <x:c r="K703" s="312" t="str">
        <x:f>IF(B703="Bilinmeyen Personel","Kontrol","OK")</x:f>
        <x:v>OK</x:v>
      </x:c>
    </x:row>
    <x:row r="704" ht="15.75">
      <x:c r="A704" s="313" t="n">
        <x:f t="shared" si="10">ROW()-ROW($A$2)+1</x:f>
        <x:v>703</x:v>
      </x:c>
      <x:c r="B704" s="313" t="s">
        <x:v>29</x:v>
      </x:c>
      <x:c r="C704" s="313" t="s">
        <x:v>26</x:v>
      </x:c>
      <x:c r="D704" s="314">
        <x:v>2</x:v>
      </x:c>
      <x:c r="E704" s="320">
        <x:v>7250</x:v>
      </x:c>
      <x:c r="F704" s="320">
        <x:v>14500</x:v>
      </x:c>
      <x:c r="G704" s="320">
        <x:v>4500</x:v>
      </x:c>
      <x:c r="H704" s="313" t="s">
        <x:v>63</x:v>
      </x:c>
      <x:c r="I704" s="313" t="s">
        <x:v>44</x:v>
      </x:c>
      <x:c r="J704" s="316" t="n">
        <x:f>IFERROR(G704/F704,0)</x:f>
        <x:v>0.3103448275862069</x:v>
      </x:c>
      <x:c r="K704" s="312" t="str">
        <x:f>IF(B704="Bilinmeyen Personel","Kontrol","OK")</x:f>
        <x:v>OK</x:v>
      </x:c>
    </x:row>
    <x:row r="705" ht="15.75">
      <x:c r="A705" s="313" t="n">
        <x:f t="shared" si="10">ROW()-ROW($A$2)+1</x:f>
        <x:v>704</x:v>
      </x:c>
      <x:c r="B705" s="313" t="s">
        <x:v>13</x:v>
      </x:c>
      <x:c r="C705" s="313" t="s">
        <x:v>55</x:v>
      </x:c>
      <x:c r="D705" s="314">
        <x:v>2</x:v>
      </x:c>
      <x:c r="E705" s="320">
        <x:v>7530</x:v>
      </x:c>
      <x:c r="F705" s="320">
        <x:v>15060</x:v>
      </x:c>
      <x:c r="G705" s="320">
        <x:v>3060</x:v>
      </x:c>
      <x:c r="H705" s="313" t="s">
        <x:v>63</x:v>
      </x:c>
      <x:c r="I705" s="313" t="s">
        <x:v>15</x:v>
      </x:c>
      <x:c r="J705" s="316" t="n">
        <x:f>IFERROR(G705/F705,0)</x:f>
        <x:v>0.20318725099601595</x:v>
      </x:c>
      <x:c r="K705" s="312" t="str">
        <x:f>IF(B705="Bilinmeyen Personel","Kontrol","OK")</x:f>
        <x:v>OK</x:v>
      </x:c>
    </x:row>
    <x:row r="706" ht="15.75">
      <x:c r="A706" s="313" t="n">
        <x:f t="shared" si="10">ROW()-ROW($A$2)+1</x:f>
        <x:v>705</x:v>
      </x:c>
      <x:c r="B706" s="313" t="s">
        <x:v>16</x:v>
      </x:c>
      <x:c r="C706" s="313" t="s">
        <x:v>26</x:v>
      </x:c>
      <x:c r="D706" s="314">
        <x:v>2</x:v>
      </x:c>
      <x:c r="E706" s="320">
        <x:v>7250</x:v>
      </x:c>
      <x:c r="F706" s="320">
        <x:v>14500</x:v>
      </x:c>
      <x:c r="G706" s="320">
        <x:v>4500</x:v>
      </x:c>
      <x:c r="H706" s="313" t="s">
        <x:v>63</x:v>
      </x:c>
      <x:c r="I706" s="313" t="s">
        <x:v>21</x:v>
      </x:c>
      <x:c r="J706" s="316" t="n">
        <x:f>IFERROR(G706/F706,0)</x:f>
        <x:v>0.3103448275862069</x:v>
      </x:c>
      <x:c r="K706" s="312" t="str">
        <x:f>IF(B706="Bilinmeyen Personel","Kontrol","OK")</x:f>
        <x:v>OK</x:v>
      </x:c>
    </x:row>
    <x:row r="707" ht="15.75">
      <x:c r="A707" s="313" t="n">
        <x:f t="shared" ref="A707:A770" si="11">ROW()-ROW($A$2)+1</x:f>
        <x:v>706</x:v>
      </x:c>
      <x:c r="B707" s="313" t="s">
        <x:v>13</x:v>
      </x:c>
      <x:c r="C707" s="313" t="s">
        <x:v>10</x:v>
      </x:c>
      <x:c r="D707" s="314">
        <x:v>1</x:v>
      </x:c>
      <x:c r="E707" s="320">
        <x:v>6000</x:v>
      </x:c>
      <x:c r="F707" s="320">
        <x:v>6000</x:v>
      </x:c>
      <x:c r="G707" s="320">
        <x:v>2000</x:v>
      </x:c>
      <x:c r="H707" s="313" t="s">
        <x:v>63</x:v>
      </x:c>
      <x:c r="I707" s="313" t="s">
        <x:v>31</x:v>
      </x:c>
      <x:c r="J707" s="316" t="n">
        <x:f>IFERROR(G707/F707,0)</x:f>
        <x:v>0.3333333333333333</x:v>
      </x:c>
      <x:c r="K707" s="312" t="str">
        <x:f>IF(B707="Bilinmeyen Personel","Kontrol","OK")</x:f>
        <x:v>OK</x:v>
      </x:c>
    </x:row>
    <x:row r="708" ht="15.75">
      <x:c r="A708" s="313" t="n">
        <x:f t="shared" si="11">ROW()-ROW($A$2)+1</x:f>
        <x:v>707</x:v>
      </x:c>
      <x:c r="B708" s="313" t="s">
        <x:v>29</x:v>
      </x:c>
      <x:c r="C708" s="313" t="s">
        <x:v>53</x:v>
      </x:c>
      <x:c r="D708" s="314">
        <x:v>3</x:v>
      </x:c>
      <x:c r="E708" s="320">
        <x:v>1200</x:v>
      </x:c>
      <x:c r="F708" s="320">
        <x:v>3600</x:v>
      </x:c>
      <x:c r="G708" s="320">
        <x:v>1200</x:v>
      </x:c>
      <x:c r="H708" s="313" t="s">
        <x:v>64</x:v>
      </x:c>
      <x:c r="I708" s="313" t="s">
        <x:v>28</x:v>
      </x:c>
      <x:c r="J708" s="316" t="n">
        <x:f>IFERROR(G708/F708,0)</x:f>
        <x:v>0.3333333333333333</x:v>
      </x:c>
      <x:c r="K708" s="312" t="str">
        <x:f>IF(B708="Bilinmeyen Personel","Kontrol","OK")</x:f>
        <x:v>OK</x:v>
      </x:c>
    </x:row>
    <x:row r="709" ht="15.75">
      <x:c r="A709" s="313" t="n">
        <x:f t="shared" si="11">ROW()-ROW($A$2)+1</x:f>
        <x:v>708</x:v>
      </x:c>
      <x:c r="B709" s="313" t="s">
        <x:v>50</x:v>
      </x:c>
      <x:c r="C709" s="313" t="s">
        <x:v>56</x:v>
      </x:c>
      <x:c r="D709" s="314">
        <x:v>2</x:v>
      </x:c>
      <x:c r="E709" s="320">
        <x:v>5300</x:v>
      </x:c>
      <x:c r="F709" s="320">
        <x:v>10600</x:v>
      </x:c>
      <x:c r="G709" s="320">
        <x:v>2600</x:v>
      </x:c>
      <x:c r="H709" s="313" t="s">
        <x:v>64</x:v>
      </x:c>
      <x:c r="I709" s="313" t="s">
        <x:v>46</x:v>
      </x:c>
      <x:c r="J709" s="316" t="n">
        <x:f>IFERROR(G709/F709,0)</x:f>
        <x:v>0.24528301886792453</x:v>
      </x:c>
      <x:c r="K709" s="312" t="str">
        <x:f>IF(B709="Bilinmeyen Personel","Kontrol","OK")</x:f>
        <x:v>OK</x:v>
      </x:c>
    </x:row>
    <x:row r="710" ht="15.75">
      <x:c r="A710" s="313" t="n">
        <x:f t="shared" si="11">ROW()-ROW($A$2)+1</x:f>
        <x:v>709</x:v>
      </x:c>
      <x:c r="B710" s="313" t="s">
        <x:v>38</x:v>
      </x:c>
      <x:c r="C710" s="313" t="s">
        <x:v>17</x:v>
      </x:c>
      <x:c r="D710" s="314">
        <x:v>2</x:v>
      </x:c>
      <x:c r="E710" s="320">
        <x:v>8450</x:v>
      </x:c>
      <x:c r="F710" s="320">
        <x:v>16900</x:v>
      </x:c>
      <x:c r="G710" s="320">
        <x:v>4900</x:v>
      </x:c>
      <x:c r="H710" s="313" t="s">
        <x:v>64</x:v>
      </x:c>
      <x:c r="I710" s="313" t="s">
        <x:v>28</x:v>
      </x:c>
      <x:c r="J710" s="316" t="n">
        <x:f>IFERROR(G710/F710,0)</x:f>
        <x:v>0.28994082840236685</x:v>
      </x:c>
      <x:c r="K710" s="312" t="str">
        <x:f>IF(B710="Bilinmeyen Personel","Kontrol","OK")</x:f>
        <x:v>OK</x:v>
      </x:c>
    </x:row>
    <x:row r="711" ht="15.75">
      <x:c r="A711" s="313" t="n">
        <x:f t="shared" si="11">ROW()-ROW($A$2)+1</x:f>
        <x:v>710</x:v>
      </x:c>
      <x:c r="B711" s="313" t="s">
        <x:v>23</x:v>
      </x:c>
      <x:c r="C711" s="313" t="s">
        <x:v>20</x:v>
      </x:c>
      <x:c r="D711" s="314">
        <x:v>1</x:v>
      </x:c>
      <x:c r="E711" s="320">
        <x:v>1350</x:v>
      </x:c>
      <x:c r="F711" s="320">
        <x:v>1350</x:v>
      </x:c>
      <x:c r="G711" s="320">
        <x:v>550</x:v>
      </x:c>
      <x:c r="H711" s="313" t="s">
        <x:v>64</x:v>
      </x:c>
      <x:c r="I711" s="313" t="s">
        <x:v>28</x:v>
      </x:c>
      <x:c r="J711" s="316" t="n">
        <x:f>IFERROR(G711/F711,0)</x:f>
        <x:v>0.4074074074074074</x:v>
      </x:c>
      <x:c r="K711" s="312" t="str">
        <x:f>IF(B711="Bilinmeyen Personel","Kontrol","OK")</x:f>
        <x:v>OK</x:v>
      </x:c>
    </x:row>
    <x:row r="712" ht="15.75">
      <x:c r="A712" s="313" t="n">
        <x:f t="shared" si="11">ROW()-ROW($A$2)+1</x:f>
        <x:v>711</x:v>
      </x:c>
      <x:c r="B712" s="313" t="s">
        <x:v>32</x:v>
      </x:c>
      <x:c r="C712" s="313" t="s">
        <x:v>34</x:v>
      </x:c>
      <x:c r="D712" s="314">
        <x:v>1</x:v>
      </x:c>
      <x:c r="E712" s="320">
        <x:v>1090</x:v>
      </x:c>
      <x:c r="F712" s="320">
        <x:v>1090</x:v>
      </x:c>
      <x:c r="G712" s="320">
        <x:v>290</x:v>
      </x:c>
      <x:c r="H712" s="313" t="s">
        <x:v>64</x:v>
      </x:c>
      <x:c r="I712" s="313" t="s">
        <x:v>12</x:v>
      </x:c>
      <x:c r="J712" s="316" t="n">
        <x:f>IFERROR(G712/F712,0)</x:f>
        <x:v>0.26605504587155965</x:v>
      </x:c>
      <x:c r="K712" s="312" t="str">
        <x:f>IF(B712="Bilinmeyen Personel","Kontrol","OK")</x:f>
        <x:v>OK</x:v>
      </x:c>
    </x:row>
    <x:row r="713" ht="15.75">
      <x:c r="A713" s="313" t="n">
        <x:f t="shared" si="11">ROW()-ROW($A$2)+1</x:f>
        <x:v>712</x:v>
      </x:c>
      <x:c r="B713" s="313" t="s">
        <x:v>23</x:v>
      </x:c>
      <x:c r="C713" s="313" t="s">
        <x:v>22</x:v>
      </x:c>
      <x:c r="D713" s="314">
        <x:v>1</x:v>
      </x:c>
      <x:c r="E713" s="320">
        <x:v>2180</x:v>
      </x:c>
      <x:c r="F713" s="320">
        <x:v>2180</x:v>
      </x:c>
      <x:c r="G713" s="320">
        <x:v>680</x:v>
      </x:c>
      <x:c r="H713" s="313" t="s">
        <x:v>64</x:v>
      </x:c>
      <x:c r="I713" s="313" t="s">
        <x:v>31</x:v>
      </x:c>
      <x:c r="J713" s="316" t="n">
        <x:f>IFERROR(G713/F713,0)</x:f>
        <x:v>0.3119266055045872</x:v>
      </x:c>
      <x:c r="K713" s="312" t="str">
        <x:f>IF(B713="Bilinmeyen Personel","Kontrol","OK")</x:f>
        <x:v>OK</x:v>
      </x:c>
    </x:row>
    <x:row r="714" ht="15.75">
      <x:c r="A714" s="313" t="n">
        <x:f t="shared" si="11">ROW()-ROW($A$2)+1</x:f>
        <x:v>713</x:v>
      </x:c>
      <x:c r="B714" s="313" t="s">
        <x:v>9</x:v>
      </x:c>
      <x:c r="C714" s="313" t="s">
        <x:v>10</x:v>
      </x:c>
      <x:c r="D714" s="314">
        <x:v>2</x:v>
      </x:c>
      <x:c r="E714" s="320">
        <x:v>6000</x:v>
      </x:c>
      <x:c r="F714" s="320">
        <x:v>12000</x:v>
      </x:c>
      <x:c r="G714" s="320">
        <x:v>4000</x:v>
      </x:c>
      <x:c r="H714" s="313" t="s">
        <x:v>64</x:v>
      </x:c>
      <x:c r="I714" s="313" t="s">
        <x:v>44</x:v>
      </x:c>
      <x:c r="J714" s="316" t="n">
        <x:f>IFERROR(G714/F714,0)</x:f>
        <x:v>0.3333333333333333</x:v>
      </x:c>
      <x:c r="K714" s="312" t="str">
        <x:f>IF(B714="Bilinmeyen Personel","Kontrol","OK")</x:f>
        <x:v>OK</x:v>
      </x:c>
    </x:row>
    <x:row r="715" ht="15.75">
      <x:c r="A715" s="313" t="n">
        <x:f t="shared" si="11">ROW()-ROW($A$2)+1</x:f>
        <x:v>714</x:v>
      </x:c>
      <x:c r="B715" s="313" t="s">
        <x:v>13</x:v>
      </x:c>
      <x:c r="C715" s="313" t="s">
        <x:v>14</x:v>
      </x:c>
      <x:c r="D715" s="314">
        <x:v>2</x:v>
      </x:c>
      <x:c r="E715" s="320">
        <x:v>1400</x:v>
      </x:c>
      <x:c r="F715" s="320">
        <x:v>2800</x:v>
      </x:c>
      <x:c r="G715" s="320">
        <x:v>1200</x:v>
      </x:c>
      <x:c r="H715" s="313" t="s">
        <x:v>64</x:v>
      </x:c>
      <x:c r="I715" s="313" t="s">
        <x:v>18</x:v>
      </x:c>
      <x:c r="J715" s="316" t="n">
        <x:f>IFERROR(G715/F715,0)</x:f>
        <x:v>0.42857142857142855</x:v>
      </x:c>
      <x:c r="K715" s="312" t="str">
        <x:f>IF(B715="Bilinmeyen Personel","Kontrol","OK")</x:f>
        <x:v>OK</x:v>
      </x:c>
    </x:row>
    <x:row r="716" ht="15.75">
      <x:c r="A716" s="313" t="n">
        <x:f t="shared" si="11">ROW()-ROW($A$2)+1</x:f>
        <x:v>715</x:v>
      </x:c>
      <x:c r="B716" s="313" t="s">
        <x:v>16</x:v>
      </x:c>
      <x:c r="C716" s="313" t="s">
        <x:v>17</x:v>
      </x:c>
      <x:c r="D716" s="314">
        <x:v>2</x:v>
      </x:c>
      <x:c r="E716" s="320">
        <x:v>8450</x:v>
      </x:c>
      <x:c r="F716" s="320">
        <x:v>16900</x:v>
      </x:c>
      <x:c r="G716" s="320">
        <x:v>4900</x:v>
      </x:c>
      <x:c r="H716" s="313" t="s">
        <x:v>64</x:v>
      </x:c>
      <x:c r="I716" s="313" t="s">
        <x:v>31</x:v>
      </x:c>
      <x:c r="J716" s="316" t="n">
        <x:f>IFERROR(G716/F716,0)</x:f>
        <x:v>0.28994082840236685</x:v>
      </x:c>
      <x:c r="K716" s="312" t="str">
        <x:f>IF(B716="Bilinmeyen Personel","Kontrol","OK")</x:f>
        <x:v>OK</x:v>
      </x:c>
    </x:row>
    <x:row r="717" ht="15.75">
      <x:c r="A717" s="313" t="n">
        <x:f t="shared" si="11">ROW()-ROW($A$2)+1</x:f>
        <x:v>716</x:v>
      </x:c>
      <x:c r="B717" s="313" t="s">
        <x:v>19</x:v>
      </x:c>
      <x:c r="C717" s="313" t="s">
        <x:v>20</x:v>
      </x:c>
      <x:c r="D717" s="314">
        <x:v>3</x:v>
      </x:c>
      <x:c r="E717" s="320">
        <x:v>1350</x:v>
      </x:c>
      <x:c r="F717" s="320">
        <x:v>4050</x:v>
      </x:c>
      <x:c r="G717" s="320">
        <x:v>1650</x:v>
      </x:c>
      <x:c r="H717" s="313" t="s">
        <x:v>64</x:v>
      </x:c>
      <x:c r="I717" s="313" t="s">
        <x:v>44</x:v>
      </x:c>
      <x:c r="J717" s="316" t="n">
        <x:f>IFERROR(G717/F717,0)</x:f>
        <x:v>0.4074074074074074</x:v>
      </x:c>
      <x:c r="K717" s="312" t="str">
        <x:f>IF(B717="Bilinmeyen Personel","Kontrol","OK")</x:f>
        <x:v>OK</x:v>
      </x:c>
    </x:row>
    <x:row r="718" ht="15.75">
      <x:c r="A718" s="313" t="n">
        <x:f t="shared" si="11">ROW()-ROW($A$2)+1</x:f>
        <x:v>717</x:v>
      </x:c>
      <x:c r="B718" s="313" t="s">
        <x:v>9</x:v>
      </x:c>
      <x:c r="C718" s="313" t="s">
        <x:v>22</x:v>
      </x:c>
      <x:c r="D718" s="314">
        <x:v>2</x:v>
      </x:c>
      <x:c r="E718" s="320">
        <x:v>2180</x:v>
      </x:c>
      <x:c r="F718" s="320">
        <x:v>4360</x:v>
      </x:c>
      <x:c r="G718" s="320">
        <x:v>1360</x:v>
      </x:c>
      <x:c r="H718" s="313" t="s">
        <x:v>64</x:v>
      </x:c>
      <x:c r="I718" s="313" t="s">
        <x:v>12</x:v>
      </x:c>
      <x:c r="J718" s="316" t="n">
        <x:f>IFERROR(G718/F718,0)</x:f>
        <x:v>0.3119266055045872</x:v>
      </x:c>
      <x:c r="K718" s="312" t="str">
        <x:f>IF(B718="Bilinmeyen Personel","Kontrol","OK")</x:f>
        <x:v>OK</x:v>
      </x:c>
    </x:row>
    <x:row r="719" ht="15.75">
      <x:c r="A719" s="313" t="n">
        <x:f t="shared" si="11">ROW()-ROW($A$2)+1</x:f>
        <x:v>718</x:v>
      </x:c>
      <x:c r="B719" s="313" t="s">
        <x:v>23</x:v>
      </x:c>
      <x:c r="C719" s="313" t="s">
        <x:v>24</x:v>
      </x:c>
      <x:c r="D719" s="314">
        <x:v>2</x:v>
      </x:c>
      <x:c r="E719" s="320">
        <x:v>7600</x:v>
      </x:c>
      <x:c r="F719" s="320">
        <x:v>15200</x:v>
      </x:c>
      <x:c r="G719" s="320">
        <x:v>3200</x:v>
      </x:c>
      <x:c r="H719" s="313" t="s">
        <x:v>64</x:v>
      </x:c>
      <x:c r="I719" s="313" t="s">
        <x:v>31</x:v>
      </x:c>
      <x:c r="J719" s="316" t="n">
        <x:f>IFERROR(G719/F719,0)</x:f>
        <x:v>0.21052631578947367</x:v>
      </x:c>
      <x:c r="K719" s="312" t="str">
        <x:f>IF(B719="Bilinmeyen Personel","Kontrol","OK")</x:f>
        <x:v>OK</x:v>
      </x:c>
    </x:row>
    <x:row r="720" ht="15.75">
      <x:c r="A720" s="313" t="n">
        <x:f t="shared" si="11">ROW()-ROW($A$2)+1</x:f>
        <x:v>719</x:v>
      </x:c>
      <x:c r="B720" s="313" t="s">
        <x:v>13</x:v>
      </x:c>
      <x:c r="C720" s="313" t="s">
        <x:v>26</x:v>
      </x:c>
      <x:c r="D720" s="314">
        <x:v>2</x:v>
      </x:c>
      <x:c r="E720" s="320">
        <x:v>7250</x:v>
      </x:c>
      <x:c r="F720" s="320">
        <x:v>14500</x:v>
      </x:c>
      <x:c r="G720" s="320">
        <x:v>4500</x:v>
      </x:c>
      <x:c r="H720" s="313" t="s">
        <x:v>64</x:v>
      </x:c>
      <x:c r="I720" s="313" t="s">
        <x:v>31</x:v>
      </x:c>
      <x:c r="J720" s="316" t="n">
        <x:f>IFERROR(G720/F720,0)</x:f>
        <x:v>0.3103448275862069</x:v>
      </x:c>
      <x:c r="K720" s="312" t="str">
        <x:f>IF(B720="Bilinmeyen Personel","Kontrol","OK")</x:f>
        <x:v>OK</x:v>
      </x:c>
    </x:row>
    <x:row r="721" ht="15.75">
      <x:c r="A721" s="313" t="n">
        <x:f t="shared" si="11">ROW()-ROW($A$2)+1</x:f>
        <x:v>720</x:v>
      </x:c>
      <x:c r="B721" s="313" t="s">
        <x:v>19</x:v>
      </x:c>
      <x:c r="C721" s="313" t="s">
        <x:v>27</x:v>
      </x:c>
      <x:c r="D721" s="314">
        <x:v>3</x:v>
      </x:c>
      <x:c r="E721" s="320">
        <x:v>1100</x:v>
      </x:c>
      <x:c r="F721" s="320">
        <x:v>3300</x:v>
      </x:c>
      <x:c r="G721" s="320">
        <x:v>900</x:v>
      </x:c>
      <x:c r="H721" s="313" t="s">
        <x:v>64</x:v>
      </x:c>
      <x:c r="I721" s="313" t="s">
        <x:v>25</x:v>
      </x:c>
      <x:c r="J721" s="316" t="n">
        <x:f>IFERROR(G721/F721,0)</x:f>
        <x:v>0.2727272727272727</x:v>
      </x:c>
      <x:c r="K721" s="312" t="str">
        <x:f>IF(B721="Bilinmeyen Personel","Kontrol","OK")</x:f>
        <x:v>OK</x:v>
      </x:c>
    </x:row>
    <x:row r="722" ht="15.75">
      <x:c r="A722" s="313" t="n">
        <x:f t="shared" si="11">ROW()-ROW($A$2)+1</x:f>
        <x:v>721</x:v>
      </x:c>
      <x:c r="B722" s="313" t="s">
        <x:v>29</x:v>
      </x:c>
      <x:c r="C722" s="313" t="s">
        <x:v>10</x:v>
      </x:c>
      <x:c r="D722" s="314">
        <x:v>2</x:v>
      </x:c>
      <x:c r="E722" s="320">
        <x:v>6000</x:v>
      </x:c>
      <x:c r="F722" s="320">
        <x:v>12000</x:v>
      </x:c>
      <x:c r="G722" s="320">
        <x:v>4000</x:v>
      </x:c>
      <x:c r="H722" s="313" t="s">
        <x:v>64</x:v>
      </x:c>
      <x:c r="I722" s="313" t="s">
        <x:v>18</x:v>
      </x:c>
      <x:c r="J722" s="316" t="n">
        <x:f>IFERROR(G722/F722,0)</x:f>
        <x:v>0.3333333333333333</x:v>
      </x:c>
      <x:c r="K722" s="312" t="str">
        <x:f>IF(B722="Bilinmeyen Personel","Kontrol","OK")</x:f>
        <x:v>OK</x:v>
      </x:c>
    </x:row>
    <x:row r="723" ht="15.75">
      <x:c r="A723" s="313" t="n">
        <x:f t="shared" si="11">ROW()-ROW($A$2)+1</x:f>
        <x:v>722</x:v>
      </x:c>
      <x:c r="B723" s="313" t="s">
        <x:v>9</x:v>
      </x:c>
      <x:c r="C723" s="313" t="s">
        <x:v>30</x:v>
      </x:c>
      <x:c r="D723" s="314">
        <x:v>1</x:v>
      </x:c>
      <x:c r="E723" s="320">
        <x:v>1200</x:v>
      </x:c>
      <x:c r="F723" s="320">
        <x:v>1200</x:v>
      </x:c>
      <x:c r="G723" s="320">
        <x:v>400</x:v>
      </x:c>
      <x:c r="H723" s="313" t="s">
        <x:v>64</x:v>
      </x:c>
      <x:c r="I723" s="313" t="s">
        <x:v>12</x:v>
      </x:c>
      <x:c r="J723" s="316" t="n">
        <x:f>IFERROR(G723/F723,0)</x:f>
        <x:v>0.3333333333333333</x:v>
      </x:c>
      <x:c r="K723" s="312" t="str">
        <x:f>IF(B723="Bilinmeyen Personel","Kontrol","OK")</x:f>
        <x:v>OK</x:v>
      </x:c>
    </x:row>
    <x:row r="724" ht="15.75">
      <x:c r="A724" s="313" t="n">
        <x:f t="shared" si="11">ROW()-ROW($A$2)+1</x:f>
        <x:v>723</x:v>
      </x:c>
      <x:c r="B724" s="313" t="s">
        <x:v>32</x:v>
      </x:c>
      <x:c r="C724" s="313" t="s">
        <x:v>33</x:v>
      </x:c>
      <x:c r="D724" s="314">
        <x:v>2</x:v>
      </x:c>
      <x:c r="E724" s="320">
        <x:v>1800</x:v>
      </x:c>
      <x:c r="F724" s="320">
        <x:v>3600</x:v>
      </x:c>
      <x:c r="G724" s="320">
        <x:v>2000</x:v>
      </x:c>
      <x:c r="H724" s="313" t="s">
        <x:v>64</x:v>
      </x:c>
      <x:c r="I724" s="313" t="s">
        <x:v>44</x:v>
      </x:c>
      <x:c r="J724" s="316" t="n">
        <x:f>IFERROR(G724/F724,0)</x:f>
        <x:v>0.5555555555555556</x:v>
      </x:c>
      <x:c r="K724" s="312" t="str">
        <x:f>IF(B724="Bilinmeyen Personel","Kontrol","OK")</x:f>
        <x:v>OK</x:v>
      </x:c>
    </x:row>
    <x:row r="725" ht="15.75">
      <x:c r="A725" s="313" t="n">
        <x:f t="shared" si="11">ROW()-ROW($A$2)+1</x:f>
        <x:v>724</x:v>
      </x:c>
      <x:c r="B725" s="313" t="s">
        <x:v>32</x:v>
      </x:c>
      <x:c r="C725" s="313" t="s">
        <x:v>34</x:v>
      </x:c>
      <x:c r="D725" s="314">
        <x:v>2</x:v>
      </x:c>
      <x:c r="E725" s="320">
        <x:v>1090</x:v>
      </x:c>
      <x:c r="F725" s="320">
        <x:v>2180</x:v>
      </x:c>
      <x:c r="G725" s="320">
        <x:v>580</x:v>
      </x:c>
      <x:c r="H725" s="313" t="s">
        <x:v>64</x:v>
      </x:c>
      <x:c r="I725" s="313" t="s">
        <x:v>28</x:v>
      </x:c>
      <x:c r="J725" s="316" t="n">
        <x:f>IFERROR(G725/F725,0)</x:f>
        <x:v>0.26605504587155965</x:v>
      </x:c>
      <x:c r="K725" s="312" t="str">
        <x:f>IF(B725="Bilinmeyen Personel","Kontrol","OK")</x:f>
        <x:v>OK</x:v>
      </x:c>
    </x:row>
    <x:row r="726" ht="15.75">
      <x:c r="A726" s="313" t="n">
        <x:f t="shared" si="11">ROW()-ROW($A$2)+1</x:f>
        <x:v>725</x:v>
      </x:c>
      <x:c r="B726" s="313" t="s">
        <x:v>29</x:v>
      </x:c>
      <x:c r="C726" s="313" t="s">
        <x:v>22</x:v>
      </x:c>
      <x:c r="D726" s="314">
        <x:v>3</x:v>
      </x:c>
      <x:c r="E726" s="320">
        <x:v>2180</x:v>
      </x:c>
      <x:c r="F726" s="320">
        <x:v>6540</x:v>
      </x:c>
      <x:c r="G726" s="320">
        <x:v>2040</x:v>
      </x:c>
      <x:c r="H726" s="313" t="s">
        <x:v>64</x:v>
      </x:c>
      <x:c r="I726" s="313" t="s">
        <x:v>44</x:v>
      </x:c>
      <x:c r="J726" s="316" t="n">
        <x:f>IFERROR(G726/F726,0)</x:f>
        <x:v>0.3119266055045872</x:v>
      </x:c>
      <x:c r="K726" s="312" t="str">
        <x:f>IF(B726="Bilinmeyen Personel","Kontrol","OK")</x:f>
        <x:v>OK</x:v>
      </x:c>
    </x:row>
    <x:row r="727" ht="15.75">
      <x:c r="A727" s="313" t="n">
        <x:f t="shared" si="11">ROW()-ROW($A$2)+1</x:f>
        <x:v>726</x:v>
      </x:c>
      <x:c r="B727" s="313" t="s">
        <x:v>35</x:v>
      </x:c>
      <x:c r="C727" s="313" t="s">
        <x:v>33</x:v>
      </x:c>
      <x:c r="D727" s="314">
        <x:v>3</x:v>
      </x:c>
      <x:c r="E727" s="320">
        <x:v>1800</x:v>
      </x:c>
      <x:c r="F727" s="320">
        <x:v>5400</x:v>
      </x:c>
      <x:c r="G727" s="320">
        <x:v>3000</x:v>
      </x:c>
      <x:c r="H727" s="313" t="s">
        <x:v>64</x:v>
      </x:c>
      <x:c r="I727" s="313" t="s">
        <x:v>12</x:v>
      </x:c>
      <x:c r="J727" s="316" t="n">
        <x:f>IFERROR(G727/F727,0)</x:f>
        <x:v>0.5555555555555556</x:v>
      </x:c>
      <x:c r="K727" s="312" t="str">
        <x:f>IF(B727="Bilinmeyen Personel","Kontrol","OK")</x:f>
        <x:v>OK</x:v>
      </x:c>
    </x:row>
    <x:row r="728" ht="15.75">
      <x:c r="A728" s="313" t="n">
        <x:f t="shared" si="11">ROW()-ROW($A$2)+1</x:f>
        <x:v>727</x:v>
      </x:c>
      <x:c r="B728" s="313" t="s">
        <x:v>23</x:v>
      </x:c>
      <x:c r="C728" s="313" t="s">
        <x:v>36</x:v>
      </x:c>
      <x:c r="D728" s="314">
        <x:v>3</x:v>
      </x:c>
      <x:c r="E728" s="320">
        <x:v>8000</x:v>
      </x:c>
      <x:c r="F728" s="320">
        <x:v>24000</x:v>
      </x:c>
      <x:c r="G728" s="320">
        <x:v>6000</x:v>
      </x:c>
      <x:c r="H728" s="313" t="s">
        <x:v>64</x:v>
      </x:c>
      <x:c r="I728" s="313" t="s">
        <x:v>44</x:v>
      </x:c>
      <x:c r="J728" s="316" t="n">
        <x:f>IFERROR(G728/F728,0)</x:f>
        <x:v>0.25</x:v>
      </x:c>
      <x:c r="K728" s="312" t="str">
        <x:f>IF(B728="Bilinmeyen Personel","Kontrol","OK")</x:f>
        <x:v>OK</x:v>
      </x:c>
    </x:row>
    <x:row r="729" ht="15.75">
      <x:c r="A729" s="313" t="n">
        <x:f t="shared" si="11">ROW()-ROW($A$2)+1</x:f>
        <x:v>728</x:v>
      </x:c>
      <x:c r="B729" s="313" t="s">
        <x:v>29</x:v>
      </x:c>
      <x:c r="C729" s="313" t="s">
        <x:v>14</x:v>
      </x:c>
      <x:c r="D729" s="314">
        <x:v>1</x:v>
      </x:c>
      <x:c r="E729" s="320">
        <x:v>1400</x:v>
      </x:c>
      <x:c r="F729" s="320">
        <x:v>1400</x:v>
      </x:c>
      <x:c r="G729" s="320">
        <x:v>600</x:v>
      </x:c>
      <x:c r="H729" s="313" t="s">
        <x:v>64</x:v>
      </x:c>
      <x:c r="I729" s="313" t="s">
        <x:v>25</x:v>
      </x:c>
      <x:c r="J729" s="316" t="n">
        <x:f>IFERROR(G729/F729,0)</x:f>
        <x:v>0.42857142857142855</x:v>
      </x:c>
      <x:c r="K729" s="312" t="str">
        <x:f>IF(B729="Bilinmeyen Personel","Kontrol","OK")</x:f>
        <x:v>OK</x:v>
      </x:c>
    </x:row>
    <x:row r="730" ht="15.75">
      <x:c r="A730" s="313" t="n">
        <x:f t="shared" si="11">ROW()-ROW($A$2)+1</x:f>
        <x:v>729</x:v>
      </x:c>
      <x:c r="B730" s="313" t="s">
        <x:v>38</x:v>
      </x:c>
      <x:c r="C730" s="313" t="s">
        <x:v>39</x:v>
      </x:c>
      <x:c r="D730" s="314">
        <x:v>1</x:v>
      </x:c>
      <x:c r="E730" s="320">
        <x:v>10590</x:v>
      </x:c>
      <x:c r="F730" s="320">
        <x:v>10590</x:v>
      </x:c>
      <x:c r="G730" s="320">
        <x:v>4590</x:v>
      </x:c>
      <x:c r="H730" s="313" t="s">
        <x:v>64</x:v>
      </x:c>
      <x:c r="I730" s="313" t="s">
        <x:v>18</x:v>
      </x:c>
      <x:c r="J730" s="316" t="n">
        <x:f>IFERROR(G730/F730,0)</x:f>
        <x:v>0.43342776203966005</x:v>
      </x:c>
      <x:c r="K730" s="312" t="str">
        <x:f>IF(B730="Bilinmeyen Personel","Kontrol","OK")</x:f>
        <x:v>OK</x:v>
      </x:c>
    </x:row>
    <x:row r="731" ht="15.75">
      <x:c r="A731" s="313" t="n">
        <x:f t="shared" si="11">ROW()-ROW($A$2)+1</x:f>
        <x:v>730</x:v>
      </x:c>
      <x:c r="B731" s="313" t="s">
        <x:v>40</x:v>
      </x:c>
      <x:c r="C731" s="313" t="s">
        <x:v>20</x:v>
      </x:c>
      <x:c r="D731" s="314">
        <x:v>2</x:v>
      </x:c>
      <x:c r="E731" s="320">
        <x:v>1350</x:v>
      </x:c>
      <x:c r="F731" s="320">
        <x:v>2700</x:v>
      </x:c>
      <x:c r="G731" s="320">
        <x:v>1100</x:v>
      </x:c>
      <x:c r="H731" s="313" t="s">
        <x:v>64</x:v>
      </x:c>
      <x:c r="I731" s="313" t="s">
        <x:v>21</x:v>
      </x:c>
      <x:c r="J731" s="316" t="n">
        <x:f>IFERROR(G731/F731,0)</x:f>
        <x:v>0.4074074074074074</x:v>
      </x:c>
      <x:c r="K731" s="312" t="str">
        <x:f>IF(B731="Bilinmeyen Personel","Kontrol","OK")</x:f>
        <x:v>OK</x:v>
      </x:c>
    </x:row>
    <x:row r="732" ht="15.75">
      <x:c r="A732" s="313" t="n">
        <x:f t="shared" si="11">ROW()-ROW($A$2)+1</x:f>
        <x:v>731</x:v>
      </x:c>
      <x:c r="B732" s="313" t="s">
        <x:v>32</x:v>
      </x:c>
      <x:c r="C732" s="313" t="s">
        <x:v>14</x:v>
      </x:c>
      <x:c r="D732" s="314">
        <x:v>2</x:v>
      </x:c>
      <x:c r="E732" s="320">
        <x:v>1400</x:v>
      </x:c>
      <x:c r="F732" s="320">
        <x:v>2800</x:v>
      </x:c>
      <x:c r="G732" s="320">
        <x:v>1200</x:v>
      </x:c>
      <x:c r="H732" s="313" t="s">
        <x:v>64</x:v>
      </x:c>
      <x:c r="I732" s="313" t="s">
        <x:v>15</x:v>
      </x:c>
      <x:c r="J732" s="316" t="n">
        <x:f>IFERROR(G732/F732,0)</x:f>
        <x:v>0.42857142857142855</x:v>
      </x:c>
      <x:c r="K732" s="312" t="str">
        <x:f>IF(B732="Bilinmeyen Personel","Kontrol","OK")</x:f>
        <x:v>OK</x:v>
      </x:c>
    </x:row>
    <x:row r="733" ht="15.75">
      <x:c r="A733" s="313" t="n">
        <x:f t="shared" si="11">ROW()-ROW($A$2)+1</x:f>
        <x:v>732</x:v>
      </x:c>
      <x:c r="B733" s="313" t="s">
        <x:v>19</x:v>
      </x:c>
      <x:c r="C733" s="313" t="s">
        <x:v>10</x:v>
      </x:c>
      <x:c r="D733" s="314">
        <x:v>1</x:v>
      </x:c>
      <x:c r="E733" s="320">
        <x:v>6000</x:v>
      </x:c>
      <x:c r="F733" s="320">
        <x:v>6000</x:v>
      </x:c>
      <x:c r="G733" s="320">
        <x:v>2000</x:v>
      </x:c>
      <x:c r="H733" s="313" t="s">
        <x:v>64</x:v>
      </x:c>
      <x:c r="I733" s="313" t="s">
        <x:v>12</x:v>
      </x:c>
      <x:c r="J733" s="316" t="n">
        <x:f>IFERROR(G733/F733,0)</x:f>
        <x:v>0.3333333333333333</x:v>
      </x:c>
      <x:c r="K733" s="312" t="str">
        <x:f>IF(B733="Bilinmeyen Personel","Kontrol","OK")</x:f>
        <x:v>OK</x:v>
      </x:c>
    </x:row>
    <x:row r="734" ht="15.75">
      <x:c r="A734" s="313" t="n">
        <x:f t="shared" si="11">ROW()-ROW($A$2)+1</x:f>
        <x:v>733</x:v>
      </x:c>
      <x:c r="B734" s="313" t="s">
        <x:v>38</x:v>
      </x:c>
      <x:c r="C734" s="313" t="s">
        <x:v>27</x:v>
      </x:c>
      <x:c r="D734" s="314">
        <x:v>2</x:v>
      </x:c>
      <x:c r="E734" s="320">
        <x:v>1100</x:v>
      </x:c>
      <x:c r="F734" s="320">
        <x:v>2200</x:v>
      </x:c>
      <x:c r="G734" s="320">
        <x:v>600</x:v>
      </x:c>
      <x:c r="H734" s="313" t="s">
        <x:v>64</x:v>
      </x:c>
      <x:c r="I734" s="313" t="s">
        <x:v>41</x:v>
      </x:c>
      <x:c r="J734" s="316" t="n">
        <x:f>IFERROR(G734/F734,0)</x:f>
        <x:v>0.2727272727272727</x:v>
      </x:c>
      <x:c r="K734" s="312" t="str">
        <x:f>IF(B734="Bilinmeyen Personel","Kontrol","OK")</x:f>
        <x:v>OK</x:v>
      </x:c>
    </x:row>
    <x:row r="735" ht="15.75">
      <x:c r="A735" s="313" t="n">
        <x:f t="shared" si="11">ROW()-ROW($A$2)+1</x:f>
        <x:v>734</x:v>
      </x:c>
      <x:c r="B735" s="313" t="s">
        <x:v>16</x:v>
      </x:c>
      <x:c r="C735" s="313" t="s">
        <x:v>10</x:v>
      </x:c>
      <x:c r="D735" s="314">
        <x:v>2</x:v>
      </x:c>
      <x:c r="E735" s="320">
        <x:v>6000</x:v>
      </x:c>
      <x:c r="F735" s="320">
        <x:v>12000</x:v>
      </x:c>
      <x:c r="G735" s="320">
        <x:v>4000</x:v>
      </x:c>
      <x:c r="H735" s="313" t="s">
        <x:v>64</x:v>
      </x:c>
      <x:c r="I735" s="313" t="s">
        <x:v>41</x:v>
      </x:c>
      <x:c r="J735" s="316" t="n">
        <x:f>IFERROR(G735/F735,0)</x:f>
        <x:v>0.3333333333333333</x:v>
      </x:c>
      <x:c r="K735" s="312" t="str">
        <x:f>IF(B735="Bilinmeyen Personel","Kontrol","OK")</x:f>
        <x:v>OK</x:v>
      </x:c>
    </x:row>
    <x:row r="736" ht="15.75">
      <x:c r="A736" s="313" t="n">
        <x:f t="shared" si="11">ROW()-ROW($A$2)+1</x:f>
        <x:v>735</x:v>
      </x:c>
      <x:c r="B736" s="313" t="s">
        <x:v>40</x:v>
      </x:c>
      <x:c r="C736" s="313" t="s">
        <x:v>43</x:v>
      </x:c>
      <x:c r="D736" s="314">
        <x:v>1</x:v>
      </x:c>
      <x:c r="E736" s="320">
        <x:v>1490</x:v>
      </x:c>
      <x:c r="F736" s="320">
        <x:v>1490</x:v>
      </x:c>
      <x:c r="G736" s="320">
        <x:v>690</x:v>
      </x:c>
      <x:c r="H736" s="313" t="s">
        <x:v>64</x:v>
      </x:c>
      <x:c r="I736" s="313" t="s">
        <x:v>37</x:v>
      </x:c>
      <x:c r="J736" s="316" t="n">
        <x:f>IFERROR(G736/F736,0)</x:f>
        <x:v>0.46308724832214765</x:v>
      </x:c>
      <x:c r="K736" s="312" t="str">
        <x:f>IF(B736="Bilinmeyen Personel","Kontrol","OK")</x:f>
        <x:v>OK</x:v>
      </x:c>
    </x:row>
    <x:row r="737" ht="15.75">
      <x:c r="A737" s="313" t="n">
        <x:f t="shared" si="11">ROW()-ROW($A$2)+1</x:f>
        <x:v>736</x:v>
      </x:c>
      <x:c r="B737" s="313" t="s">
        <x:v>38</x:v>
      </x:c>
      <x:c r="C737" s="313" t="s">
        <x:v>39</x:v>
      </x:c>
      <x:c r="D737" s="314">
        <x:v>2</x:v>
      </x:c>
      <x:c r="E737" s="320">
        <x:v>10590</x:v>
      </x:c>
      <x:c r="F737" s="320">
        <x:v>21180</x:v>
      </x:c>
      <x:c r="G737" s="320">
        <x:v>9180</x:v>
      </x:c>
      <x:c r="H737" s="313" t="s">
        <x:v>64</x:v>
      </x:c>
      <x:c r="I737" s="313" t="s">
        <x:v>44</x:v>
      </x:c>
      <x:c r="J737" s="316" t="n">
        <x:f>IFERROR(G737/F737,0)</x:f>
        <x:v>0.43342776203966005</x:v>
      </x:c>
      <x:c r="K737" s="312" t="str">
        <x:f>IF(B737="Bilinmeyen Personel","Kontrol","OK")</x:f>
        <x:v>OK</x:v>
      </x:c>
    </x:row>
    <x:row r="738" ht="15.75">
      <x:c r="A738" s="313" t="n">
        <x:f t="shared" si="11">ROW()-ROW($A$2)+1</x:f>
        <x:v>737</x:v>
      </x:c>
      <x:c r="B738" s="313" t="s">
        <x:v>16</x:v>
      </x:c>
      <x:c r="C738" s="313" t="s">
        <x:v>36</x:v>
      </x:c>
      <x:c r="D738" s="314">
        <x:v>3</x:v>
      </x:c>
      <x:c r="E738" s="320">
        <x:v>8000</x:v>
      </x:c>
      <x:c r="F738" s="320">
        <x:v>24000</x:v>
      </x:c>
      <x:c r="G738" s="320">
        <x:v>6000</x:v>
      </x:c>
      <x:c r="H738" s="313" t="s">
        <x:v>64</x:v>
      </x:c>
      <x:c r="I738" s="313" t="s">
        <x:v>31</x:v>
      </x:c>
      <x:c r="J738" s="316" t="n">
        <x:f>IFERROR(G738/F738,0)</x:f>
        <x:v>0.25</x:v>
      </x:c>
      <x:c r="K738" s="312" t="str">
        <x:f>IF(B738="Bilinmeyen Personel","Kontrol","OK")</x:f>
        <x:v>OK</x:v>
      </x:c>
    </x:row>
    <x:row r="739" ht="15.75">
      <x:c r="A739" s="313" t="n">
        <x:f t="shared" si="11">ROW()-ROW($A$2)+1</x:f>
        <x:v>738</x:v>
      </x:c>
      <x:c r="B739" s="313" t="s">
        <x:v>32</x:v>
      </x:c>
      <x:c r="C739" s="313" t="s">
        <x:v>27</x:v>
      </x:c>
      <x:c r="D739" s="314">
        <x:v>1</x:v>
      </x:c>
      <x:c r="E739" s="320">
        <x:v>1100</x:v>
      </x:c>
      <x:c r="F739" s="320">
        <x:v>1100</x:v>
      </x:c>
      <x:c r="G739" s="320">
        <x:v>300</x:v>
      </x:c>
      <x:c r="H739" s="313" t="s">
        <x:v>64</x:v>
      </x:c>
      <x:c r="I739" s="313" t="s">
        <x:v>15</x:v>
      </x:c>
      <x:c r="J739" s="316" t="n">
        <x:f>IFERROR(G739/F739,0)</x:f>
        <x:v>0.2727272727272727</x:v>
      </x:c>
      <x:c r="K739" s="312" t="str">
        <x:f>IF(B739="Bilinmeyen Personel","Kontrol","OK")</x:f>
        <x:v>OK</x:v>
      </x:c>
    </x:row>
    <x:row r="740" ht="15.75">
      <x:c r="A740" s="313" t="n">
        <x:f t="shared" si="11">ROW()-ROW($A$2)+1</x:f>
        <x:v>739</x:v>
      </x:c>
      <x:c r="B740" s="313" t="s">
        <x:v>40</x:v>
      </x:c>
      <x:c r="C740" s="313" t="s">
        <x:v>30</x:v>
      </x:c>
      <x:c r="D740" s="314">
        <x:v>1</x:v>
      </x:c>
      <x:c r="E740" s="320">
        <x:v>1200</x:v>
      </x:c>
      <x:c r="F740" s="320">
        <x:v>1200</x:v>
      </x:c>
      <x:c r="G740" s="320">
        <x:v>400</x:v>
      </x:c>
      <x:c r="H740" s="313" t="s">
        <x:v>64</x:v>
      </x:c>
      <x:c r="I740" s="313" t="s">
        <x:v>25</x:v>
      </x:c>
      <x:c r="J740" s="316" t="n">
        <x:f>IFERROR(G740/F740,0)</x:f>
        <x:v>0.3333333333333333</x:v>
      </x:c>
      <x:c r="K740" s="312" t="str">
        <x:f>IF(B740="Bilinmeyen Personel","Kontrol","OK")</x:f>
        <x:v>OK</x:v>
      </x:c>
    </x:row>
    <x:row r="741" ht="15.75">
      <x:c r="A741" s="313" t="n">
        <x:f t="shared" si="11">ROW()-ROW($A$2)+1</x:f>
        <x:v>740</x:v>
      </x:c>
      <x:c r="B741" s="313" t="s">
        <x:v>23</x:v>
      </x:c>
      <x:c r="C741" s="313" t="s">
        <x:v>45</x:v>
      </x:c>
      <x:c r="D741" s="314">
        <x:v>2</x:v>
      </x:c>
      <x:c r="E741" s="320">
        <x:v>4200</x:v>
      </x:c>
      <x:c r="F741" s="320">
        <x:v>8400</x:v>
      </x:c>
      <x:c r="G741" s="320">
        <x:v>2400</x:v>
      </x:c>
      <x:c r="H741" s="313" t="s">
        <x:v>64</x:v>
      </x:c>
      <x:c r="I741" s="313" t="s">
        <x:v>44</x:v>
      </x:c>
      <x:c r="J741" s="316" t="n">
        <x:f>IFERROR(G741/F741,0)</x:f>
        <x:v>0.2857142857142857</x:v>
      </x:c>
      <x:c r="K741" s="312" t="str">
        <x:f>IF(B741="Bilinmeyen Personel","Kontrol","OK")</x:f>
        <x:v>OK</x:v>
      </x:c>
    </x:row>
    <x:row r="742" ht="15.75">
      <x:c r="A742" s="313" t="n">
        <x:f t="shared" si="11">ROW()-ROW($A$2)+1</x:f>
        <x:v>741</x:v>
      </x:c>
      <x:c r="B742" s="313" t="s">
        <x:v>13</x:v>
      </x:c>
      <x:c r="C742" s="313" t="s">
        <x:v>47</x:v>
      </x:c>
      <x:c r="D742" s="314">
        <x:v>3</x:v>
      </x:c>
      <x:c r="E742" s="320">
        <x:v>5775</x:v>
      </x:c>
      <x:c r="F742" s="320">
        <x:v>17325</x:v>
      </x:c>
      <x:c r="G742" s="320">
        <x:v>5325</x:v>
      </x:c>
      <x:c r="H742" s="313" t="s">
        <x:v>64</x:v>
      </x:c>
      <x:c r="I742" s="313" t="s">
        <x:v>41</x:v>
      </x:c>
      <x:c r="J742" s="316" t="n">
        <x:f>IFERROR(G742/F742,0)</x:f>
        <x:v>0.30735930735930733</x:v>
      </x:c>
      <x:c r="K742" s="312" t="str">
        <x:f>IF(B742="Bilinmeyen Personel","Kontrol","OK")</x:f>
        <x:v>OK</x:v>
      </x:c>
    </x:row>
    <x:row r="743" ht="15.75">
      <x:c r="A743" s="313" t="n">
        <x:f t="shared" si="11">ROW()-ROW($A$2)+1</x:f>
        <x:v>742</x:v>
      </x:c>
      <x:c r="B743" s="313" t="s">
        <x:v>48</x:v>
      </x:c>
      <x:c r="C743" s="313" t="s">
        <x:v>24</x:v>
      </x:c>
      <x:c r="D743" s="314">
        <x:v>3</x:v>
      </x:c>
      <x:c r="E743" s="320">
        <x:v>7600</x:v>
      </x:c>
      <x:c r="F743" s="320">
        <x:v>22800</x:v>
      </x:c>
      <x:c r="G743" s="320">
        <x:v>4800</x:v>
      </x:c>
      <x:c r="H743" s="313" t="s">
        <x:v>64</x:v>
      </x:c>
      <x:c r="I743" s="313" t="s">
        <x:v>54</x:v>
      </x:c>
      <x:c r="J743" s="316" t="n">
        <x:f>IFERROR(G743/F743,0)</x:f>
        <x:v>0.21052631578947367</x:v>
      </x:c>
      <x:c r="K743" s="312" t="str">
        <x:f>IF(B743="Bilinmeyen Personel","Kontrol","OK")</x:f>
        <x:v>OK</x:v>
      </x:c>
    </x:row>
    <x:row r="744" ht="15.75">
      <x:c r="A744" s="313" t="n">
        <x:f t="shared" si="11">ROW()-ROW($A$2)+1</x:f>
        <x:v>743</x:v>
      </x:c>
      <x:c r="B744" s="313" t="s">
        <x:v>13</x:v>
      </x:c>
      <x:c r="C744" s="313" t="s">
        <x:v>26</x:v>
      </x:c>
      <x:c r="D744" s="314">
        <x:v>3</x:v>
      </x:c>
      <x:c r="E744" s="320">
        <x:v>7250</x:v>
      </x:c>
      <x:c r="F744" s="320">
        <x:v>21750</x:v>
      </x:c>
      <x:c r="G744" s="320">
        <x:v>6750</x:v>
      </x:c>
      <x:c r="H744" s="313" t="s">
        <x:v>64</x:v>
      </x:c>
      <x:c r="I744" s="313" t="s">
        <x:v>44</x:v>
      </x:c>
      <x:c r="J744" s="316" t="n">
        <x:f>IFERROR(G744/F744,0)</x:f>
        <x:v>0.3103448275862069</x:v>
      </x:c>
      <x:c r="K744" s="312" t="str">
        <x:f>IF(B744="Bilinmeyen Personel","Kontrol","OK")</x:f>
        <x:v>OK</x:v>
      </x:c>
    </x:row>
    <x:row r="745" ht="15.75">
      <x:c r="A745" s="313" t="n">
        <x:f t="shared" si="11">ROW()-ROW($A$2)+1</x:f>
        <x:v>744</x:v>
      </x:c>
      <x:c r="B745" s="313" t="s">
        <x:v>9</x:v>
      </x:c>
      <x:c r="C745" s="313" t="s">
        <x:v>26</x:v>
      </x:c>
      <x:c r="D745" s="314">
        <x:v>3</x:v>
      </x:c>
      <x:c r="E745" s="320">
        <x:v>7250</x:v>
      </x:c>
      <x:c r="F745" s="320">
        <x:v>21750</x:v>
      </x:c>
      <x:c r="G745" s="320">
        <x:v>6750</x:v>
      </x:c>
      <x:c r="H745" s="313" t="s">
        <x:v>64</x:v>
      </x:c>
      <x:c r="I745" s="313" t="s">
        <x:v>18</x:v>
      </x:c>
      <x:c r="J745" s="316" t="n">
        <x:f>IFERROR(G745/F745,0)</x:f>
        <x:v>0.3103448275862069</x:v>
      </x:c>
      <x:c r="K745" s="312" t="str">
        <x:f>IF(B745="Bilinmeyen Personel","Kontrol","OK")</x:f>
        <x:v>OK</x:v>
      </x:c>
    </x:row>
    <x:row r="746" ht="15.75">
      <x:c r="A746" s="313" t="n">
        <x:f t="shared" si="11">ROW()-ROW($A$2)+1</x:f>
        <x:v>745</x:v>
      </x:c>
      <x:c r="B746" s="313" t="s">
        <x:v>38</x:v>
      </x:c>
      <x:c r="C746" s="313" t="s">
        <x:v>26</x:v>
      </x:c>
      <x:c r="D746" s="314">
        <x:v>3</x:v>
      </x:c>
      <x:c r="E746" s="320">
        <x:v>7250</x:v>
      </x:c>
      <x:c r="F746" s="320">
        <x:v>21750</x:v>
      </x:c>
      <x:c r="G746" s="320">
        <x:v>6750</x:v>
      </x:c>
      <x:c r="H746" s="313" t="s">
        <x:v>64</x:v>
      </x:c>
      <x:c r="I746" s="313" t="s">
        <x:v>12</x:v>
      </x:c>
      <x:c r="J746" s="316" t="n">
        <x:f>IFERROR(G746/F746,0)</x:f>
        <x:v>0.3103448275862069</x:v>
      </x:c>
      <x:c r="K746" s="312" t="str">
        <x:f>IF(B746="Bilinmeyen Personel","Kontrol","OK")</x:f>
        <x:v>OK</x:v>
      </x:c>
    </x:row>
    <x:row r="747" ht="15.75">
      <x:c r="A747" s="313" t="n">
        <x:f t="shared" si="11">ROW()-ROW($A$2)+1</x:f>
        <x:v>746</x:v>
      </x:c>
      <x:c r="B747" s="313" t="s">
        <x:v>29</x:v>
      </x:c>
      <x:c r="C747" s="313" t="s">
        <x:v>20</x:v>
      </x:c>
      <x:c r="D747" s="314">
        <x:v>1</x:v>
      </x:c>
      <x:c r="E747" s="320">
        <x:v>1350</x:v>
      </x:c>
      <x:c r="F747" s="320">
        <x:v>1350</x:v>
      </x:c>
      <x:c r="G747" s="320">
        <x:v>550</x:v>
      </x:c>
      <x:c r="H747" s="313" t="s">
        <x:v>64</x:v>
      </x:c>
      <x:c r="I747" s="313" t="s">
        <x:v>54</x:v>
      </x:c>
      <x:c r="J747" s="316" t="n">
        <x:f>IFERROR(G747/F747,0)</x:f>
        <x:v>0.4074074074074074</x:v>
      </x:c>
      <x:c r="K747" s="312" t="str">
        <x:f>IF(B747="Bilinmeyen Personel","Kontrol","OK")</x:f>
        <x:v>OK</x:v>
      </x:c>
    </x:row>
    <x:row r="748" ht="15.75">
      <x:c r="A748" s="313" t="n">
        <x:f t="shared" si="11">ROW()-ROW($A$2)+1</x:f>
        <x:v>747</x:v>
      </x:c>
      <x:c r="B748" s="313" t="s">
        <x:v>13</x:v>
      </x:c>
      <x:c r="C748" s="313" t="s">
        <x:v>26</x:v>
      </x:c>
      <x:c r="D748" s="314">
        <x:v>2</x:v>
      </x:c>
      <x:c r="E748" s="320">
        <x:v>7250</x:v>
      </x:c>
      <x:c r="F748" s="320">
        <x:v>14500</x:v>
      </x:c>
      <x:c r="G748" s="320">
        <x:v>4500</x:v>
      </x:c>
      <x:c r="H748" s="313" t="s">
        <x:v>64</x:v>
      </x:c>
      <x:c r="I748" s="313" t="s">
        <x:v>37</x:v>
      </x:c>
      <x:c r="J748" s="316" t="n">
        <x:f>IFERROR(G748/F748,0)</x:f>
        <x:v>0.3103448275862069</x:v>
      </x:c>
      <x:c r="K748" s="312" t="str">
        <x:f>IF(B748="Bilinmeyen Personel","Kontrol","OK")</x:f>
        <x:v>OK</x:v>
      </x:c>
    </x:row>
    <x:row r="749" ht="15.75">
      <x:c r="A749" s="313" t="n">
        <x:f t="shared" si="11">ROW()-ROW($A$2)+1</x:f>
        <x:v>748</x:v>
      </x:c>
      <x:c r="B749" s="313" t="s">
        <x:v>32</x:v>
      </x:c>
      <x:c r="C749" s="313" t="s">
        <x:v>24</x:v>
      </x:c>
      <x:c r="D749" s="314">
        <x:v>1</x:v>
      </x:c>
      <x:c r="E749" s="320">
        <x:v>7600</x:v>
      </x:c>
      <x:c r="F749" s="320">
        <x:v>7600</x:v>
      </x:c>
      <x:c r="G749" s="320">
        <x:v>1600</x:v>
      </x:c>
      <x:c r="H749" s="313" t="s">
        <x:v>64</x:v>
      </x:c>
      <x:c r="I749" s="313" t="s">
        <x:v>21</x:v>
      </x:c>
      <x:c r="J749" s="316" t="n">
        <x:f>IFERROR(G749/F749,0)</x:f>
        <x:v>0.21052631578947367</x:v>
      </x:c>
      <x:c r="K749" s="312" t="str">
        <x:f>IF(B749="Bilinmeyen Personel","Kontrol","OK")</x:f>
        <x:v>OK</x:v>
      </x:c>
    </x:row>
    <x:row r="750" ht="15.75">
      <x:c r="A750" s="313" t="n">
        <x:f t="shared" si="11">ROW()-ROW($A$2)+1</x:f>
        <x:v>749</x:v>
      </x:c>
      <x:c r="B750" s="313" t="s">
        <x:v>50</x:v>
      </x:c>
      <x:c r="C750" s="313" t="s">
        <x:v>24</x:v>
      </x:c>
      <x:c r="D750" s="314">
        <x:v>3</x:v>
      </x:c>
      <x:c r="E750" s="320">
        <x:v>7600</x:v>
      </x:c>
      <x:c r="F750" s="320">
        <x:v>22800</x:v>
      </x:c>
      <x:c r="G750" s="320">
        <x:v>4800</x:v>
      </x:c>
      <x:c r="H750" s="313" t="s">
        <x:v>64</x:v>
      </x:c>
      <x:c r="I750" s="313" t="s">
        <x:v>44</x:v>
      </x:c>
      <x:c r="J750" s="316" t="n">
        <x:f>IFERROR(G750/F750,0)</x:f>
        <x:v>0.21052631578947367</x:v>
      </x:c>
      <x:c r="K750" s="312" t="str">
        <x:f>IF(B750="Bilinmeyen Personel","Kontrol","OK")</x:f>
        <x:v>OK</x:v>
      </x:c>
    </x:row>
    <x:row r="751" ht="15.75">
      <x:c r="A751" s="313" t="n">
        <x:f t="shared" si="11">ROW()-ROW($A$2)+1</x:f>
        <x:v>750</x:v>
      </x:c>
      <x:c r="B751" s="313" t="s">
        <x:v>13</x:v>
      </x:c>
      <x:c r="C751" s="313" t="s">
        <x:v>43</x:v>
      </x:c>
      <x:c r="D751" s="314">
        <x:v>3</x:v>
      </x:c>
      <x:c r="E751" s="320">
        <x:v>1490</x:v>
      </x:c>
      <x:c r="F751" s="320">
        <x:v>4470</x:v>
      </x:c>
      <x:c r="G751" s="320">
        <x:v>2070</x:v>
      </x:c>
      <x:c r="H751" s="313" t="s">
        <x:v>64</x:v>
      </x:c>
      <x:c r="I751" s="313" t="s">
        <x:v>44</x:v>
      </x:c>
      <x:c r="J751" s="316" t="n">
        <x:f>IFERROR(G751/F751,0)</x:f>
        <x:v>0.46308724832214765</x:v>
      </x:c>
      <x:c r="K751" s="312" t="str">
        <x:f>IF(B751="Bilinmeyen Personel","Kontrol","OK")</x:f>
        <x:v>OK</x:v>
      </x:c>
    </x:row>
    <x:row r="752" ht="15.75">
      <x:c r="A752" s="313" t="n">
        <x:f t="shared" si="11">ROW()-ROW($A$2)+1</x:f>
        <x:v>751</x:v>
      </x:c>
      <x:c r="B752" s="313" t="s">
        <x:v>29</x:v>
      </x:c>
      <x:c r="C752" s="313" t="s">
        <x:v>51</x:v>
      </x:c>
      <x:c r="D752" s="314">
        <x:v>2</x:v>
      </x:c>
      <x:c r="E752" s="320">
        <x:v>2900</x:v>
      </x:c>
      <x:c r="F752" s="320">
        <x:v>5800</x:v>
      </x:c>
      <x:c r="G752" s="320">
        <x:v>1800</x:v>
      </x:c>
      <x:c r="H752" s="313" t="s">
        <x:v>64</x:v>
      </x:c>
      <x:c r="I752" s="313" t="s">
        <x:v>18</x:v>
      </x:c>
      <x:c r="J752" s="316" t="n">
        <x:f>IFERROR(G752/F752,0)</x:f>
        <x:v>0.3103448275862069</x:v>
      </x:c>
      <x:c r="K752" s="312" t="str">
        <x:f>IF(B752="Bilinmeyen Personel","Kontrol","OK")</x:f>
        <x:v>OK</x:v>
      </x:c>
    </x:row>
    <x:row r="753" ht="15.75">
      <x:c r="A753" s="313" t="n">
        <x:f t="shared" si="11">ROW()-ROW($A$2)+1</x:f>
        <x:v>752</x:v>
      </x:c>
      <x:c r="B753" s="313" t="s">
        <x:v>40</x:v>
      </x:c>
      <x:c r="C753" s="313" t="s">
        <x:v>43</x:v>
      </x:c>
      <x:c r="D753" s="314">
        <x:v>1</x:v>
      </x:c>
      <x:c r="E753" s="320">
        <x:v>1490</x:v>
      </x:c>
      <x:c r="F753" s="320">
        <x:v>1490</x:v>
      </x:c>
      <x:c r="G753" s="320">
        <x:v>690</x:v>
      </x:c>
      <x:c r="H753" s="313" t="s">
        <x:v>64</x:v>
      </x:c>
      <x:c r="I753" s="313" t="s">
        <x:v>46</x:v>
      </x:c>
      <x:c r="J753" s="316" t="n">
        <x:f>IFERROR(G753/F753,0)</x:f>
        <x:v>0.46308724832214765</x:v>
      </x:c>
      <x:c r="K753" s="312" t="str">
        <x:f>IF(B753="Bilinmeyen Personel","Kontrol","OK")</x:f>
        <x:v>OK</x:v>
      </x:c>
    </x:row>
    <x:row r="754" ht="15.75">
      <x:c r="A754" s="313" t="n">
        <x:f t="shared" si="11">ROW()-ROW($A$2)+1</x:f>
        <x:v>753</x:v>
      </x:c>
      <x:c r="B754" s="313" t="s">
        <x:v>40</x:v>
      </x:c>
      <x:c r="C754" s="313" t="s">
        <x:v>34</x:v>
      </x:c>
      <x:c r="D754" s="314">
        <x:v>2</x:v>
      </x:c>
      <x:c r="E754" s="320">
        <x:v>1090</x:v>
      </x:c>
      <x:c r="F754" s="320">
        <x:v>2180</x:v>
      </x:c>
      <x:c r="G754" s="320">
        <x:v>580</x:v>
      </x:c>
      <x:c r="H754" s="313" t="s">
        <x:v>64</x:v>
      </x:c>
      <x:c r="I754" s="313" t="s">
        <x:v>18</x:v>
      </x:c>
      <x:c r="J754" s="316" t="n">
        <x:f>IFERROR(G754/F754,0)</x:f>
        <x:v>0.26605504587155965</x:v>
      </x:c>
      <x:c r="K754" s="312" t="str">
        <x:f>IF(B754="Bilinmeyen Personel","Kontrol","OK")</x:f>
        <x:v>OK</x:v>
      </x:c>
    </x:row>
    <x:row r="755" ht="15.75">
      <x:c r="A755" s="313" t="n">
        <x:f t="shared" si="11">ROW()-ROW($A$2)+1</x:f>
        <x:v>754</x:v>
      </x:c>
      <x:c r="B755" s="313" t="s">
        <x:v>29</x:v>
      </x:c>
      <x:c r="C755" s="313" t="s">
        <x:v>30</x:v>
      </x:c>
      <x:c r="D755" s="314">
        <x:v>2</x:v>
      </x:c>
      <x:c r="E755" s="320">
        <x:v>1200</x:v>
      </x:c>
      <x:c r="F755" s="320">
        <x:v>2400</x:v>
      </x:c>
      <x:c r="G755" s="320">
        <x:v>800</x:v>
      </x:c>
      <x:c r="H755" s="313" t="s">
        <x:v>64</x:v>
      </x:c>
      <x:c r="I755" s="313" t="s">
        <x:v>25</x:v>
      </x:c>
      <x:c r="J755" s="316" t="n">
        <x:f>IFERROR(G755/F755,0)</x:f>
        <x:v>0.3333333333333333</x:v>
      </x:c>
      <x:c r="K755" s="312" t="str">
        <x:f>IF(B755="Bilinmeyen Personel","Kontrol","OK")</x:f>
        <x:v>OK</x:v>
      </x:c>
    </x:row>
    <x:row r="756" ht="15.75">
      <x:c r="A756" s="313" t="n">
        <x:f t="shared" si="11">ROW()-ROW($A$2)+1</x:f>
        <x:v>755</x:v>
      </x:c>
      <x:c r="B756" s="313" t="s">
        <x:v>38</x:v>
      </x:c>
      <x:c r="C756" s="313" t="s">
        <x:v>39</x:v>
      </x:c>
      <x:c r="D756" s="314">
        <x:v>2</x:v>
      </x:c>
      <x:c r="E756" s="320">
        <x:v>10590</x:v>
      </x:c>
      <x:c r="F756" s="320">
        <x:v>21180</x:v>
      </x:c>
      <x:c r="G756" s="320">
        <x:v>9180</x:v>
      </x:c>
      <x:c r="H756" s="313" t="s">
        <x:v>64</x:v>
      </x:c>
      <x:c r="I756" s="313" t="s">
        <x:v>41</x:v>
      </x:c>
      <x:c r="J756" s="316" t="n">
        <x:f>IFERROR(G756/F756,0)</x:f>
        <x:v>0.43342776203966005</x:v>
      </x:c>
      <x:c r="K756" s="312" t="str">
        <x:f>IF(B756="Bilinmeyen Personel","Kontrol","OK")</x:f>
        <x:v>OK</x:v>
      </x:c>
    </x:row>
    <x:row r="757" ht="15.75">
      <x:c r="A757" s="313" t="n">
        <x:f t="shared" si="11">ROW()-ROW($A$2)+1</x:f>
        <x:v>756</x:v>
      </x:c>
      <x:c r="B757" s="313" t="s">
        <x:v>32</x:v>
      </x:c>
      <x:c r="C757" s="313" t="s">
        <x:v>45</x:v>
      </x:c>
      <x:c r="D757" s="314">
        <x:v>3</x:v>
      </x:c>
      <x:c r="E757" s="320">
        <x:v>4200</x:v>
      </x:c>
      <x:c r="F757" s="320">
        <x:v>12600</x:v>
      </x:c>
      <x:c r="G757" s="320">
        <x:v>3600</x:v>
      </x:c>
      <x:c r="H757" s="313" t="s">
        <x:v>64</x:v>
      </x:c>
      <x:c r="I757" s="313" t="s">
        <x:v>21</x:v>
      </x:c>
      <x:c r="J757" s="316" t="n">
        <x:f>IFERROR(G757/F757,0)</x:f>
        <x:v>0.2857142857142857</x:v>
      </x:c>
      <x:c r="K757" s="312" t="str">
        <x:f>IF(B757="Bilinmeyen Personel","Kontrol","OK")</x:f>
        <x:v>OK</x:v>
      </x:c>
    </x:row>
    <x:row r="758" ht="15.75">
      <x:c r="A758" s="313" t="n">
        <x:f t="shared" si="11">ROW()-ROW($A$2)+1</x:f>
        <x:v>757</x:v>
      </x:c>
      <x:c r="B758" s="313" t="s">
        <x:v>19</x:v>
      </x:c>
      <x:c r="C758" s="313" t="s">
        <x:v>45</x:v>
      </x:c>
      <x:c r="D758" s="314">
        <x:v>3</x:v>
      </x:c>
      <x:c r="E758" s="320">
        <x:v>4200</x:v>
      </x:c>
      <x:c r="F758" s="320">
        <x:v>12600</x:v>
      </x:c>
      <x:c r="G758" s="320">
        <x:v>3600</x:v>
      </x:c>
      <x:c r="H758" s="313" t="s">
        <x:v>64</x:v>
      </x:c>
      <x:c r="I758" s="313" t="s">
        <x:v>12</x:v>
      </x:c>
      <x:c r="J758" s="316" t="n">
        <x:f>IFERROR(G758/F758,0)</x:f>
        <x:v>0.2857142857142857</x:v>
      </x:c>
      <x:c r="K758" s="312" t="str">
        <x:f>IF(B758="Bilinmeyen Personel","Kontrol","OK")</x:f>
        <x:v>OK</x:v>
      </x:c>
    </x:row>
    <x:row r="759" ht="15.75">
      <x:c r="A759" s="313" t="n">
        <x:f t="shared" si="11">ROW()-ROW($A$2)+1</x:f>
        <x:v>758</x:v>
      </x:c>
      <x:c r="B759" s="313" t="s">
        <x:v>35</x:v>
      </x:c>
      <x:c r="C759" s="313" t="s">
        <x:v>39</x:v>
      </x:c>
      <x:c r="D759" s="314">
        <x:v>2</x:v>
      </x:c>
      <x:c r="E759" s="320">
        <x:v>10590</x:v>
      </x:c>
      <x:c r="F759" s="320">
        <x:v>21180</x:v>
      </x:c>
      <x:c r="G759" s="320">
        <x:v>9180</x:v>
      </x:c>
      <x:c r="H759" s="313" t="s">
        <x:v>64</x:v>
      </x:c>
      <x:c r="I759" s="313" t="s">
        <x:v>21</x:v>
      </x:c>
      <x:c r="J759" s="316" t="n">
        <x:f>IFERROR(G759/F759,0)</x:f>
        <x:v>0.43342776203966005</x:v>
      </x:c>
      <x:c r="K759" s="312" t="str">
        <x:f>IF(B759="Bilinmeyen Personel","Kontrol","OK")</x:f>
        <x:v>OK</x:v>
      </x:c>
    </x:row>
    <x:row r="760" ht="15.75">
      <x:c r="A760" s="313" t="n">
        <x:f t="shared" si="11">ROW()-ROW($A$2)+1</x:f>
        <x:v>759</x:v>
      </x:c>
      <x:c r="B760" s="313" t="s">
        <x:v>50</x:v>
      </x:c>
      <x:c r="C760" s="313" t="s">
        <x:v>52</x:v>
      </x:c>
      <x:c r="D760" s="314">
        <x:v>1</x:v>
      </x:c>
      <x:c r="E760" s="320">
        <x:v>1250</x:v>
      </x:c>
      <x:c r="F760" s="320">
        <x:v>1250</x:v>
      </x:c>
      <x:c r="G760" s="320">
        <x:v>450</x:v>
      </x:c>
      <x:c r="H760" s="313" t="s">
        <x:v>64</x:v>
      </x:c>
      <x:c r="I760" s="313" t="s">
        <x:v>41</x:v>
      </x:c>
      <x:c r="J760" s="316" t="n">
        <x:f>IFERROR(G760/F760,0)</x:f>
        <x:v>0.36</x:v>
      </x:c>
      <x:c r="K760" s="312" t="str">
        <x:f>IF(B760="Bilinmeyen Personel","Kontrol","OK")</x:f>
        <x:v>OK</x:v>
      </x:c>
    </x:row>
    <x:row r="761" ht="15.75">
      <x:c r="A761" s="313" t="n">
        <x:f t="shared" si="11">ROW()-ROW($A$2)+1</x:f>
        <x:v>760</x:v>
      </x:c>
      <x:c r="B761" s="313" t="s">
        <x:v>9</x:v>
      </x:c>
      <x:c r="C761" s="313" t="s">
        <x:v>43</x:v>
      </x:c>
      <x:c r="D761" s="314">
        <x:v>3</x:v>
      </x:c>
      <x:c r="E761" s="320">
        <x:v>1490</x:v>
      </x:c>
      <x:c r="F761" s="320">
        <x:v>4470</x:v>
      </x:c>
      <x:c r="G761" s="320">
        <x:v>2070</x:v>
      </x:c>
      <x:c r="H761" s="313" t="s">
        <x:v>64</x:v>
      </x:c>
      <x:c r="I761" s="313" t="s">
        <x:v>12</x:v>
      </x:c>
      <x:c r="J761" s="316" t="n">
        <x:f>IFERROR(G761/F761,0)</x:f>
        <x:v>0.46308724832214765</x:v>
      </x:c>
      <x:c r="K761" s="312" t="str">
        <x:f>IF(B761="Bilinmeyen Personel","Kontrol","OK")</x:f>
        <x:v>OK</x:v>
      </x:c>
    </x:row>
    <x:row r="762" ht="15.75">
      <x:c r="A762" s="313" t="n">
        <x:f t="shared" si="11">ROW()-ROW($A$2)+1</x:f>
        <x:v>761</x:v>
      </x:c>
      <x:c r="B762" s="313" t="s">
        <x:v>32</x:v>
      </x:c>
      <x:c r="C762" s="313" t="s">
        <x:v>30</x:v>
      </x:c>
      <x:c r="D762" s="314">
        <x:v>2</x:v>
      </x:c>
      <x:c r="E762" s="320">
        <x:v>1200</x:v>
      </x:c>
      <x:c r="F762" s="320">
        <x:v>2400</x:v>
      </x:c>
      <x:c r="G762" s="320">
        <x:v>800</x:v>
      </x:c>
      <x:c r="H762" s="313" t="s">
        <x:v>64</x:v>
      </x:c>
      <x:c r="I762" s="313" t="s">
        <x:v>42</x:v>
      </x:c>
      <x:c r="J762" s="316" t="n">
        <x:f>IFERROR(G762/F762,0)</x:f>
        <x:v>0.3333333333333333</x:v>
      </x:c>
      <x:c r="K762" s="312" t="str">
        <x:f>IF(B762="Bilinmeyen Personel","Kontrol","OK")</x:f>
        <x:v>OK</x:v>
      </x:c>
    </x:row>
    <x:row r="763" ht="15.75">
      <x:c r="A763" s="313" t="n">
        <x:f t="shared" si="11">ROW()-ROW($A$2)+1</x:f>
        <x:v>762</x:v>
      </x:c>
      <x:c r="B763" s="313" t="s">
        <x:v>16</x:v>
      </x:c>
      <x:c r="C763" s="313" t="s">
        <x:v>22</x:v>
      </x:c>
      <x:c r="D763" s="314">
        <x:v>3</x:v>
      </x:c>
      <x:c r="E763" s="320">
        <x:v>2180</x:v>
      </x:c>
      <x:c r="F763" s="320">
        <x:v>6540</x:v>
      </x:c>
      <x:c r="G763" s="320">
        <x:v>2040</x:v>
      </x:c>
      <x:c r="H763" s="313" t="s">
        <x:v>64</x:v>
      </x:c>
      <x:c r="I763" s="313" t="s">
        <x:v>37</x:v>
      </x:c>
      <x:c r="J763" s="316" t="n">
        <x:f>IFERROR(G763/F763,0)</x:f>
        <x:v>0.3119266055045872</x:v>
      </x:c>
      <x:c r="K763" s="312" t="str">
        <x:f>IF(B763="Bilinmeyen Personel","Kontrol","OK")</x:f>
        <x:v>OK</x:v>
      </x:c>
    </x:row>
    <x:row r="764" ht="15.75">
      <x:c r="A764" s="313" t="n">
        <x:f t="shared" si="11">ROW()-ROW($A$2)+1</x:f>
        <x:v>763</x:v>
      </x:c>
      <x:c r="B764" s="313" t="s">
        <x:v>40</x:v>
      </x:c>
      <x:c r="C764" s="313" t="s">
        <x:v>53</x:v>
      </x:c>
      <x:c r="D764" s="314">
        <x:v>3</x:v>
      </x:c>
      <x:c r="E764" s="320">
        <x:v>1200</x:v>
      </x:c>
      <x:c r="F764" s="320">
        <x:v>3600</x:v>
      </x:c>
      <x:c r="G764" s="320">
        <x:v>1200</x:v>
      </x:c>
      <x:c r="H764" s="313" t="s">
        <x:v>64</x:v>
      </x:c>
      <x:c r="I764" s="313" t="s">
        <x:v>41</x:v>
      </x:c>
      <x:c r="J764" s="316" t="n">
        <x:f>IFERROR(G764/F764,0)</x:f>
        <x:v>0.3333333333333333</x:v>
      </x:c>
      <x:c r="K764" s="312" t="str">
        <x:f>IF(B764="Bilinmeyen Personel","Kontrol","OK")</x:f>
        <x:v>OK</x:v>
      </x:c>
    </x:row>
    <x:row r="765" ht="15.75">
      <x:c r="A765" s="313" t="n">
        <x:f t="shared" si="11">ROW()-ROW($A$2)+1</x:f>
        <x:v>764</x:v>
      </x:c>
      <x:c r="B765" s="313" t="s">
        <x:v>9</x:v>
      </x:c>
      <x:c r="C765" s="313" t="s">
        <x:v>33</x:v>
      </x:c>
      <x:c r="D765" s="314">
        <x:v>1</x:v>
      </x:c>
      <x:c r="E765" s="320">
        <x:v>1800</x:v>
      </x:c>
      <x:c r="F765" s="320">
        <x:v>1800</x:v>
      </x:c>
      <x:c r="G765" s="320">
        <x:v>1000</x:v>
      </x:c>
      <x:c r="H765" s="313" t="s">
        <x:v>64</x:v>
      </x:c>
      <x:c r="I765" s="313" t="s">
        <x:v>28</x:v>
      </x:c>
      <x:c r="J765" s="316" t="n">
        <x:f>IFERROR(G765/F765,0)</x:f>
        <x:v>0.5555555555555556</x:v>
      </x:c>
      <x:c r="K765" s="312" t="str">
        <x:f>IF(B765="Bilinmeyen Personel","Kontrol","OK")</x:f>
        <x:v>OK</x:v>
      </x:c>
    </x:row>
    <x:row r="766" ht="15.75">
      <x:c r="A766" s="313" t="n">
        <x:f t="shared" si="11">ROW()-ROW($A$2)+1</x:f>
        <x:v>765</x:v>
      </x:c>
      <x:c r="B766" s="313" t="s">
        <x:v>16</x:v>
      </x:c>
      <x:c r="C766" s="313" t="s">
        <x:v>24</x:v>
      </x:c>
      <x:c r="D766" s="314">
        <x:v>1</x:v>
      </x:c>
      <x:c r="E766" s="320">
        <x:v>7600</x:v>
      </x:c>
      <x:c r="F766" s="320">
        <x:v>7600</x:v>
      </x:c>
      <x:c r="G766" s="320">
        <x:v>1600</x:v>
      </x:c>
      <x:c r="H766" s="313" t="s">
        <x:v>64</x:v>
      </x:c>
      <x:c r="I766" s="313" t="s">
        <x:v>21</x:v>
      </x:c>
      <x:c r="J766" s="316" t="n">
        <x:f>IFERROR(G766/F766,0)</x:f>
        <x:v>0.21052631578947367</x:v>
      </x:c>
      <x:c r="K766" s="312" t="str">
        <x:f>IF(B766="Bilinmeyen Personel","Kontrol","OK")</x:f>
        <x:v>OK</x:v>
      </x:c>
    </x:row>
    <x:row r="767" ht="15.75">
      <x:c r="A767" s="313" t="n">
        <x:f t="shared" si="11">ROW()-ROW($A$2)+1</x:f>
        <x:v>766</x:v>
      </x:c>
      <x:c r="B767" s="313" t="s">
        <x:v>35</x:v>
      </x:c>
      <x:c r="C767" s="313" t="s">
        <x:v>55</x:v>
      </x:c>
      <x:c r="D767" s="314">
        <x:v>1</x:v>
      </x:c>
      <x:c r="E767" s="320">
        <x:v>7530</x:v>
      </x:c>
      <x:c r="F767" s="320">
        <x:v>7530</x:v>
      </x:c>
      <x:c r="G767" s="320">
        <x:v>1530</x:v>
      </x:c>
      <x:c r="H767" s="313" t="s">
        <x:v>64</x:v>
      </x:c>
      <x:c r="I767" s="313" t="s">
        <x:v>21</x:v>
      </x:c>
      <x:c r="J767" s="316" t="n">
        <x:f>IFERROR(G767/F767,0)</x:f>
        <x:v>0.20318725099601595</x:v>
      </x:c>
      <x:c r="K767" s="312" t="str">
        <x:f>IF(B767="Bilinmeyen Personel","Kontrol","OK")</x:f>
        <x:v>OK</x:v>
      </x:c>
    </x:row>
    <x:row r="768" ht="15.75">
      <x:c r="A768" s="313" t="n">
        <x:f t="shared" si="11">ROW()-ROW($A$2)+1</x:f>
        <x:v>767</x:v>
      </x:c>
      <x:c r="B768" s="313" t="s">
        <x:v>50</x:v>
      </x:c>
      <x:c r="C768" s="313" t="s">
        <x:v>43</x:v>
      </x:c>
      <x:c r="D768" s="314">
        <x:v>2</x:v>
      </x:c>
      <x:c r="E768" s="320">
        <x:v>1490</x:v>
      </x:c>
      <x:c r="F768" s="320">
        <x:v>2980</x:v>
      </x:c>
      <x:c r="G768" s="320">
        <x:v>1380</x:v>
      </x:c>
      <x:c r="H768" s="313" t="s">
        <x:v>64</x:v>
      </x:c>
      <x:c r="I768" s="313" t="s">
        <x:v>12</x:v>
      </x:c>
      <x:c r="J768" s="316" t="n">
        <x:f>IFERROR(G768/F768,0)</x:f>
        <x:v>0.46308724832214765</x:v>
      </x:c>
      <x:c r="K768" s="312" t="str">
        <x:f>IF(B768="Bilinmeyen Personel","Kontrol","OK")</x:f>
        <x:v>OK</x:v>
      </x:c>
    </x:row>
    <x:row r="769" ht="15.75">
      <x:c r="A769" s="313" t="n">
        <x:f t="shared" si="11">ROW()-ROW($A$2)+1</x:f>
        <x:v>768</x:v>
      </x:c>
      <x:c r="B769" s="313" t="s">
        <x:v>9</x:v>
      </x:c>
      <x:c r="C769" s="313" t="s">
        <x:v>56</x:v>
      </x:c>
      <x:c r="D769" s="314">
        <x:v>1</x:v>
      </x:c>
      <x:c r="E769" s="320">
        <x:v>5300</x:v>
      </x:c>
      <x:c r="F769" s="320">
        <x:v>5300</x:v>
      </x:c>
      <x:c r="G769" s="320">
        <x:v>1300</x:v>
      </x:c>
      <x:c r="H769" s="313" t="s">
        <x:v>64</x:v>
      </x:c>
      <x:c r="I769" s="313" t="s">
        <x:v>21</x:v>
      </x:c>
      <x:c r="J769" s="316" t="n">
        <x:f>IFERROR(G769/F769,0)</x:f>
        <x:v>0.24528301886792453</x:v>
      </x:c>
      <x:c r="K769" s="312" t="str">
        <x:f>IF(B769="Bilinmeyen Personel","Kontrol","OK")</x:f>
        <x:v>OK</x:v>
      </x:c>
    </x:row>
    <x:row r="770" ht="15.75">
      <x:c r="A770" s="313" t="n">
        <x:f t="shared" si="11">ROW()-ROW($A$2)+1</x:f>
        <x:v>769</x:v>
      </x:c>
      <x:c r="B770" s="313" t="s">
        <x:v>23</x:v>
      </x:c>
      <x:c r="C770" s="313" t="s">
        <x:v>30</x:v>
      </x:c>
      <x:c r="D770" s="314">
        <x:v>2</x:v>
      </x:c>
      <x:c r="E770" s="320">
        <x:v>1200</x:v>
      </x:c>
      <x:c r="F770" s="320">
        <x:v>2400</x:v>
      </x:c>
      <x:c r="G770" s="320">
        <x:v>800</x:v>
      </x:c>
      <x:c r="H770" s="313" t="s">
        <x:v>64</x:v>
      </x:c>
      <x:c r="I770" s="313" t="s">
        <x:v>28</x:v>
      </x:c>
      <x:c r="J770" s="316" t="n">
        <x:f>IFERROR(G770/F770,0)</x:f>
        <x:v>0.3333333333333333</x:v>
      </x:c>
      <x:c r="K770" s="312" t="str">
        <x:f>IF(B770="Bilinmeyen Personel","Kontrol","OK")</x:f>
        <x:v>OK</x:v>
      </x:c>
    </x:row>
    <x:row r="771" ht="15.75">
      <x:c r="A771" s="313" t="n">
        <x:f t="shared" ref="A771:A834" si="12">ROW()-ROW($A$2)+1</x:f>
        <x:v>770</x:v>
      </x:c>
      <x:c r="B771" s="313" t="s">
        <x:v>40</x:v>
      </x:c>
      <x:c r="C771" s="313" t="s">
        <x:v>34</x:v>
      </x:c>
      <x:c r="D771" s="314">
        <x:v>1</x:v>
      </x:c>
      <x:c r="E771" s="320">
        <x:v>1090</x:v>
      </x:c>
      <x:c r="F771" s="320">
        <x:v>1090</x:v>
      </x:c>
      <x:c r="G771" s="320">
        <x:v>290</x:v>
      </x:c>
      <x:c r="H771" s="313" t="s">
        <x:v>64</x:v>
      </x:c>
      <x:c r="I771" s="313" t="s">
        <x:v>28</x:v>
      </x:c>
      <x:c r="J771" s="316" t="n">
        <x:f>IFERROR(G771/F771,0)</x:f>
        <x:v>0.26605504587155965</x:v>
      </x:c>
      <x:c r="K771" s="312" t="str">
        <x:f>IF(B771="Bilinmeyen Personel","Kontrol","OK")</x:f>
        <x:v>OK</x:v>
      </x:c>
    </x:row>
    <x:row r="772" ht="15.75">
      <x:c r="A772" s="313" t="n">
        <x:f t="shared" si="12">ROW()-ROW($A$2)+1</x:f>
        <x:v>771</x:v>
      </x:c>
      <x:c r="B772" s="313" t="s">
        <x:v>23</x:v>
      </x:c>
      <x:c r="C772" s="313" t="s">
        <x:v>26</x:v>
      </x:c>
      <x:c r="D772" s="314">
        <x:v>1</x:v>
      </x:c>
      <x:c r="E772" s="320">
        <x:v>7250</x:v>
      </x:c>
      <x:c r="F772" s="320">
        <x:v>7250</x:v>
      </x:c>
      <x:c r="G772" s="320">
        <x:v>2250</x:v>
      </x:c>
      <x:c r="H772" s="313" t="s">
        <x:v>64</x:v>
      </x:c>
      <x:c r="I772" s="313" t="s">
        <x:v>12</x:v>
      </x:c>
      <x:c r="J772" s="316" t="n">
        <x:f>IFERROR(G772/F772,0)</x:f>
        <x:v>0.3103448275862069</x:v>
      </x:c>
      <x:c r="K772" s="312" t="str">
        <x:f>IF(B772="Bilinmeyen Personel","Kontrol","OK")</x:f>
        <x:v>OK</x:v>
      </x:c>
    </x:row>
    <x:row r="773" ht="15.75">
      <x:c r="A773" s="313" t="n">
        <x:f t="shared" si="12">ROW()-ROW($A$2)+1</x:f>
        <x:v>772</x:v>
      </x:c>
      <x:c r="B773" s="313" t="s">
        <x:v>48</x:v>
      </x:c>
      <x:c r="C773" s="313" t="s">
        <x:v>14</x:v>
      </x:c>
      <x:c r="D773" s="314">
        <x:v>3</x:v>
      </x:c>
      <x:c r="E773" s="320">
        <x:v>1400</x:v>
      </x:c>
      <x:c r="F773" s="320">
        <x:v>4200</x:v>
      </x:c>
      <x:c r="G773" s="320">
        <x:v>1800</x:v>
      </x:c>
      <x:c r="H773" s="313" t="s">
        <x:v>64</x:v>
      </x:c>
      <x:c r="I773" s="313" t="s">
        <x:v>28</x:v>
      </x:c>
      <x:c r="J773" s="316" t="n">
        <x:f>IFERROR(G773/F773,0)</x:f>
        <x:v>0.42857142857142855</x:v>
      </x:c>
      <x:c r="K773" s="312" t="str">
        <x:f>IF(B773="Bilinmeyen Personel","Kontrol","OK")</x:f>
        <x:v>OK</x:v>
      </x:c>
    </x:row>
    <x:row r="774" ht="15.75">
      <x:c r="A774" s="313" t="n">
        <x:f t="shared" si="12">ROW()-ROW($A$2)+1</x:f>
        <x:v>773</x:v>
      </x:c>
      <x:c r="B774" s="313" t="s">
        <x:v>16</x:v>
      </x:c>
      <x:c r="C774" s="313" t="s">
        <x:v>57</x:v>
      </x:c>
      <x:c r="D774" s="314">
        <x:v>1</x:v>
      </x:c>
      <x:c r="E774" s="320">
        <x:v>1500</x:v>
      </x:c>
      <x:c r="F774" s="320">
        <x:v>1500</x:v>
      </x:c>
      <x:c r="G774" s="320">
        <x:v>700</x:v>
      </x:c>
      <x:c r="H774" s="313" t="s">
        <x:v>64</x:v>
      </x:c>
      <x:c r="I774" s="313" t="s">
        <x:v>46</x:v>
      </x:c>
      <x:c r="J774" s="316" t="n">
        <x:f>IFERROR(G774/F774,0)</x:f>
        <x:v>0.4666666666666667</x:v>
      </x:c>
      <x:c r="K774" s="312" t="str">
        <x:f>IF(B774="Bilinmeyen Personel","Kontrol","OK")</x:f>
        <x:v>OK</x:v>
      </x:c>
    </x:row>
    <x:row r="775" ht="15.75">
      <x:c r="A775" s="313" t="n">
        <x:f t="shared" si="12">ROW()-ROW($A$2)+1</x:f>
        <x:v>774</x:v>
      </x:c>
      <x:c r="B775" s="313" t="s">
        <x:v>35</x:v>
      </x:c>
      <x:c r="C775" s="313" t="s">
        <x:v>20</x:v>
      </x:c>
      <x:c r="D775" s="314">
        <x:v>1</x:v>
      </x:c>
      <x:c r="E775" s="320">
        <x:v>1350</x:v>
      </x:c>
      <x:c r="F775" s="320">
        <x:v>1350</x:v>
      </x:c>
      <x:c r="G775" s="320">
        <x:v>550</x:v>
      </x:c>
      <x:c r="H775" s="313" t="s">
        <x:v>64</x:v>
      </x:c>
      <x:c r="I775" s="313" t="s">
        <x:v>37</x:v>
      </x:c>
      <x:c r="J775" s="316" t="n">
        <x:f>IFERROR(G775/F775,0)</x:f>
        <x:v>0.4074074074074074</x:v>
      </x:c>
      <x:c r="K775" s="312" t="str">
        <x:f>IF(B775="Bilinmeyen Personel","Kontrol","OK")</x:f>
        <x:v>OK</x:v>
      </x:c>
    </x:row>
    <x:row r="776" ht="15.75">
      <x:c r="A776" s="313" t="n">
        <x:f t="shared" si="12">ROW()-ROW($A$2)+1</x:f>
        <x:v>775</x:v>
      </x:c>
      <x:c r="B776" s="313" t="s">
        <x:v>35</x:v>
      </x:c>
      <x:c r="C776" s="313" t="s">
        <x:v>30</x:v>
      </x:c>
      <x:c r="D776" s="314">
        <x:v>3</x:v>
      </x:c>
      <x:c r="E776" s="320">
        <x:v>1200</x:v>
      </x:c>
      <x:c r="F776" s="320">
        <x:v>3600</x:v>
      </x:c>
      <x:c r="G776" s="320">
        <x:v>1200</x:v>
      </x:c>
      <x:c r="H776" s="313" t="s">
        <x:v>64</x:v>
      </x:c>
      <x:c r="I776" s="313" t="s">
        <x:v>54</x:v>
      </x:c>
      <x:c r="J776" s="316" t="n">
        <x:f>IFERROR(G776/F776,0)</x:f>
        <x:v>0.3333333333333333</x:v>
      </x:c>
      <x:c r="K776" s="312" t="str">
        <x:f>IF(B776="Bilinmeyen Personel","Kontrol","OK")</x:f>
        <x:v>OK</x:v>
      </x:c>
    </x:row>
    <x:row r="777" ht="15.75">
      <x:c r="A777" s="313" t="n">
        <x:f t="shared" si="12">ROW()-ROW($A$2)+1</x:f>
        <x:v>776</x:v>
      </x:c>
      <x:c r="B777" s="313" t="s">
        <x:v>13</x:v>
      </x:c>
      <x:c r="C777" s="313" t="s">
        <x:v>55</x:v>
      </x:c>
      <x:c r="D777" s="314">
        <x:v>3</x:v>
      </x:c>
      <x:c r="E777" s="320">
        <x:v>7530</x:v>
      </x:c>
      <x:c r="F777" s="320">
        <x:v>22590</x:v>
      </x:c>
      <x:c r="G777" s="320">
        <x:v>4590</x:v>
      </x:c>
      <x:c r="H777" s="313" t="s">
        <x:v>64</x:v>
      </x:c>
      <x:c r="I777" s="313" t="s">
        <x:v>44</x:v>
      </x:c>
      <x:c r="J777" s="316" t="n">
        <x:f>IFERROR(G777/F777,0)</x:f>
        <x:v>0.20318725099601595</x:v>
      </x:c>
      <x:c r="K777" s="312" t="str">
        <x:f>IF(B777="Bilinmeyen Personel","Kontrol","OK")</x:f>
        <x:v>OK</x:v>
      </x:c>
    </x:row>
    <x:row r="778" ht="15.75">
      <x:c r="A778" s="313" t="n">
        <x:f t="shared" si="12">ROW()-ROW($A$2)+1</x:f>
        <x:v>777</x:v>
      </x:c>
      <x:c r="B778" s="313" t="s">
        <x:v>48</x:v>
      </x:c>
      <x:c r="C778" s="313" t="s">
        <x:v>30</x:v>
      </x:c>
      <x:c r="D778" s="314">
        <x:v>1</x:v>
      </x:c>
      <x:c r="E778" s="320">
        <x:v>1200</x:v>
      </x:c>
      <x:c r="F778" s="320">
        <x:v>1200</x:v>
      </x:c>
      <x:c r="G778" s="320">
        <x:v>400</x:v>
      </x:c>
      <x:c r="H778" s="313" t="s">
        <x:v>64</x:v>
      </x:c>
      <x:c r="I778" s="313" t="s">
        <x:v>18</x:v>
      </x:c>
      <x:c r="J778" s="316" t="n">
        <x:f>IFERROR(G778/F778,0)</x:f>
        <x:v>0.3333333333333333</x:v>
      </x:c>
      <x:c r="K778" s="312" t="str">
        <x:f>IF(B778="Bilinmeyen Personel","Kontrol","OK")</x:f>
        <x:v>OK</x:v>
      </x:c>
    </x:row>
    <x:row r="779" ht="15.75">
      <x:c r="A779" s="313" t="n">
        <x:f t="shared" si="12">ROW()-ROW($A$2)+1</x:f>
        <x:v>778</x:v>
      </x:c>
      <x:c r="B779" s="313" t="s">
        <x:v>38</x:v>
      </x:c>
      <x:c r="C779" s="313" t="s">
        <x:v>33</x:v>
      </x:c>
      <x:c r="D779" s="314">
        <x:v>3</x:v>
      </x:c>
      <x:c r="E779" s="320">
        <x:v>1800</x:v>
      </x:c>
      <x:c r="F779" s="320">
        <x:v>5400</x:v>
      </x:c>
      <x:c r="G779" s="320">
        <x:v>3000</x:v>
      </x:c>
      <x:c r="H779" s="313" t="s">
        <x:v>64</x:v>
      </x:c>
      <x:c r="I779" s="313" t="s">
        <x:v>15</x:v>
      </x:c>
      <x:c r="J779" s="316" t="n">
        <x:f>IFERROR(G779/F779,0)</x:f>
        <x:v>0.5555555555555556</x:v>
      </x:c>
      <x:c r="K779" s="312" t="str">
        <x:f>IF(B779="Bilinmeyen Personel","Kontrol","OK")</x:f>
        <x:v>OK</x:v>
      </x:c>
    </x:row>
    <x:row r="780" ht="15.75">
      <x:c r="A780" s="313" t="n">
        <x:f t="shared" si="12">ROW()-ROW($A$2)+1</x:f>
        <x:v>779</x:v>
      </x:c>
      <x:c r="B780" s="313" t="s">
        <x:v>9</x:v>
      </x:c>
      <x:c r="C780" s="313" t="s">
        <x:v>26</x:v>
      </x:c>
      <x:c r="D780" s="314">
        <x:v>1</x:v>
      </x:c>
      <x:c r="E780" s="320">
        <x:v>7250</x:v>
      </x:c>
      <x:c r="F780" s="320">
        <x:v>7250</x:v>
      </x:c>
      <x:c r="G780" s="320">
        <x:v>2250</x:v>
      </x:c>
      <x:c r="H780" s="313" t="s">
        <x:v>64</x:v>
      </x:c>
      <x:c r="I780" s="313" t="s">
        <x:v>37</x:v>
      </x:c>
      <x:c r="J780" s="316" t="n">
        <x:f>IFERROR(G780/F780,0)</x:f>
        <x:v>0.3103448275862069</x:v>
      </x:c>
      <x:c r="K780" s="312" t="str">
        <x:f>IF(B780="Bilinmeyen Personel","Kontrol","OK")</x:f>
        <x:v>OK</x:v>
      </x:c>
    </x:row>
    <x:row r="781" ht="15.75">
      <x:c r="A781" s="313" t="n">
        <x:f t="shared" si="12">ROW()-ROW($A$2)+1</x:f>
        <x:v>780</x:v>
      </x:c>
      <x:c r="B781" s="313" t="s">
        <x:v>40</x:v>
      </x:c>
      <x:c r="C781" s="313" t="s">
        <x:v>43</x:v>
      </x:c>
      <x:c r="D781" s="314">
        <x:v>3</x:v>
      </x:c>
      <x:c r="E781" s="320">
        <x:v>1490</x:v>
      </x:c>
      <x:c r="F781" s="320">
        <x:v>4470</x:v>
      </x:c>
      <x:c r="G781" s="320">
        <x:v>2070</x:v>
      </x:c>
      <x:c r="H781" s="313" t="s">
        <x:v>64</x:v>
      </x:c>
      <x:c r="I781" s="313" t="s">
        <x:v>28</x:v>
      </x:c>
      <x:c r="J781" s="316" t="n">
        <x:f>IFERROR(G781/F781,0)</x:f>
        <x:v>0.46308724832214765</x:v>
      </x:c>
      <x:c r="K781" s="312" t="str">
        <x:f>IF(B781="Bilinmeyen Personel","Kontrol","OK")</x:f>
        <x:v>OK</x:v>
      </x:c>
    </x:row>
    <x:row r="782" ht="15.75">
      <x:c r="A782" s="313" t="n">
        <x:f t="shared" si="12">ROW()-ROW($A$2)+1</x:f>
        <x:v>781</x:v>
      </x:c>
      <x:c r="B782" s="313" t="s">
        <x:v>40</x:v>
      </x:c>
      <x:c r="C782" s="313" t="s">
        <x:v>53</x:v>
      </x:c>
      <x:c r="D782" s="314">
        <x:v>1</x:v>
      </x:c>
      <x:c r="E782" s="320">
        <x:v>1200</x:v>
      </x:c>
      <x:c r="F782" s="320">
        <x:v>1200</x:v>
      </x:c>
      <x:c r="G782" s="320">
        <x:v>400</x:v>
      </x:c>
      <x:c r="H782" s="313" t="s">
        <x:v>64</x:v>
      </x:c>
      <x:c r="I782" s="313" t="s">
        <x:v>54</x:v>
      </x:c>
      <x:c r="J782" s="316" t="n">
        <x:f>IFERROR(G782/F782,0)</x:f>
        <x:v>0.3333333333333333</x:v>
      </x:c>
      <x:c r="K782" s="312" t="str">
        <x:f>IF(B782="Bilinmeyen Personel","Kontrol","OK")</x:f>
        <x:v>OK</x:v>
      </x:c>
    </x:row>
    <x:row r="783" ht="15.75">
      <x:c r="A783" s="313" t="n">
        <x:f t="shared" si="12">ROW()-ROW($A$2)+1</x:f>
        <x:v>782</x:v>
      </x:c>
      <x:c r="B783" s="313" t="s">
        <x:v>13</x:v>
      </x:c>
      <x:c r="C783" s="313" t="s">
        <x:v>36</x:v>
      </x:c>
      <x:c r="D783" s="314">
        <x:v>1</x:v>
      </x:c>
      <x:c r="E783" s="320">
        <x:v>8000</x:v>
      </x:c>
      <x:c r="F783" s="320">
        <x:v>8000</x:v>
      </x:c>
      <x:c r="G783" s="320">
        <x:v>2000</x:v>
      </x:c>
      <x:c r="H783" s="313" t="s">
        <x:v>64</x:v>
      </x:c>
      <x:c r="I783" s="313" t="s">
        <x:v>25</x:v>
      </x:c>
      <x:c r="J783" s="316" t="n">
        <x:f>IFERROR(G783/F783,0)</x:f>
        <x:v>0.25</x:v>
      </x:c>
      <x:c r="K783" s="312" t="str">
        <x:f>IF(B783="Bilinmeyen Personel","Kontrol","OK")</x:f>
        <x:v>OK</x:v>
      </x:c>
    </x:row>
    <x:row r="784" ht="15.75">
      <x:c r="A784" s="313" t="n">
        <x:f t="shared" si="12">ROW()-ROW($A$2)+1</x:f>
        <x:v>783</x:v>
      </x:c>
      <x:c r="B784" s="313" t="s">
        <x:v>32</x:v>
      </x:c>
      <x:c r="C784" s="313" t="s">
        <x:v>14</x:v>
      </x:c>
      <x:c r="D784" s="314">
        <x:v>1</x:v>
      </x:c>
      <x:c r="E784" s="320">
        <x:v>1400</x:v>
      </x:c>
      <x:c r="F784" s="320">
        <x:v>1400</x:v>
      </x:c>
      <x:c r="G784" s="320">
        <x:v>600</x:v>
      </x:c>
      <x:c r="H784" s="313" t="s">
        <x:v>64</x:v>
      </x:c>
      <x:c r="I784" s="313" t="s">
        <x:v>12</x:v>
      </x:c>
      <x:c r="J784" s="316" t="n">
        <x:f>IFERROR(G784/F784,0)</x:f>
        <x:v>0.42857142857142855</x:v>
      </x:c>
      <x:c r="K784" s="312" t="str">
        <x:f>IF(B784="Bilinmeyen Personel","Kontrol","OK")</x:f>
        <x:v>OK</x:v>
      </x:c>
    </x:row>
    <x:row r="785" ht="15.75">
      <x:c r="A785" s="313" t="n">
        <x:f t="shared" si="12">ROW()-ROW($A$2)+1</x:f>
        <x:v>784</x:v>
      </x:c>
      <x:c r="B785" s="313" t="s">
        <x:v>29</x:v>
      </x:c>
      <x:c r="C785" s="313" t="s">
        <x:v>20</x:v>
      </x:c>
      <x:c r="D785" s="314">
        <x:v>1</x:v>
      </x:c>
      <x:c r="E785" s="320">
        <x:v>1350</x:v>
      </x:c>
      <x:c r="F785" s="320">
        <x:v>1350</x:v>
      </x:c>
      <x:c r="G785" s="320">
        <x:v>550</x:v>
      </x:c>
      <x:c r="H785" s="313" t="s">
        <x:v>64</x:v>
      </x:c>
      <x:c r="I785" s="313" t="s">
        <x:v>25</x:v>
      </x:c>
      <x:c r="J785" s="316" t="n">
        <x:f>IFERROR(G785/F785,0)</x:f>
        <x:v>0.4074074074074074</x:v>
      </x:c>
      <x:c r="K785" s="312" t="str">
        <x:f>IF(B785="Bilinmeyen Personel","Kontrol","OK")</x:f>
        <x:v>OK</x:v>
      </x:c>
    </x:row>
    <x:row r="786" ht="15.75">
      <x:c r="A786" s="313" t="n">
        <x:f t="shared" si="12">ROW()-ROW($A$2)+1</x:f>
        <x:v>785</x:v>
      </x:c>
      <x:c r="B786" s="313" t="s">
        <x:v>38</x:v>
      </x:c>
      <x:c r="C786" s="313" t="s">
        <x:v>53</x:v>
      </x:c>
      <x:c r="D786" s="314">
        <x:v>1</x:v>
      </x:c>
      <x:c r="E786" s="320">
        <x:v>1200</x:v>
      </x:c>
      <x:c r="F786" s="320">
        <x:v>1200</x:v>
      </x:c>
      <x:c r="G786" s="320">
        <x:v>400</x:v>
      </x:c>
      <x:c r="H786" s="313" t="s">
        <x:v>64</x:v>
      </x:c>
      <x:c r="I786" s="313" t="s">
        <x:v>44</x:v>
      </x:c>
      <x:c r="J786" s="316" t="n">
        <x:f>IFERROR(G786/F786,0)</x:f>
        <x:v>0.3333333333333333</x:v>
      </x:c>
      <x:c r="K786" s="312" t="str">
        <x:f>IF(B786="Bilinmeyen Personel","Kontrol","OK")</x:f>
        <x:v>OK</x:v>
      </x:c>
    </x:row>
    <x:row r="787" ht="15.75">
      <x:c r="A787" s="313" t="n">
        <x:f t="shared" si="12">ROW()-ROW($A$2)+1</x:f>
        <x:v>786</x:v>
      </x:c>
      <x:c r="B787" s="313" t="s">
        <x:v>32</x:v>
      </x:c>
      <x:c r="C787" s="313" t="s">
        <x:v>56</x:v>
      </x:c>
      <x:c r="D787" s="314">
        <x:v>1</x:v>
      </x:c>
      <x:c r="E787" s="320">
        <x:v>5300</x:v>
      </x:c>
      <x:c r="F787" s="320">
        <x:v>5300</x:v>
      </x:c>
      <x:c r="G787" s="320">
        <x:v>1300</x:v>
      </x:c>
      <x:c r="H787" s="313" t="s">
        <x:v>64</x:v>
      </x:c>
      <x:c r="I787" s="313" t="s">
        <x:v>44</x:v>
      </x:c>
      <x:c r="J787" s="316" t="n">
        <x:f>IFERROR(G787/F787,0)</x:f>
        <x:v>0.24528301886792453</x:v>
      </x:c>
      <x:c r="K787" s="312" t="str">
        <x:f>IF(B787="Bilinmeyen Personel","Kontrol","OK")</x:f>
        <x:v>OK</x:v>
      </x:c>
    </x:row>
    <x:row r="788" ht="15.75">
      <x:c r="A788" s="313" t="n">
        <x:f t="shared" si="12">ROW()-ROW($A$2)+1</x:f>
        <x:v>787</x:v>
      </x:c>
      <x:c r="B788" s="313" t="s">
        <x:v>40</x:v>
      </x:c>
      <x:c r="C788" s="313" t="s">
        <x:v>39</x:v>
      </x:c>
      <x:c r="D788" s="314">
        <x:v>3</x:v>
      </x:c>
      <x:c r="E788" s="320">
        <x:v>10590</x:v>
      </x:c>
      <x:c r="F788" s="320">
        <x:v>31770</x:v>
      </x:c>
      <x:c r="G788" s="320">
        <x:v>13770</x:v>
      </x:c>
      <x:c r="H788" s="313" t="s">
        <x:v>64</x:v>
      </x:c>
      <x:c r="I788" s="313" t="s">
        <x:v>12</x:v>
      </x:c>
      <x:c r="J788" s="316" t="n">
        <x:f>IFERROR(G788/F788,0)</x:f>
        <x:v>0.43342776203966005</x:v>
      </x:c>
      <x:c r="K788" s="312" t="str">
        <x:f>IF(B788="Bilinmeyen Personel","Kontrol","OK")</x:f>
        <x:v>OK</x:v>
      </x:c>
    </x:row>
    <x:row r="789" ht="15.75">
      <x:c r="A789" s="313" t="n">
        <x:f t="shared" si="12">ROW()-ROW($A$2)+1</x:f>
        <x:v>788</x:v>
      </x:c>
      <x:c r="B789" s="313" t="s">
        <x:v>23</x:v>
      </x:c>
      <x:c r="C789" s="313" t="s">
        <x:v>52</x:v>
      </x:c>
      <x:c r="D789" s="314">
        <x:v>1</x:v>
      </x:c>
      <x:c r="E789" s="320">
        <x:v>1250</x:v>
      </x:c>
      <x:c r="F789" s="320">
        <x:v>1250</x:v>
      </x:c>
      <x:c r="G789" s="320">
        <x:v>450</x:v>
      </x:c>
      <x:c r="H789" s="313" t="s">
        <x:v>64</x:v>
      </x:c>
      <x:c r="I789" s="313" t="s">
        <x:v>28</x:v>
      </x:c>
      <x:c r="J789" s="316" t="n">
        <x:f>IFERROR(G789/F789,0)</x:f>
        <x:v>0.36</x:v>
      </x:c>
      <x:c r="K789" s="312" t="str">
        <x:f>IF(B789="Bilinmeyen Personel","Kontrol","OK")</x:f>
        <x:v>OK</x:v>
      </x:c>
    </x:row>
    <x:row r="790" ht="15.75">
      <x:c r="A790" s="313" t="n">
        <x:f t="shared" si="12">ROW()-ROW($A$2)+1</x:f>
        <x:v>789</x:v>
      </x:c>
      <x:c r="B790" s="313" t="s">
        <x:v>50</x:v>
      </x:c>
      <x:c r="C790" s="313" t="s">
        <x:v>53</x:v>
      </x:c>
      <x:c r="D790" s="314">
        <x:v>1</x:v>
      </x:c>
      <x:c r="E790" s="320">
        <x:v>1200</x:v>
      </x:c>
      <x:c r="F790" s="320">
        <x:v>1200</x:v>
      </x:c>
      <x:c r="G790" s="320">
        <x:v>400</x:v>
      </x:c>
      <x:c r="H790" s="313" t="s">
        <x:v>64</x:v>
      </x:c>
      <x:c r="I790" s="313" t="s">
        <x:v>18</x:v>
      </x:c>
      <x:c r="J790" s="316" t="n">
        <x:f>IFERROR(G790/F790,0)</x:f>
        <x:v>0.3333333333333333</x:v>
      </x:c>
      <x:c r="K790" s="312" t="str">
        <x:f>IF(B790="Bilinmeyen Personel","Kontrol","OK")</x:f>
        <x:v>OK</x:v>
      </x:c>
    </x:row>
    <x:row r="791" ht="15.75">
      <x:c r="A791" s="313" t="n">
        <x:f t="shared" si="12">ROW()-ROW($A$2)+1</x:f>
        <x:v>790</x:v>
      </x:c>
      <x:c r="B791" s="313" t="s">
        <x:v>23</x:v>
      </x:c>
      <x:c r="C791" s="313" t="s">
        <x:v>14</x:v>
      </x:c>
      <x:c r="D791" s="314">
        <x:v>3</x:v>
      </x:c>
      <x:c r="E791" s="320">
        <x:v>1400</x:v>
      </x:c>
      <x:c r="F791" s="320">
        <x:v>4200</x:v>
      </x:c>
      <x:c r="G791" s="320">
        <x:v>1800</x:v>
      </x:c>
      <x:c r="H791" s="313" t="s">
        <x:v>64</x:v>
      </x:c>
      <x:c r="I791" s="313" t="s">
        <x:v>15</x:v>
      </x:c>
      <x:c r="J791" s="316" t="n">
        <x:f>IFERROR(G791/F791,0)</x:f>
        <x:v>0.42857142857142855</x:v>
      </x:c>
      <x:c r="K791" s="312" t="str">
        <x:f>IF(B791="Bilinmeyen Personel","Kontrol","OK")</x:f>
        <x:v>OK</x:v>
      </x:c>
    </x:row>
    <x:row r="792" ht="15.75">
      <x:c r="A792" s="313" t="n">
        <x:f t="shared" si="12">ROW()-ROW($A$2)+1</x:f>
        <x:v>791</x:v>
      </x:c>
      <x:c r="B792" s="313" t="s">
        <x:v>50</x:v>
      </x:c>
      <x:c r="C792" s="313" t="s">
        <x:v>55</x:v>
      </x:c>
      <x:c r="D792" s="314">
        <x:v>2</x:v>
      </x:c>
      <x:c r="E792" s="320">
        <x:v>7530</x:v>
      </x:c>
      <x:c r="F792" s="320">
        <x:v>15060</x:v>
      </x:c>
      <x:c r="G792" s="320">
        <x:v>3060</x:v>
      </x:c>
      <x:c r="H792" s="313" t="s">
        <x:v>64</x:v>
      </x:c>
      <x:c r="I792" s="313" t="s">
        <x:v>25</x:v>
      </x:c>
      <x:c r="J792" s="316" t="n">
        <x:f>IFERROR(G792/F792,0)</x:f>
        <x:v>0.20318725099601595</x:v>
      </x:c>
      <x:c r="K792" s="312" t="str">
        <x:f>IF(B792="Bilinmeyen Personel","Kontrol","OK")</x:f>
        <x:v>OK</x:v>
      </x:c>
    </x:row>
    <x:row r="793" ht="15.75">
      <x:c r="A793" s="313" t="n">
        <x:f t="shared" si="12">ROW()-ROW($A$2)+1</x:f>
        <x:v>792</x:v>
      </x:c>
      <x:c r="B793" s="313" t="s">
        <x:v>32</x:v>
      </x:c>
      <x:c r="C793" s="313" t="s">
        <x:v>24</x:v>
      </x:c>
      <x:c r="D793" s="314">
        <x:v>1</x:v>
      </x:c>
      <x:c r="E793" s="320">
        <x:v>7600</x:v>
      </x:c>
      <x:c r="F793" s="320">
        <x:v>7600</x:v>
      </x:c>
      <x:c r="G793" s="320">
        <x:v>1600</x:v>
      </x:c>
      <x:c r="H793" s="313" t="s">
        <x:v>64</x:v>
      </x:c>
      <x:c r="I793" s="313" t="s">
        <x:v>31</x:v>
      </x:c>
      <x:c r="J793" s="316" t="n">
        <x:f>IFERROR(G793/F793,0)</x:f>
        <x:v>0.21052631578947367</x:v>
      </x:c>
      <x:c r="K793" s="312" t="str">
        <x:f>IF(B793="Bilinmeyen Personel","Kontrol","OK")</x:f>
        <x:v>OK</x:v>
      </x:c>
    </x:row>
    <x:row r="794" ht="15.75">
      <x:c r="A794" s="313" t="n">
        <x:f t="shared" si="12">ROW()-ROW($A$2)+1</x:f>
        <x:v>793</x:v>
      </x:c>
      <x:c r="B794" s="313" t="s">
        <x:v>50</x:v>
      </x:c>
      <x:c r="C794" s="313" t="s">
        <x:v>57</x:v>
      </x:c>
      <x:c r="D794" s="314">
        <x:v>1</x:v>
      </x:c>
      <x:c r="E794" s="320">
        <x:v>1500</x:v>
      </x:c>
      <x:c r="F794" s="320">
        <x:v>1500</x:v>
      </x:c>
      <x:c r="G794" s="320">
        <x:v>700</x:v>
      </x:c>
      <x:c r="H794" s="313" t="s">
        <x:v>64</x:v>
      </x:c>
      <x:c r="I794" s="313" t="s">
        <x:v>42</x:v>
      </x:c>
      <x:c r="J794" s="316" t="n">
        <x:f>IFERROR(G794/F794,0)</x:f>
        <x:v>0.4666666666666667</x:v>
      </x:c>
      <x:c r="K794" s="312" t="str">
        <x:f>IF(B794="Bilinmeyen Personel","Kontrol","OK")</x:f>
        <x:v>OK</x:v>
      </x:c>
    </x:row>
    <x:row r="795" ht="15.75">
      <x:c r="A795" s="313" t="n">
        <x:f t="shared" si="12">ROW()-ROW($A$2)+1</x:f>
        <x:v>794</x:v>
      </x:c>
      <x:c r="B795" s="313" t="s">
        <x:v>40</x:v>
      </x:c>
      <x:c r="C795" s="313" t="s">
        <x:v>22</x:v>
      </x:c>
      <x:c r="D795" s="314">
        <x:v>2</x:v>
      </x:c>
      <x:c r="E795" s="320">
        <x:v>2180</x:v>
      </x:c>
      <x:c r="F795" s="320">
        <x:v>4360</x:v>
      </x:c>
      <x:c r="G795" s="320">
        <x:v>1360</x:v>
      </x:c>
      <x:c r="H795" s="313" t="s">
        <x:v>64</x:v>
      </x:c>
      <x:c r="I795" s="313" t="s">
        <x:v>41</x:v>
      </x:c>
      <x:c r="J795" s="316" t="n">
        <x:f>IFERROR(G795/F795,0)</x:f>
        <x:v>0.3119266055045872</x:v>
      </x:c>
      <x:c r="K795" s="312" t="str">
        <x:f>IF(B795="Bilinmeyen Personel","Kontrol","OK")</x:f>
        <x:v>OK</x:v>
      </x:c>
    </x:row>
    <x:row r="796" ht="15.75">
      <x:c r="A796" s="313" t="n">
        <x:f t="shared" si="12">ROW()-ROW($A$2)+1</x:f>
        <x:v>795</x:v>
      </x:c>
      <x:c r="B796" s="313" t="s">
        <x:v>19</x:v>
      </x:c>
      <x:c r="C796" s="313" t="s">
        <x:v>22</x:v>
      </x:c>
      <x:c r="D796" s="314">
        <x:v>1</x:v>
      </x:c>
      <x:c r="E796" s="320">
        <x:v>2180</x:v>
      </x:c>
      <x:c r="F796" s="320">
        <x:v>2180</x:v>
      </x:c>
      <x:c r="G796" s="320">
        <x:v>680</x:v>
      </x:c>
      <x:c r="H796" s="313" t="s">
        <x:v>64</x:v>
      </x:c>
      <x:c r="I796" s="313" t="s">
        <x:v>15</x:v>
      </x:c>
      <x:c r="J796" s="316" t="n">
        <x:f>IFERROR(G796/F796,0)</x:f>
        <x:v>0.3119266055045872</x:v>
      </x:c>
      <x:c r="K796" s="312" t="str">
        <x:f>IF(B796="Bilinmeyen Personel","Kontrol","OK")</x:f>
        <x:v>OK</x:v>
      </x:c>
    </x:row>
    <x:row r="797" ht="15.75">
      <x:c r="A797" s="313" t="n">
        <x:f t="shared" si="12">ROW()-ROW($A$2)+1</x:f>
        <x:v>796</x:v>
      </x:c>
      <x:c r="B797" s="313" t="s">
        <x:v>40</x:v>
      </x:c>
      <x:c r="C797" s="313" t="s">
        <x:v>47</x:v>
      </x:c>
      <x:c r="D797" s="314">
        <x:v>1</x:v>
      </x:c>
      <x:c r="E797" s="320">
        <x:v>5775</x:v>
      </x:c>
      <x:c r="F797" s="320">
        <x:v>5775</x:v>
      </x:c>
      <x:c r="G797" s="320">
        <x:v>1775</x:v>
      </x:c>
      <x:c r="H797" s="313" t="s">
        <x:v>64</x:v>
      </x:c>
      <x:c r="I797" s="313" t="s">
        <x:v>21</x:v>
      </x:c>
      <x:c r="J797" s="316" t="n">
        <x:f>IFERROR(G797/F797,0)</x:f>
        <x:v>0.30735930735930733</x:v>
      </x:c>
      <x:c r="K797" s="312" t="str">
        <x:f>IF(B797="Bilinmeyen Personel","Kontrol","OK")</x:f>
        <x:v>OK</x:v>
      </x:c>
    </x:row>
    <x:row r="798" ht="15.75">
      <x:c r="A798" s="313" t="n">
        <x:f t="shared" si="12">ROW()-ROW($A$2)+1</x:f>
        <x:v>797</x:v>
      </x:c>
      <x:c r="B798" s="313" t="s">
        <x:v>40</x:v>
      </x:c>
      <x:c r="C798" s="313" t="s">
        <x:v>27</x:v>
      </x:c>
      <x:c r="D798" s="314">
        <x:v>3</x:v>
      </x:c>
      <x:c r="E798" s="320">
        <x:v>1100</x:v>
      </x:c>
      <x:c r="F798" s="320">
        <x:v>3300</x:v>
      </x:c>
      <x:c r="G798" s="320">
        <x:v>900</x:v>
      </x:c>
      <x:c r="H798" s="313" t="s">
        <x:v>64</x:v>
      </x:c>
      <x:c r="I798" s="313" t="s">
        <x:v>31</x:v>
      </x:c>
      <x:c r="J798" s="316" t="n">
        <x:f>IFERROR(G798/F798,0)</x:f>
        <x:v>0.2727272727272727</x:v>
      </x:c>
      <x:c r="K798" s="312" t="str">
        <x:f>IF(B798="Bilinmeyen Personel","Kontrol","OK")</x:f>
        <x:v>OK</x:v>
      </x:c>
    </x:row>
    <x:row r="799" ht="15.75">
      <x:c r="A799" s="313" t="n">
        <x:f t="shared" si="12">ROW()-ROW($A$2)+1</x:f>
        <x:v>798</x:v>
      </x:c>
      <x:c r="B799" s="313" t="s">
        <x:v>48</x:v>
      </x:c>
      <x:c r="C799" s="313" t="s">
        <x:v>47</x:v>
      </x:c>
      <x:c r="D799" s="314">
        <x:v>1</x:v>
      </x:c>
      <x:c r="E799" s="320">
        <x:v>5775</x:v>
      </x:c>
      <x:c r="F799" s="320">
        <x:v>5775</x:v>
      </x:c>
      <x:c r="G799" s="320">
        <x:v>1775</x:v>
      </x:c>
      <x:c r="H799" s="313" t="s">
        <x:v>64</x:v>
      </x:c>
      <x:c r="I799" s="313" t="s">
        <x:v>12</x:v>
      </x:c>
      <x:c r="J799" s="316" t="n">
        <x:f>IFERROR(G799/F799,0)</x:f>
        <x:v>0.30735930735930733</x:v>
      </x:c>
      <x:c r="K799" s="312" t="str">
        <x:f>IF(B799="Bilinmeyen Personel","Kontrol","OK")</x:f>
        <x:v>OK</x:v>
      </x:c>
    </x:row>
    <x:row r="800" ht="15.75">
      <x:c r="A800" s="313" t="n">
        <x:f t="shared" si="12">ROW()-ROW($A$2)+1</x:f>
        <x:v>799</x:v>
      </x:c>
      <x:c r="B800" s="313" t="s">
        <x:v>35</x:v>
      </x:c>
      <x:c r="C800" s="313" t="s">
        <x:v>20</x:v>
      </x:c>
      <x:c r="D800" s="314">
        <x:v>1</x:v>
      </x:c>
      <x:c r="E800" s="320">
        <x:v>1350</x:v>
      </x:c>
      <x:c r="F800" s="320">
        <x:v>1350</x:v>
      </x:c>
      <x:c r="G800" s="320">
        <x:v>550</x:v>
      </x:c>
      <x:c r="H800" s="313" t="s">
        <x:v>64</x:v>
      </x:c>
      <x:c r="I800" s="313" t="s">
        <x:v>25</x:v>
      </x:c>
      <x:c r="J800" s="316" t="n">
        <x:f>IFERROR(G800/F800,0)</x:f>
        <x:v>0.4074074074074074</x:v>
      </x:c>
      <x:c r="K800" s="312" t="str">
        <x:f>IF(B800="Bilinmeyen Personel","Kontrol","OK")</x:f>
        <x:v>OK</x:v>
      </x:c>
    </x:row>
    <x:row r="801" ht="15.75">
      <x:c r="A801" s="313" t="n">
        <x:f t="shared" si="12">ROW()-ROW($A$2)+1</x:f>
        <x:v>800</x:v>
      </x:c>
      <x:c r="B801" s="313" t="s">
        <x:v>9</x:v>
      </x:c>
      <x:c r="C801" s="313" t="s">
        <x:v>24</x:v>
      </x:c>
      <x:c r="D801" s="314">
        <x:v>3</x:v>
      </x:c>
      <x:c r="E801" s="320">
        <x:v>7600</x:v>
      </x:c>
      <x:c r="F801" s="320">
        <x:v>22800</x:v>
      </x:c>
      <x:c r="G801" s="320">
        <x:v>4800</x:v>
      </x:c>
      <x:c r="H801" s="313" t="s">
        <x:v>64</x:v>
      </x:c>
      <x:c r="I801" s="313" t="s">
        <x:v>31</x:v>
      </x:c>
      <x:c r="J801" s="316" t="n">
        <x:f>IFERROR(G801/F801,0)</x:f>
        <x:v>0.21052631578947367</x:v>
      </x:c>
      <x:c r="K801" s="312" t="str">
        <x:f>IF(B801="Bilinmeyen Personel","Kontrol","OK")</x:f>
        <x:v>OK</x:v>
      </x:c>
    </x:row>
    <x:row r="802" ht="15.75">
      <x:c r="A802" s="313" t="n">
        <x:f t="shared" si="12">ROW()-ROW($A$2)+1</x:f>
        <x:v>801</x:v>
      </x:c>
      <x:c r="B802" s="313" t="s">
        <x:v>16</x:v>
      </x:c>
      <x:c r="C802" s="313" t="s">
        <x:v>26</x:v>
      </x:c>
      <x:c r="D802" s="314">
        <x:v>3</x:v>
      </x:c>
      <x:c r="E802" s="320">
        <x:v>7250</x:v>
      </x:c>
      <x:c r="F802" s="320">
        <x:v>21750</x:v>
      </x:c>
      <x:c r="G802" s="320">
        <x:v>6750</x:v>
      </x:c>
      <x:c r="H802" s="313" t="s">
        <x:v>64</x:v>
      </x:c>
      <x:c r="I802" s="313" t="s">
        <x:v>28</x:v>
      </x:c>
      <x:c r="J802" s="316" t="n">
        <x:f>IFERROR(G802/F802,0)</x:f>
        <x:v>0.3103448275862069</x:v>
      </x:c>
      <x:c r="K802" s="312" t="str">
        <x:f>IF(B802="Bilinmeyen Personel","Kontrol","OK")</x:f>
        <x:v>OK</x:v>
      </x:c>
    </x:row>
    <x:row r="803" ht="15.75">
      <x:c r="A803" s="313" t="n">
        <x:f t="shared" si="12">ROW()-ROW($A$2)+1</x:f>
        <x:v>802</x:v>
      </x:c>
      <x:c r="B803" s="313" t="s">
        <x:v>50</x:v>
      </x:c>
      <x:c r="C803" s="313" t="s">
        <x:v>43</x:v>
      </x:c>
      <x:c r="D803" s="314">
        <x:v>2</x:v>
      </x:c>
      <x:c r="E803" s="320">
        <x:v>1490</x:v>
      </x:c>
      <x:c r="F803" s="320">
        <x:v>2980</x:v>
      </x:c>
      <x:c r="G803" s="320">
        <x:v>1380</x:v>
      </x:c>
      <x:c r="H803" s="313" t="s">
        <x:v>64</x:v>
      </x:c>
      <x:c r="I803" s="313" t="s">
        <x:v>18</x:v>
      </x:c>
      <x:c r="J803" s="316" t="n">
        <x:f>IFERROR(G803/F803,0)</x:f>
        <x:v>0.46308724832214765</x:v>
      </x:c>
      <x:c r="K803" s="312" t="str">
        <x:f>IF(B803="Bilinmeyen Personel","Kontrol","OK")</x:f>
        <x:v>OK</x:v>
      </x:c>
    </x:row>
    <x:row r="804" ht="15.75">
      <x:c r="A804" s="313" t="n">
        <x:f t="shared" si="12">ROW()-ROW($A$2)+1</x:f>
        <x:v>803</x:v>
      </x:c>
      <x:c r="B804" s="313" t="s">
        <x:v>19</x:v>
      </x:c>
      <x:c r="C804" s="313" t="s">
        <x:v>43</x:v>
      </x:c>
      <x:c r="D804" s="314">
        <x:v>2</x:v>
      </x:c>
      <x:c r="E804" s="320">
        <x:v>1490</x:v>
      </x:c>
      <x:c r="F804" s="320">
        <x:v>2980</x:v>
      </x:c>
      <x:c r="G804" s="320">
        <x:v>1380</x:v>
      </x:c>
      <x:c r="H804" s="313" t="s">
        <x:v>64</x:v>
      </x:c>
      <x:c r="I804" s="313" t="s">
        <x:v>12</x:v>
      </x:c>
      <x:c r="J804" s="316" t="n">
        <x:f>IFERROR(G804/F804,0)</x:f>
        <x:v>0.46308724832214765</x:v>
      </x:c>
      <x:c r="K804" s="312" t="str">
        <x:f>IF(B804="Bilinmeyen Personel","Kontrol","OK")</x:f>
        <x:v>OK</x:v>
      </x:c>
    </x:row>
    <x:row r="805" ht="15.75">
      <x:c r="A805" s="313" t="n">
        <x:f t="shared" si="12">ROW()-ROW($A$2)+1</x:f>
        <x:v>804</x:v>
      </x:c>
      <x:c r="B805" s="313" t="s">
        <x:v>38</x:v>
      </x:c>
      <x:c r="C805" s="313" t="s">
        <x:v>34</x:v>
      </x:c>
      <x:c r="D805" s="314">
        <x:v>2</x:v>
      </x:c>
      <x:c r="E805" s="320">
        <x:v>1090</x:v>
      </x:c>
      <x:c r="F805" s="320">
        <x:v>2180</x:v>
      </x:c>
      <x:c r="G805" s="320">
        <x:v>580</x:v>
      </x:c>
      <x:c r="H805" s="313" t="s">
        <x:v>64</x:v>
      </x:c>
      <x:c r="I805" s="313" t="s">
        <x:v>18</x:v>
      </x:c>
      <x:c r="J805" s="316" t="n">
        <x:f>IFERROR(G805/F805,0)</x:f>
        <x:v>0.26605504587155965</x:v>
      </x:c>
      <x:c r="K805" s="312" t="str">
        <x:f>IF(B805="Bilinmeyen Personel","Kontrol","OK")</x:f>
        <x:v>OK</x:v>
      </x:c>
    </x:row>
    <x:row r="806" ht="15.75">
      <x:c r="A806" s="313" t="n">
        <x:f t="shared" si="12">ROW()-ROW($A$2)+1</x:f>
        <x:v>805</x:v>
      </x:c>
      <x:c r="B806" s="313" t="s">
        <x:v>38</x:v>
      </x:c>
      <x:c r="C806" s="313" t="s">
        <x:v>30</x:v>
      </x:c>
      <x:c r="D806" s="314">
        <x:v>3</x:v>
      </x:c>
      <x:c r="E806" s="320">
        <x:v>1200</x:v>
      </x:c>
      <x:c r="F806" s="320">
        <x:v>3600</x:v>
      </x:c>
      <x:c r="G806" s="320">
        <x:v>1200</x:v>
      </x:c>
      <x:c r="H806" s="313" t="s">
        <x:v>64</x:v>
      </x:c>
      <x:c r="I806" s="313" t="s">
        <x:v>28</x:v>
      </x:c>
      <x:c r="J806" s="316" t="n">
        <x:f>IFERROR(G806/F806,0)</x:f>
        <x:v>0.3333333333333333</x:v>
      </x:c>
      <x:c r="K806" s="312" t="str">
        <x:f>IF(B806="Bilinmeyen Personel","Kontrol","OK")</x:f>
        <x:v>OK</x:v>
      </x:c>
    </x:row>
    <x:row r="807" ht="15.75">
      <x:c r="A807" s="313" t="n">
        <x:f t="shared" si="12">ROW()-ROW($A$2)+1</x:f>
        <x:v>806</x:v>
      </x:c>
      <x:c r="B807" s="313" t="s">
        <x:v>50</x:v>
      </x:c>
      <x:c r="C807" s="313" t="s">
        <x:v>34</x:v>
      </x:c>
      <x:c r="D807" s="314">
        <x:v>2</x:v>
      </x:c>
      <x:c r="E807" s="320">
        <x:v>1090</x:v>
      </x:c>
      <x:c r="F807" s="320">
        <x:v>2180</x:v>
      </x:c>
      <x:c r="G807" s="320">
        <x:v>580</x:v>
      </x:c>
      <x:c r="H807" s="313" t="s">
        <x:v>64</x:v>
      </x:c>
      <x:c r="I807" s="313" t="s">
        <x:v>15</x:v>
      </x:c>
      <x:c r="J807" s="316" t="n">
        <x:f>IFERROR(G807/F807,0)</x:f>
        <x:v>0.26605504587155965</x:v>
      </x:c>
      <x:c r="K807" s="312" t="str">
        <x:f>IF(B807="Bilinmeyen Personel","Kontrol","OK")</x:f>
        <x:v>OK</x:v>
      </x:c>
    </x:row>
    <x:row r="808" ht="15.75">
      <x:c r="A808" s="313" t="n">
        <x:f t="shared" si="12">ROW()-ROW($A$2)+1</x:f>
        <x:v>807</x:v>
      </x:c>
      <x:c r="B808" s="313" t="s">
        <x:v>50</x:v>
      </x:c>
      <x:c r="C808" s="313" t="s">
        <x:v>22</x:v>
      </x:c>
      <x:c r="D808" s="314">
        <x:v>3</x:v>
      </x:c>
      <x:c r="E808" s="320">
        <x:v>2180</x:v>
      </x:c>
      <x:c r="F808" s="320">
        <x:v>6540</x:v>
      </x:c>
      <x:c r="G808" s="320">
        <x:v>2040</x:v>
      </x:c>
      <x:c r="H808" s="313" t="s">
        <x:v>64</x:v>
      </x:c>
      <x:c r="I808" s="313" t="s">
        <x:v>21</x:v>
      </x:c>
      <x:c r="J808" s="316" t="n">
        <x:f>IFERROR(G808/F808,0)</x:f>
        <x:v>0.3119266055045872</x:v>
      </x:c>
      <x:c r="K808" s="312" t="str">
        <x:f>IF(B808="Bilinmeyen Personel","Kontrol","OK")</x:f>
        <x:v>OK</x:v>
      </x:c>
    </x:row>
    <x:row r="809" ht="15.75">
      <x:c r="A809" s="313" t="n">
        <x:f t="shared" si="12">ROW()-ROW($A$2)+1</x:f>
        <x:v>808</x:v>
      </x:c>
      <x:c r="B809" s="313" t="s">
        <x:v>16</x:v>
      </x:c>
      <x:c r="C809" s="313" t="s">
        <x:v>56</x:v>
      </x:c>
      <x:c r="D809" s="314">
        <x:v>3</x:v>
      </x:c>
      <x:c r="E809" s="320">
        <x:v>5300</x:v>
      </x:c>
      <x:c r="F809" s="320">
        <x:v>15900</x:v>
      </x:c>
      <x:c r="G809" s="320">
        <x:v>3900</x:v>
      </x:c>
      <x:c r="H809" s="313" t="s">
        <x:v>64</x:v>
      </x:c>
      <x:c r="I809" s="313" t="s">
        <x:v>44</x:v>
      </x:c>
      <x:c r="J809" s="316" t="n">
        <x:f>IFERROR(G809/F809,0)</x:f>
        <x:v>0.24528301886792453</x:v>
      </x:c>
      <x:c r="K809" s="312" t="str">
        <x:f>IF(B809="Bilinmeyen Personel","Kontrol","OK")</x:f>
        <x:v>OK</x:v>
      </x:c>
    </x:row>
    <x:row r="810" ht="15.75">
      <x:c r="A810" s="313" t="n">
        <x:f t="shared" si="12">ROW()-ROW($A$2)+1</x:f>
        <x:v>809</x:v>
      </x:c>
      <x:c r="B810" s="313" t="s">
        <x:v>50</x:v>
      </x:c>
      <x:c r="C810" s="313" t="s">
        <x:v>56</x:v>
      </x:c>
      <x:c r="D810" s="314">
        <x:v>2</x:v>
      </x:c>
      <x:c r="E810" s="320">
        <x:v>5300</x:v>
      </x:c>
      <x:c r="F810" s="320">
        <x:v>10600</x:v>
      </x:c>
      <x:c r="G810" s="320">
        <x:v>2600</x:v>
      </x:c>
      <x:c r="H810" s="313" t="s">
        <x:v>64</x:v>
      </x:c>
      <x:c r="I810" s="313" t="s">
        <x:v>12</x:v>
      </x:c>
      <x:c r="J810" s="316" t="n">
        <x:f>IFERROR(G810/F810,0)</x:f>
        <x:v>0.24528301886792453</x:v>
      </x:c>
      <x:c r="K810" s="312" t="str">
        <x:f>IF(B810="Bilinmeyen Personel","Kontrol","OK")</x:f>
        <x:v>OK</x:v>
      </x:c>
    </x:row>
    <x:row r="811" ht="15.75">
      <x:c r="A811" s="313" t="n">
        <x:f t="shared" si="12">ROW()-ROW($A$2)+1</x:f>
        <x:v>810</x:v>
      </x:c>
      <x:c r="B811" s="313" t="s">
        <x:v>29</x:v>
      </x:c>
      <x:c r="C811" s="313" t="s">
        <x:v>26</x:v>
      </x:c>
      <x:c r="D811" s="314">
        <x:v>2</x:v>
      </x:c>
      <x:c r="E811" s="320">
        <x:v>7250</x:v>
      </x:c>
      <x:c r="F811" s="320">
        <x:v>14500</x:v>
      </x:c>
      <x:c r="G811" s="320">
        <x:v>4500</x:v>
      </x:c>
      <x:c r="H811" s="313" t="s">
        <x:v>64</x:v>
      </x:c>
      <x:c r="I811" s="313" t="s">
        <x:v>21</x:v>
      </x:c>
      <x:c r="J811" s="316" t="n">
        <x:f>IFERROR(G811/F811,0)</x:f>
        <x:v>0.3103448275862069</x:v>
      </x:c>
      <x:c r="K811" s="312" t="str">
        <x:f>IF(B811="Bilinmeyen Personel","Kontrol","OK")</x:f>
        <x:v>OK</x:v>
      </x:c>
    </x:row>
    <x:row r="812" ht="15.75">
      <x:c r="A812" s="313" t="n">
        <x:f t="shared" si="12">ROW()-ROW($A$2)+1</x:f>
        <x:v>811</x:v>
      </x:c>
      <x:c r="B812" s="313" t="s">
        <x:v>29</x:v>
      </x:c>
      <x:c r="C812" s="313" t="s">
        <x:v>53</x:v>
      </x:c>
      <x:c r="D812" s="314">
        <x:v>3</x:v>
      </x:c>
      <x:c r="E812" s="320">
        <x:v>1200</x:v>
      </x:c>
      <x:c r="F812" s="320">
        <x:v>3600</x:v>
      </x:c>
      <x:c r="G812" s="320">
        <x:v>1200</x:v>
      </x:c>
      <x:c r="H812" s="313" t="s">
        <x:v>64</x:v>
      </x:c>
      <x:c r="I812" s="313" t="s">
        <x:v>15</x:v>
      </x:c>
      <x:c r="J812" s="316" t="n">
        <x:f>IFERROR(G812/F812,0)</x:f>
        <x:v>0.3333333333333333</x:v>
      </x:c>
      <x:c r="K812" s="312" t="str">
        <x:f>IF(B812="Bilinmeyen Personel","Kontrol","OK")</x:f>
        <x:v>OK</x:v>
      </x:c>
    </x:row>
    <x:row r="813" ht="15.75">
      <x:c r="A813" s="313" t="n">
        <x:f t="shared" si="12">ROW()-ROW($A$2)+1</x:f>
        <x:v>812</x:v>
      </x:c>
      <x:c r="B813" s="313" t="s">
        <x:v>19</x:v>
      </x:c>
      <x:c r="C813" s="313" t="s">
        <x:v>10</x:v>
      </x:c>
      <x:c r="D813" s="314">
        <x:v>1</x:v>
      </x:c>
      <x:c r="E813" s="320">
        <x:v>6000</x:v>
      </x:c>
      <x:c r="F813" s="320">
        <x:v>6000</x:v>
      </x:c>
      <x:c r="G813" s="320">
        <x:v>2000</x:v>
      </x:c>
      <x:c r="H813" s="313" t="s">
        <x:v>64</x:v>
      </x:c>
      <x:c r="I813" s="313" t="s">
        <x:v>46</x:v>
      </x:c>
      <x:c r="J813" s="316" t="n">
        <x:f>IFERROR(G813/F813,0)</x:f>
        <x:v>0.3333333333333333</x:v>
      </x:c>
      <x:c r="K813" s="312" t="str">
        <x:f>IF(B813="Bilinmeyen Personel","Kontrol","OK")</x:f>
        <x:v>OK</x:v>
      </x:c>
    </x:row>
    <x:row r="814" ht="15.75">
      <x:c r="A814" s="313" t="n">
        <x:f t="shared" si="12">ROW()-ROW($A$2)+1</x:f>
        <x:v>813</x:v>
      </x:c>
      <x:c r="B814" s="313" t="s">
        <x:v>16</x:v>
      </x:c>
      <x:c r="C814" s="313" t="s">
        <x:v>17</x:v>
      </x:c>
      <x:c r="D814" s="314">
        <x:v>3</x:v>
      </x:c>
      <x:c r="E814" s="320">
        <x:v>8450</x:v>
      </x:c>
      <x:c r="F814" s="320">
        <x:v>25350</x:v>
      </x:c>
      <x:c r="G814" s="320">
        <x:v>7350</x:v>
      </x:c>
      <x:c r="H814" s="313" t="s">
        <x:v>64</x:v>
      </x:c>
      <x:c r="I814" s="313" t="s">
        <x:v>12</x:v>
      </x:c>
      <x:c r="J814" s="316" t="n">
        <x:f>IFERROR(G814/F814,0)</x:f>
        <x:v>0.28994082840236685</x:v>
      </x:c>
      <x:c r="K814" s="312" t="str">
        <x:f>IF(B814="Bilinmeyen Personel","Kontrol","OK")</x:f>
        <x:v>OK</x:v>
      </x:c>
    </x:row>
    <x:row r="815" ht="15.75">
      <x:c r="A815" s="313" t="n">
        <x:f t="shared" si="12">ROW()-ROW($A$2)+1</x:f>
        <x:v>814</x:v>
      </x:c>
      <x:c r="B815" s="313" t="s">
        <x:v>32</x:v>
      </x:c>
      <x:c r="C815" s="313" t="s">
        <x:v>45</x:v>
      </x:c>
      <x:c r="D815" s="314">
        <x:v>1</x:v>
      </x:c>
      <x:c r="E815" s="320">
        <x:v>4200</x:v>
      </x:c>
      <x:c r="F815" s="320">
        <x:v>4200</x:v>
      </x:c>
      <x:c r="G815" s="320">
        <x:v>1200</x:v>
      </x:c>
      <x:c r="H815" s="313" t="s">
        <x:v>64</x:v>
      </x:c>
      <x:c r="I815" s="313" t="s">
        <x:v>25</x:v>
      </x:c>
      <x:c r="J815" s="316" t="n">
        <x:f>IFERROR(G815/F815,0)</x:f>
        <x:v>0.2857142857142857</x:v>
      </x:c>
      <x:c r="K815" s="312" t="str">
        <x:f>IF(B815="Bilinmeyen Personel","Kontrol","OK")</x:f>
        <x:v>OK</x:v>
      </x:c>
    </x:row>
    <x:row r="816" ht="15.75">
      <x:c r="A816" s="313" t="n">
        <x:f t="shared" si="12">ROW()-ROW($A$2)+1</x:f>
        <x:v>815</x:v>
      </x:c>
      <x:c r="B816" s="313" t="s">
        <x:v>32</x:v>
      </x:c>
      <x:c r="C816" s="313" t="s">
        <x:v>39</x:v>
      </x:c>
      <x:c r="D816" s="314">
        <x:v>3</x:v>
      </x:c>
      <x:c r="E816" s="320">
        <x:v>10590</x:v>
      </x:c>
      <x:c r="F816" s="320">
        <x:v>31770</x:v>
      </x:c>
      <x:c r="G816" s="320">
        <x:v>13770</x:v>
      </x:c>
      <x:c r="H816" s="313" t="s">
        <x:v>64</x:v>
      </x:c>
      <x:c r="I816" s="313" t="s">
        <x:v>46</x:v>
      </x:c>
      <x:c r="J816" s="316" t="n">
        <x:f>IFERROR(G816/F816,0)</x:f>
        <x:v>0.43342776203966005</x:v>
      </x:c>
      <x:c r="K816" s="312" t="str">
        <x:f>IF(B816="Bilinmeyen Personel","Kontrol","OK")</x:f>
        <x:v>OK</x:v>
      </x:c>
    </x:row>
    <x:row r="817" ht="15.75">
      <x:c r="A817" s="313" t="n">
        <x:f t="shared" si="12">ROW()-ROW($A$2)+1</x:f>
        <x:v>816</x:v>
      </x:c>
      <x:c r="B817" s="313" t="s">
        <x:v>29</x:v>
      </x:c>
      <x:c r="C817" s="313" t="s">
        <x:v>53</x:v>
      </x:c>
      <x:c r="D817" s="314">
        <x:v>1</x:v>
      </x:c>
      <x:c r="E817" s="320">
        <x:v>1200</x:v>
      </x:c>
      <x:c r="F817" s="320">
        <x:v>1200</x:v>
      </x:c>
      <x:c r="G817" s="320">
        <x:v>400</x:v>
      </x:c>
      <x:c r="H817" s="313" t="s">
        <x:v>64</x:v>
      </x:c>
      <x:c r="I817" s="313" t="s">
        <x:v>15</x:v>
      </x:c>
      <x:c r="J817" s="316" t="n">
        <x:f>IFERROR(G817/F817,0)</x:f>
        <x:v>0.3333333333333333</x:v>
      </x:c>
      <x:c r="K817" s="312" t="str">
        <x:f>IF(B817="Bilinmeyen Personel","Kontrol","OK")</x:f>
        <x:v>OK</x:v>
      </x:c>
    </x:row>
    <x:row r="818" ht="15.75">
      <x:c r="A818" s="313" t="n">
        <x:f t="shared" si="12">ROW()-ROW($A$2)+1</x:f>
        <x:v>817</x:v>
      </x:c>
      <x:c r="B818" s="313" t="s">
        <x:v>48</x:v>
      </x:c>
      <x:c r="C818" s="313" t="s">
        <x:v>27</x:v>
      </x:c>
      <x:c r="D818" s="314">
        <x:v>2</x:v>
      </x:c>
      <x:c r="E818" s="320">
        <x:v>1100</x:v>
      </x:c>
      <x:c r="F818" s="320">
        <x:v>2200</x:v>
      </x:c>
      <x:c r="G818" s="320">
        <x:v>600</x:v>
      </x:c>
      <x:c r="H818" s="313" t="s">
        <x:v>64</x:v>
      </x:c>
      <x:c r="I818" s="313" t="s">
        <x:v>25</x:v>
      </x:c>
      <x:c r="J818" s="316" t="n">
        <x:f>IFERROR(G818/F818,0)</x:f>
        <x:v>0.2727272727272727</x:v>
      </x:c>
      <x:c r="K818" s="312" t="str">
        <x:f>IF(B818="Bilinmeyen Personel","Kontrol","OK")</x:f>
        <x:v>OK</x:v>
      </x:c>
    </x:row>
    <x:row r="819" ht="15.75">
      <x:c r="A819" s="313" t="n">
        <x:f t="shared" si="12">ROW()-ROW($A$2)+1</x:f>
        <x:v>818</x:v>
      </x:c>
      <x:c r="B819" s="313" t="s">
        <x:v>40</x:v>
      </x:c>
      <x:c r="C819" s="313" t="s">
        <x:v>58</x:v>
      </x:c>
      <x:c r="D819" s="314">
        <x:v>2</x:v>
      </x:c>
      <x:c r="E819" s="320">
        <x:v>3700</x:v>
      </x:c>
      <x:c r="F819" s="320">
        <x:v>7400</x:v>
      </x:c>
      <x:c r="G819" s="320">
        <x:v>1400</x:v>
      </x:c>
      <x:c r="H819" s="313" t="s">
        <x:v>64</x:v>
      </x:c>
      <x:c r="I819" s="313" t="s">
        <x:v>46</x:v>
      </x:c>
      <x:c r="J819" s="316" t="n">
        <x:f>IFERROR(G819/F819,0)</x:f>
        <x:v>0.1891891891891892</x:v>
      </x:c>
      <x:c r="K819" s="312" t="str">
        <x:f>IF(B819="Bilinmeyen Personel","Kontrol","OK")</x:f>
        <x:v>OK</x:v>
      </x:c>
    </x:row>
    <x:row r="820" ht="15.75">
      <x:c r="A820" s="313" t="n">
        <x:f t="shared" si="12">ROW()-ROW($A$2)+1</x:f>
        <x:v>819</x:v>
      </x:c>
      <x:c r="B820" s="313" t="s">
        <x:v>13</x:v>
      </x:c>
      <x:c r="C820" s="313" t="s">
        <x:v>58</x:v>
      </x:c>
      <x:c r="D820" s="314">
        <x:v>1</x:v>
      </x:c>
      <x:c r="E820" s="320">
        <x:v>3700</x:v>
      </x:c>
      <x:c r="F820" s="320">
        <x:v>3700</x:v>
      </x:c>
      <x:c r="G820" s="320">
        <x:v>700</x:v>
      </x:c>
      <x:c r="H820" s="313" t="s">
        <x:v>64</x:v>
      </x:c>
      <x:c r="I820" s="313" t="s">
        <x:v>15</x:v>
      </x:c>
      <x:c r="J820" s="316" t="n">
        <x:f>IFERROR(G820/F820,0)</x:f>
        <x:v>0.1891891891891892</x:v>
      </x:c>
      <x:c r="K820" s="312" t="str">
        <x:f>IF(B820="Bilinmeyen Personel","Kontrol","OK")</x:f>
        <x:v>OK</x:v>
      </x:c>
    </x:row>
    <x:row r="821" ht="15.75">
      <x:c r="A821" s="313" t="n">
        <x:f t="shared" si="12">ROW()-ROW($A$2)+1</x:f>
        <x:v>820</x:v>
      </x:c>
      <x:c r="B821" s="313" t="s">
        <x:v>32</x:v>
      </x:c>
      <x:c r="C821" s="313" t="s">
        <x:v>27</x:v>
      </x:c>
      <x:c r="D821" s="314">
        <x:v>3</x:v>
      </x:c>
      <x:c r="E821" s="320">
        <x:v>1100</x:v>
      </x:c>
      <x:c r="F821" s="320">
        <x:v>3300</x:v>
      </x:c>
      <x:c r="G821" s="320">
        <x:v>900</x:v>
      </x:c>
      <x:c r="H821" s="313" t="s">
        <x:v>64</x:v>
      </x:c>
      <x:c r="I821" s="313" t="s">
        <x:v>46</x:v>
      </x:c>
      <x:c r="J821" s="316" t="n">
        <x:f>IFERROR(G821/F821,0)</x:f>
        <x:v>0.2727272727272727</x:v>
      </x:c>
      <x:c r="K821" s="312" t="str">
        <x:f>IF(B821="Bilinmeyen Personel","Kontrol","OK")</x:f>
        <x:v>OK</x:v>
      </x:c>
    </x:row>
    <x:row r="822" ht="15.75">
      <x:c r="A822" s="313" t="n">
        <x:f t="shared" si="12">ROW()-ROW($A$2)+1</x:f>
        <x:v>821</x:v>
      </x:c>
      <x:c r="B822" s="313" t="s">
        <x:v>29</x:v>
      </x:c>
      <x:c r="C822" s="313" t="s">
        <x:v>58</x:v>
      </x:c>
      <x:c r="D822" s="314">
        <x:v>1</x:v>
      </x:c>
      <x:c r="E822" s="320">
        <x:v>3700</x:v>
      </x:c>
      <x:c r="F822" s="320">
        <x:v>3700</x:v>
      </x:c>
      <x:c r="G822" s="320">
        <x:v>700</x:v>
      </x:c>
      <x:c r="H822" s="313" t="s">
        <x:v>64</x:v>
      </x:c>
      <x:c r="I822" s="313" t="s">
        <x:v>28</x:v>
      </x:c>
      <x:c r="J822" s="316" t="n">
        <x:f>IFERROR(G822/F822,0)</x:f>
        <x:v>0.1891891891891892</x:v>
      </x:c>
      <x:c r="K822" s="312" t="str">
        <x:f>IF(B822="Bilinmeyen Personel","Kontrol","OK")</x:f>
        <x:v>OK</x:v>
      </x:c>
    </x:row>
    <x:row r="823" ht="15.75">
      <x:c r="A823" s="313" t="n">
        <x:f t="shared" si="12">ROW()-ROW($A$2)+1</x:f>
        <x:v>822</x:v>
      </x:c>
      <x:c r="B823" s="313" t="s">
        <x:v>48</x:v>
      </x:c>
      <x:c r="C823" s="313" t="s">
        <x:v>43</x:v>
      </x:c>
      <x:c r="D823" s="314">
        <x:v>1</x:v>
      </x:c>
      <x:c r="E823" s="320">
        <x:v>1490</x:v>
      </x:c>
      <x:c r="F823" s="320">
        <x:v>1490</x:v>
      </x:c>
      <x:c r="G823" s="320">
        <x:v>690</x:v>
      </x:c>
      <x:c r="H823" s="313" t="s">
        <x:v>64</x:v>
      </x:c>
      <x:c r="I823" s="313" t="s">
        <x:v>46</x:v>
      </x:c>
      <x:c r="J823" s="316" t="n">
        <x:f>IFERROR(G823/F823,0)</x:f>
        <x:v>0.46308724832214765</x:v>
      </x:c>
      <x:c r="K823" s="312" t="str">
        <x:f>IF(B823="Bilinmeyen Personel","Kontrol","OK")</x:f>
        <x:v>OK</x:v>
      </x:c>
    </x:row>
    <x:row r="824" ht="15.75">
      <x:c r="A824" s="313" t="n">
        <x:f t="shared" si="12">ROW()-ROW($A$2)+1</x:f>
        <x:v>823</x:v>
      </x:c>
      <x:c r="B824" s="313" t="s">
        <x:v>40</x:v>
      </x:c>
      <x:c r="C824" s="313" t="s">
        <x:v>57</x:v>
      </x:c>
      <x:c r="D824" s="314">
        <x:v>1</x:v>
      </x:c>
      <x:c r="E824" s="320">
        <x:v>1500</x:v>
      </x:c>
      <x:c r="F824" s="320">
        <x:v>1500</x:v>
      </x:c>
      <x:c r="G824" s="320">
        <x:v>700</x:v>
      </x:c>
      <x:c r="H824" s="313" t="s">
        <x:v>64</x:v>
      </x:c>
      <x:c r="I824" s="313" t="s">
        <x:v>46</x:v>
      </x:c>
      <x:c r="J824" s="316" t="n">
        <x:f>IFERROR(G824/F824,0)</x:f>
        <x:v>0.4666666666666667</x:v>
      </x:c>
      <x:c r="K824" s="312" t="str">
        <x:f>IF(B824="Bilinmeyen Personel","Kontrol","OK")</x:f>
        <x:v>OK</x:v>
      </x:c>
    </x:row>
    <x:row r="825" ht="15.75">
      <x:c r="A825" s="313" t="n">
        <x:f t="shared" si="12">ROW()-ROW($A$2)+1</x:f>
        <x:v>824</x:v>
      </x:c>
      <x:c r="B825" s="313" t="s">
        <x:v>38</x:v>
      </x:c>
      <x:c r="C825" s="313" t="s">
        <x:v>34</x:v>
      </x:c>
      <x:c r="D825" s="314">
        <x:v>2</x:v>
      </x:c>
      <x:c r="E825" s="320">
        <x:v>1090</x:v>
      </x:c>
      <x:c r="F825" s="320">
        <x:v>2180</x:v>
      </x:c>
      <x:c r="G825" s="320">
        <x:v>580</x:v>
      </x:c>
      <x:c r="H825" s="313" t="s">
        <x:v>64</x:v>
      </x:c>
      <x:c r="I825" s="313" t="s">
        <x:v>28</x:v>
      </x:c>
      <x:c r="J825" s="316" t="n">
        <x:f>IFERROR(G825/F825,0)</x:f>
        <x:v>0.26605504587155965</x:v>
      </x:c>
      <x:c r="K825" s="312" t="str">
        <x:f>IF(B825="Bilinmeyen Personel","Kontrol","OK")</x:f>
        <x:v>OK</x:v>
      </x:c>
    </x:row>
    <x:row r="826" ht="15.75">
      <x:c r="A826" s="313" t="n">
        <x:f t="shared" si="12">ROW()-ROW($A$2)+1</x:f>
        <x:v>825</x:v>
      </x:c>
      <x:c r="B826" s="313" t="s">
        <x:v>48</x:v>
      </x:c>
      <x:c r="C826" s="313" t="s">
        <x:v>33</x:v>
      </x:c>
      <x:c r="D826" s="314">
        <x:v>3</x:v>
      </x:c>
      <x:c r="E826" s="320">
        <x:v>1800</x:v>
      </x:c>
      <x:c r="F826" s="320">
        <x:v>5400</x:v>
      </x:c>
      <x:c r="G826" s="320">
        <x:v>3000</x:v>
      </x:c>
      <x:c r="H826" s="313" t="s">
        <x:v>64</x:v>
      </x:c>
      <x:c r="I826" s="313" t="s">
        <x:v>44</x:v>
      </x:c>
      <x:c r="J826" s="316" t="n">
        <x:f>IFERROR(G826/F826,0)</x:f>
        <x:v>0.5555555555555556</x:v>
      </x:c>
      <x:c r="K826" s="312" t="str">
        <x:f>IF(B826="Bilinmeyen Personel","Kontrol","OK")</x:f>
        <x:v>OK</x:v>
      </x:c>
    </x:row>
    <x:row r="827" ht="15.75">
      <x:c r="A827" s="313" t="n">
        <x:f t="shared" si="12">ROW()-ROW($A$2)+1</x:f>
        <x:v>826</x:v>
      </x:c>
      <x:c r="B827" s="313" t="s">
        <x:v>35</x:v>
      </x:c>
      <x:c r="C827" s="313" t="s">
        <x:v>55</x:v>
      </x:c>
      <x:c r="D827" s="314">
        <x:v>2</x:v>
      </x:c>
      <x:c r="E827" s="320">
        <x:v>7530</x:v>
      </x:c>
      <x:c r="F827" s="320">
        <x:v>15060</x:v>
      </x:c>
      <x:c r="G827" s="320">
        <x:v>3060</x:v>
      </x:c>
      <x:c r="H827" s="313" t="s">
        <x:v>64</x:v>
      </x:c>
      <x:c r="I827" s="313" t="s">
        <x:v>46</x:v>
      </x:c>
      <x:c r="J827" s="316" t="n">
        <x:f>IFERROR(G827/F827,0)</x:f>
        <x:v>0.20318725099601595</x:v>
      </x:c>
      <x:c r="K827" s="312" t="str">
        <x:f>IF(B827="Bilinmeyen Personel","Kontrol","OK")</x:f>
        <x:v>OK</x:v>
      </x:c>
    </x:row>
    <x:row r="828" ht="15.75">
      <x:c r="A828" s="313" t="n">
        <x:f t="shared" si="12">ROW()-ROW($A$2)+1</x:f>
        <x:v>827</x:v>
      </x:c>
      <x:c r="B828" s="313" t="s">
        <x:v>32</x:v>
      </x:c>
      <x:c r="C828" s="313" t="s">
        <x:v>27</x:v>
      </x:c>
      <x:c r="D828" s="314">
        <x:v>3</x:v>
      </x:c>
      <x:c r="E828" s="320">
        <x:v>1100</x:v>
      </x:c>
      <x:c r="F828" s="320">
        <x:v>3300</x:v>
      </x:c>
      <x:c r="G828" s="320">
        <x:v>900</x:v>
      </x:c>
      <x:c r="H828" s="313" t="s">
        <x:v>64</x:v>
      </x:c>
      <x:c r="I828" s="313" t="s">
        <x:v>46</x:v>
      </x:c>
      <x:c r="J828" s="316" t="n">
        <x:f>IFERROR(G828/F828,0)</x:f>
        <x:v>0.2727272727272727</x:v>
      </x:c>
      <x:c r="K828" s="312" t="str">
        <x:f>IF(B828="Bilinmeyen Personel","Kontrol","OK")</x:f>
        <x:v>OK</x:v>
      </x:c>
    </x:row>
    <x:row r="829" ht="15.75">
      <x:c r="A829" s="313" t="n">
        <x:f t="shared" si="12">ROW()-ROW($A$2)+1</x:f>
        <x:v>828</x:v>
      </x:c>
      <x:c r="B829" s="313" t="s">
        <x:v>40</x:v>
      </x:c>
      <x:c r="C829" s="313" t="s">
        <x:v>20</x:v>
      </x:c>
      <x:c r="D829" s="314">
        <x:v>3</x:v>
      </x:c>
      <x:c r="E829" s="320">
        <x:v>1350</x:v>
      </x:c>
      <x:c r="F829" s="320">
        <x:v>4050</x:v>
      </x:c>
      <x:c r="G829" s="320">
        <x:v>1650</x:v>
      </x:c>
      <x:c r="H829" s="313" t="s">
        <x:v>64</x:v>
      </x:c>
      <x:c r="I829" s="313" t="s">
        <x:v>37</x:v>
      </x:c>
      <x:c r="J829" s="316" t="n">
        <x:f>IFERROR(G829/F829,0)</x:f>
        <x:v>0.4074074074074074</x:v>
      </x:c>
      <x:c r="K829" s="312" t="str">
        <x:f>IF(B829="Bilinmeyen Personel","Kontrol","OK")</x:f>
        <x:v>OK</x:v>
      </x:c>
    </x:row>
    <x:row r="830" ht="15.75">
      <x:c r="A830" s="313" t="n">
        <x:f t="shared" si="12">ROW()-ROW($A$2)+1</x:f>
        <x:v>829</x:v>
      </x:c>
      <x:c r="B830" s="313" t="s">
        <x:v>38</x:v>
      </x:c>
      <x:c r="C830" s="313" t="s">
        <x:v>20</x:v>
      </x:c>
      <x:c r="D830" s="314">
        <x:v>1</x:v>
      </x:c>
      <x:c r="E830" s="320">
        <x:v>1350</x:v>
      </x:c>
      <x:c r="F830" s="320">
        <x:v>1350</x:v>
      </x:c>
      <x:c r="G830" s="320">
        <x:v>550</x:v>
      </x:c>
      <x:c r="H830" s="313" t="s">
        <x:v>64</x:v>
      </x:c>
      <x:c r="I830" s="313" t="s">
        <x:v>28</x:v>
      </x:c>
      <x:c r="J830" s="316" t="n">
        <x:f>IFERROR(G830/F830,0)</x:f>
        <x:v>0.4074074074074074</x:v>
      </x:c>
      <x:c r="K830" s="312" t="str">
        <x:f>IF(B830="Bilinmeyen Personel","Kontrol","OK")</x:f>
        <x:v>OK</x:v>
      </x:c>
    </x:row>
    <x:row r="831" ht="15.75">
      <x:c r="A831" s="313" t="n">
        <x:f t="shared" si="12">ROW()-ROW($A$2)+1</x:f>
        <x:v>830</x:v>
      </x:c>
      <x:c r="B831" s="313" t="s">
        <x:v>35</x:v>
      </x:c>
      <x:c r="C831" s="313" t="s">
        <x:v>34</x:v>
      </x:c>
      <x:c r="D831" s="314">
        <x:v>2</x:v>
      </x:c>
      <x:c r="E831" s="320">
        <x:v>1090</x:v>
      </x:c>
      <x:c r="F831" s="320">
        <x:v>2180</x:v>
      </x:c>
      <x:c r="G831" s="320">
        <x:v>580</x:v>
      </x:c>
      <x:c r="H831" s="313" t="s">
        <x:v>64</x:v>
      </x:c>
      <x:c r="I831" s="313" t="s">
        <x:v>15</x:v>
      </x:c>
      <x:c r="J831" s="316" t="n">
        <x:f>IFERROR(G831/F831,0)</x:f>
        <x:v>0.26605504587155965</x:v>
      </x:c>
      <x:c r="K831" s="312" t="str">
        <x:f>IF(B831="Bilinmeyen Personel","Kontrol","OK")</x:f>
        <x:v>OK</x:v>
      </x:c>
    </x:row>
    <x:row r="832" ht="15.75">
      <x:c r="A832" s="313" t="n">
        <x:f t="shared" si="12">ROW()-ROW($A$2)+1</x:f>
        <x:v>831</x:v>
      </x:c>
      <x:c r="B832" s="313" t="s">
        <x:v>35</x:v>
      </x:c>
      <x:c r="C832" s="313" t="s">
        <x:v>45</x:v>
      </x:c>
      <x:c r="D832" s="314">
        <x:v>1</x:v>
      </x:c>
      <x:c r="E832" s="320">
        <x:v>4200</x:v>
      </x:c>
      <x:c r="F832" s="320">
        <x:v>4200</x:v>
      </x:c>
      <x:c r="G832" s="320">
        <x:v>1200</x:v>
      </x:c>
      <x:c r="H832" s="313" t="s">
        <x:v>64</x:v>
      </x:c>
      <x:c r="I832" s="313" t="s">
        <x:v>18</x:v>
      </x:c>
      <x:c r="J832" s="316" t="n">
        <x:f>IFERROR(G832/F832,0)</x:f>
        <x:v>0.2857142857142857</x:v>
      </x:c>
      <x:c r="K832" s="312" t="str">
        <x:f>IF(B832="Bilinmeyen Personel","Kontrol","OK")</x:f>
        <x:v>OK</x:v>
      </x:c>
    </x:row>
    <x:row r="833" ht="15.75">
      <x:c r="A833" s="313" t="n">
        <x:f t="shared" si="12">ROW()-ROW($A$2)+1</x:f>
        <x:v>832</x:v>
      </x:c>
      <x:c r="B833" s="313" t="s">
        <x:v>40</x:v>
      </x:c>
      <x:c r="C833" s="313" t="s">
        <x:v>33</x:v>
      </x:c>
      <x:c r="D833" s="314">
        <x:v>2</x:v>
      </x:c>
      <x:c r="E833" s="320">
        <x:v>1800</x:v>
      </x:c>
      <x:c r="F833" s="320">
        <x:v>3600</x:v>
      </x:c>
      <x:c r="G833" s="320">
        <x:v>2000</x:v>
      </x:c>
      <x:c r="H833" s="313" t="s">
        <x:v>64</x:v>
      </x:c>
      <x:c r="I833" s="313" t="s">
        <x:v>25</x:v>
      </x:c>
      <x:c r="J833" s="316" t="n">
        <x:f>IFERROR(G833/F833,0)</x:f>
        <x:v>0.5555555555555556</x:v>
      </x:c>
      <x:c r="K833" s="312" t="str">
        <x:f>IF(B833="Bilinmeyen Personel","Kontrol","OK")</x:f>
        <x:v>OK</x:v>
      </x:c>
    </x:row>
    <x:row r="834" ht="15.75">
      <x:c r="A834" s="313" t="n">
        <x:f t="shared" si="12">ROW()-ROW($A$2)+1</x:f>
        <x:v>833</x:v>
      </x:c>
      <x:c r="B834" s="313" t="s">
        <x:v>50</x:v>
      </x:c>
      <x:c r="C834" s="313" t="s">
        <x:v>34</x:v>
      </x:c>
      <x:c r="D834" s="314">
        <x:v>1</x:v>
      </x:c>
      <x:c r="E834" s="320">
        <x:v>1090</x:v>
      </x:c>
      <x:c r="F834" s="320">
        <x:v>1090</x:v>
      </x:c>
      <x:c r="G834" s="320">
        <x:v>290</x:v>
      </x:c>
      <x:c r="H834" s="313" t="s">
        <x:v>64</x:v>
      </x:c>
      <x:c r="I834" s="313" t="s">
        <x:v>41</x:v>
      </x:c>
      <x:c r="J834" s="316" t="n">
        <x:f>IFERROR(G834/F834,0)</x:f>
        <x:v>0.26605504587155965</x:v>
      </x:c>
      <x:c r="K834" s="312" t="str">
        <x:f>IF(B834="Bilinmeyen Personel","Kontrol","OK")</x:f>
        <x:v>OK</x:v>
      </x:c>
    </x:row>
    <x:row r="835" ht="15.75">
      <x:c r="A835" s="313" t="n">
        <x:f t="shared" ref="A835:A898" si="13">ROW()-ROW($A$2)+1</x:f>
        <x:v>834</x:v>
      </x:c>
      <x:c r="B835" s="313" t="s">
        <x:v>9</x:v>
      </x:c>
      <x:c r="C835" s="313" t="s">
        <x:v>24</x:v>
      </x:c>
      <x:c r="D835" s="314">
        <x:v>1</x:v>
      </x:c>
      <x:c r="E835" s="320">
        <x:v>7600</x:v>
      </x:c>
      <x:c r="F835" s="320">
        <x:v>7600</x:v>
      </x:c>
      <x:c r="G835" s="320">
        <x:v>1600</x:v>
      </x:c>
      <x:c r="H835" s="313" t="s">
        <x:v>64</x:v>
      </x:c>
      <x:c r="I835" s="313" t="s">
        <x:v>18</x:v>
      </x:c>
      <x:c r="J835" s="316" t="n">
        <x:f>IFERROR(G835/F835,0)</x:f>
        <x:v>0.21052631578947367</x:v>
      </x:c>
      <x:c r="K835" s="312" t="str">
        <x:f>IF(B835="Bilinmeyen Personel","Kontrol","OK")</x:f>
        <x:v>OK</x:v>
      </x:c>
    </x:row>
    <x:row r="836" ht="15.75">
      <x:c r="A836" s="313" t="n">
        <x:f t="shared" si="13">ROW()-ROW($A$2)+1</x:f>
        <x:v>835</x:v>
      </x:c>
      <x:c r="B836" s="313" t="s">
        <x:v>38</x:v>
      </x:c>
      <x:c r="C836" s="313" t="s">
        <x:v>24</x:v>
      </x:c>
      <x:c r="D836" s="314">
        <x:v>3</x:v>
      </x:c>
      <x:c r="E836" s="320">
        <x:v>7600</x:v>
      </x:c>
      <x:c r="F836" s="320">
        <x:v>22800</x:v>
      </x:c>
      <x:c r="G836" s="320">
        <x:v>4800</x:v>
      </x:c>
      <x:c r="H836" s="313" t="s">
        <x:v>64</x:v>
      </x:c>
      <x:c r="I836" s="313" t="s">
        <x:v>31</x:v>
      </x:c>
      <x:c r="J836" s="316" t="n">
        <x:f>IFERROR(G836/F836,0)</x:f>
        <x:v>0.21052631578947367</x:v>
      </x:c>
      <x:c r="K836" s="312" t="str">
        <x:f>IF(B836="Bilinmeyen Personel","Kontrol","OK")</x:f>
        <x:v>OK</x:v>
      </x:c>
    </x:row>
    <x:row r="837" ht="15.75">
      <x:c r="A837" s="313" t="n">
        <x:f t="shared" si="13">ROW()-ROW($A$2)+1</x:f>
        <x:v>836</x:v>
      </x:c>
      <x:c r="B837" s="313" t="s">
        <x:v>16</x:v>
      </x:c>
      <x:c r="C837" s="313" t="s">
        <x:v>58</x:v>
      </x:c>
      <x:c r="D837" s="314">
        <x:v>1</x:v>
      </x:c>
      <x:c r="E837" s="320">
        <x:v>3700</x:v>
      </x:c>
      <x:c r="F837" s="320">
        <x:v>3700</x:v>
      </x:c>
      <x:c r="G837" s="320">
        <x:v>700</x:v>
      </x:c>
      <x:c r="H837" s="313" t="s">
        <x:v>64</x:v>
      </x:c>
      <x:c r="I837" s="313" t="s">
        <x:v>54</x:v>
      </x:c>
      <x:c r="J837" s="316" t="n">
        <x:f>IFERROR(G837/F837,0)</x:f>
        <x:v>0.1891891891891892</x:v>
      </x:c>
      <x:c r="K837" s="312" t="str">
        <x:f>IF(B837="Bilinmeyen Personel","Kontrol","OK")</x:f>
        <x:v>OK</x:v>
      </x:c>
    </x:row>
    <x:row r="838" ht="15.75">
      <x:c r="A838" s="313" t="n">
        <x:f t="shared" si="13">ROW()-ROW($A$2)+1</x:f>
        <x:v>837</x:v>
      </x:c>
      <x:c r="B838" s="313" t="s">
        <x:v>23</x:v>
      </x:c>
      <x:c r="C838" s="313" t="s">
        <x:v>26</x:v>
      </x:c>
      <x:c r="D838" s="314">
        <x:v>3</x:v>
      </x:c>
      <x:c r="E838" s="320">
        <x:v>7250</x:v>
      </x:c>
      <x:c r="F838" s="320">
        <x:v>21750</x:v>
      </x:c>
      <x:c r="G838" s="320">
        <x:v>6750</x:v>
      </x:c>
      <x:c r="H838" s="313" t="s">
        <x:v>64</x:v>
      </x:c>
      <x:c r="I838" s="313" t="s">
        <x:v>37</x:v>
      </x:c>
      <x:c r="J838" s="316" t="n">
        <x:f>IFERROR(G838/F838,0)</x:f>
        <x:v>0.3103448275862069</x:v>
      </x:c>
      <x:c r="K838" s="312" t="str">
        <x:f>IF(B838="Bilinmeyen Personel","Kontrol","OK")</x:f>
        <x:v>OK</x:v>
      </x:c>
    </x:row>
    <x:row r="839" ht="15.75">
      <x:c r="A839" s="313" t="n">
        <x:f t="shared" si="13">ROW()-ROW($A$2)+1</x:f>
        <x:v>838</x:v>
      </x:c>
      <x:c r="B839" s="313" t="s">
        <x:v>13</x:v>
      </x:c>
      <x:c r="C839" s="313" t="s">
        <x:v>24</x:v>
      </x:c>
      <x:c r="D839" s="314">
        <x:v>3</x:v>
      </x:c>
      <x:c r="E839" s="320">
        <x:v>7600</x:v>
      </x:c>
      <x:c r="F839" s="320">
        <x:v>22800</x:v>
      </x:c>
      <x:c r="G839" s="320">
        <x:v>4800</x:v>
      </x:c>
      <x:c r="H839" s="313" t="s">
        <x:v>64</x:v>
      </x:c>
      <x:c r="I839" s="313" t="s">
        <x:v>12</x:v>
      </x:c>
      <x:c r="J839" s="316" t="n">
        <x:f>IFERROR(G839/F839,0)</x:f>
        <x:v>0.21052631578947367</x:v>
      </x:c>
      <x:c r="K839" s="312" t="str">
        <x:f>IF(B839="Bilinmeyen Personel","Kontrol","OK")</x:f>
        <x:v>OK</x:v>
      </x:c>
    </x:row>
    <x:row r="840" ht="15.75">
      <x:c r="A840" s="313" t="n">
        <x:f t="shared" si="13">ROW()-ROW($A$2)+1</x:f>
        <x:v>839</x:v>
      </x:c>
      <x:c r="B840" s="313" t="s">
        <x:v>48</x:v>
      </x:c>
      <x:c r="C840" s="313" t="s">
        <x:v>45</x:v>
      </x:c>
      <x:c r="D840" s="314">
        <x:v>1</x:v>
      </x:c>
      <x:c r="E840" s="320">
        <x:v>4200</x:v>
      </x:c>
      <x:c r="F840" s="320">
        <x:v>4200</x:v>
      </x:c>
      <x:c r="G840" s="320">
        <x:v>1200</x:v>
      </x:c>
      <x:c r="H840" s="313" t="s">
        <x:v>64</x:v>
      </x:c>
      <x:c r="I840" s="313" t="s">
        <x:v>15</x:v>
      </x:c>
      <x:c r="J840" s="316" t="n">
        <x:f>IFERROR(G840/F840,0)</x:f>
        <x:v>0.2857142857142857</x:v>
      </x:c>
      <x:c r="K840" s="312" t="str">
        <x:f>IF(B840="Bilinmeyen Personel","Kontrol","OK")</x:f>
        <x:v>OK</x:v>
      </x:c>
    </x:row>
    <x:row r="841" ht="15.75">
      <x:c r="A841" s="313" t="n">
        <x:f t="shared" si="13">ROW()-ROW($A$2)+1</x:f>
        <x:v>840</x:v>
      </x:c>
      <x:c r="B841" s="313" t="s">
        <x:v>32</x:v>
      </x:c>
      <x:c r="C841" s="313" t="s">
        <x:v>52</x:v>
      </x:c>
      <x:c r="D841" s="314">
        <x:v>3</x:v>
      </x:c>
      <x:c r="E841" s="320">
        <x:v>1250</x:v>
      </x:c>
      <x:c r="F841" s="320">
        <x:v>3750</x:v>
      </x:c>
      <x:c r="G841" s="320">
        <x:v>1350</x:v>
      </x:c>
      <x:c r="H841" s="313" t="s">
        <x:v>64</x:v>
      </x:c>
      <x:c r="I841" s="313" t="s">
        <x:v>46</x:v>
      </x:c>
      <x:c r="J841" s="316" t="n">
        <x:f>IFERROR(G841/F841,0)</x:f>
        <x:v>0.36</x:v>
      </x:c>
      <x:c r="K841" s="312" t="str">
        <x:f>IF(B841="Bilinmeyen Personel","Kontrol","OK")</x:f>
        <x:v>OK</x:v>
      </x:c>
    </x:row>
    <x:row r="842" ht="15.75">
      <x:c r="A842" s="313" t="n">
        <x:f t="shared" si="13">ROW()-ROW($A$2)+1</x:f>
        <x:v>841</x:v>
      </x:c>
      <x:c r="B842" s="313" t="s">
        <x:v>38</x:v>
      </x:c>
      <x:c r="C842" s="313" t="s">
        <x:v>34</x:v>
      </x:c>
      <x:c r="D842" s="314">
        <x:v>1</x:v>
      </x:c>
      <x:c r="E842" s="320">
        <x:v>1090</x:v>
      </x:c>
      <x:c r="F842" s="320">
        <x:v>1090</x:v>
      </x:c>
      <x:c r="G842" s="320">
        <x:v>290</x:v>
      </x:c>
      <x:c r="H842" s="313" t="s">
        <x:v>64</x:v>
      </x:c>
      <x:c r="I842" s="313" t="s">
        <x:v>31</x:v>
      </x:c>
      <x:c r="J842" s="316" t="n">
        <x:f>IFERROR(G842/F842,0)</x:f>
        <x:v>0.26605504587155965</x:v>
      </x:c>
      <x:c r="K842" s="312" t="str">
        <x:f>IF(B842="Bilinmeyen Personel","Kontrol","OK")</x:f>
        <x:v>OK</x:v>
      </x:c>
    </x:row>
    <x:row r="843" ht="15.75">
      <x:c r="A843" s="313" t="n">
        <x:f t="shared" si="13">ROW()-ROW($A$2)+1</x:f>
        <x:v>842</x:v>
      </x:c>
      <x:c r="B843" s="313" t="s">
        <x:v>19</x:v>
      </x:c>
      <x:c r="C843" s="313" t="s">
        <x:v>22</x:v>
      </x:c>
      <x:c r="D843" s="314">
        <x:v>1</x:v>
      </x:c>
      <x:c r="E843" s="320">
        <x:v>2180</x:v>
      </x:c>
      <x:c r="F843" s="320">
        <x:v>2180</x:v>
      </x:c>
      <x:c r="G843" s="320">
        <x:v>680</x:v>
      </x:c>
      <x:c r="H843" s="313" t="s">
        <x:v>64</x:v>
      </x:c>
      <x:c r="I843" s="313" t="s">
        <x:v>18</x:v>
      </x:c>
      <x:c r="J843" s="316" t="n">
        <x:f>IFERROR(G843/F843,0)</x:f>
        <x:v>0.3119266055045872</x:v>
      </x:c>
      <x:c r="K843" s="312" t="str">
        <x:f>IF(B843="Bilinmeyen Personel","Kontrol","OK")</x:f>
        <x:v>OK</x:v>
      </x:c>
    </x:row>
    <x:row r="844" ht="15.75">
      <x:c r="A844" s="313" t="n">
        <x:f t="shared" si="13">ROW()-ROW($A$2)+1</x:f>
        <x:v>843</x:v>
      </x:c>
      <x:c r="B844" s="313" t="s">
        <x:v>50</x:v>
      </x:c>
      <x:c r="C844" s="313" t="s">
        <x:v>58</x:v>
      </x:c>
      <x:c r="D844" s="314">
        <x:v>2</x:v>
      </x:c>
      <x:c r="E844" s="320">
        <x:v>3700</x:v>
      </x:c>
      <x:c r="F844" s="320">
        <x:v>7400</x:v>
      </x:c>
      <x:c r="G844" s="320">
        <x:v>1400</x:v>
      </x:c>
      <x:c r="H844" s="313" t="s">
        <x:v>64</x:v>
      </x:c>
      <x:c r="I844" s="313" t="s">
        <x:v>42</x:v>
      </x:c>
      <x:c r="J844" s="316" t="n">
        <x:f>IFERROR(G844/F844,0)</x:f>
        <x:v>0.1891891891891892</x:v>
      </x:c>
      <x:c r="K844" s="312" t="str">
        <x:f>IF(B844="Bilinmeyen Personel","Kontrol","OK")</x:f>
        <x:v>OK</x:v>
      </x:c>
    </x:row>
    <x:row r="845" ht="15.75">
      <x:c r="A845" s="313" t="n">
        <x:f t="shared" si="13">ROW()-ROW($A$2)+1</x:f>
        <x:v>844</x:v>
      </x:c>
      <x:c r="B845" s="313" t="s">
        <x:v>40</x:v>
      </x:c>
      <x:c r="C845" s="313" t="s">
        <x:v>10</x:v>
      </x:c>
      <x:c r="D845" s="314">
        <x:v>2</x:v>
      </x:c>
      <x:c r="E845" s="320">
        <x:v>6000</x:v>
      </x:c>
      <x:c r="F845" s="320">
        <x:v>12000</x:v>
      </x:c>
      <x:c r="G845" s="320">
        <x:v>4000</x:v>
      </x:c>
      <x:c r="H845" s="313" t="s">
        <x:v>64</x:v>
      </x:c>
      <x:c r="I845" s="313" t="s">
        <x:v>28</x:v>
      </x:c>
      <x:c r="J845" s="316" t="n">
        <x:f>IFERROR(G845/F845,0)</x:f>
        <x:v>0.3333333333333333</x:v>
      </x:c>
      <x:c r="K845" s="312" t="str">
        <x:f>IF(B845="Bilinmeyen Personel","Kontrol","OK")</x:f>
        <x:v>OK</x:v>
      </x:c>
    </x:row>
    <x:row r="846" ht="15.75">
      <x:c r="A846" s="313" t="n">
        <x:f t="shared" si="13">ROW()-ROW($A$2)+1</x:f>
        <x:v>845</x:v>
      </x:c>
      <x:c r="B846" s="313" t="s">
        <x:v>48</x:v>
      </x:c>
      <x:c r="C846" s="313" t="s">
        <x:v>52</x:v>
      </x:c>
      <x:c r="D846" s="314">
        <x:v>2</x:v>
      </x:c>
      <x:c r="E846" s="320">
        <x:v>1250</x:v>
      </x:c>
      <x:c r="F846" s="320">
        <x:v>2500</x:v>
      </x:c>
      <x:c r="G846" s="320">
        <x:v>900</x:v>
      </x:c>
      <x:c r="H846" s="313" t="s">
        <x:v>64</x:v>
      </x:c>
      <x:c r="I846" s="313" t="s">
        <x:v>15</x:v>
      </x:c>
      <x:c r="J846" s="316" t="n">
        <x:f>IFERROR(G846/F846,0)</x:f>
        <x:v>0.36</x:v>
      </x:c>
      <x:c r="K846" s="312" t="str">
        <x:f>IF(B846="Bilinmeyen Personel","Kontrol","OK")</x:f>
        <x:v>OK</x:v>
      </x:c>
    </x:row>
    <x:row r="847" ht="15.75">
      <x:c r="A847" s="313" t="n">
        <x:f t="shared" si="13">ROW()-ROW($A$2)+1</x:f>
        <x:v>846</x:v>
      </x:c>
      <x:c r="B847" s="313" t="s">
        <x:v>50</x:v>
      </x:c>
      <x:c r="C847" s="313" t="s">
        <x:v>24</x:v>
      </x:c>
      <x:c r="D847" s="314">
        <x:v>1</x:v>
      </x:c>
      <x:c r="E847" s="320">
        <x:v>7600</x:v>
      </x:c>
      <x:c r="F847" s="320">
        <x:v>7600</x:v>
      </x:c>
      <x:c r="G847" s="320">
        <x:v>1600</x:v>
      </x:c>
      <x:c r="H847" s="313" t="s">
        <x:v>64</x:v>
      </x:c>
      <x:c r="I847" s="313" t="s">
        <x:v>37</x:v>
      </x:c>
      <x:c r="J847" s="316" t="n">
        <x:f>IFERROR(G847/F847,0)</x:f>
        <x:v>0.21052631578947367</x:v>
      </x:c>
      <x:c r="K847" s="312" t="str">
        <x:f>IF(B847="Bilinmeyen Personel","Kontrol","OK")</x:f>
        <x:v>OK</x:v>
      </x:c>
    </x:row>
    <x:row r="848" ht="15.75">
      <x:c r="A848" s="313" t="n">
        <x:f t="shared" si="13">ROW()-ROW($A$2)+1</x:f>
        <x:v>847</x:v>
      </x:c>
      <x:c r="B848" s="313" t="s">
        <x:v>9</x:v>
      </x:c>
      <x:c r="C848" s="313" t="s">
        <x:v>14</x:v>
      </x:c>
      <x:c r="D848" s="314">
        <x:v>2</x:v>
      </x:c>
      <x:c r="E848" s="320">
        <x:v>1400</x:v>
      </x:c>
      <x:c r="F848" s="320">
        <x:v>2800</x:v>
      </x:c>
      <x:c r="G848" s="320">
        <x:v>1200</x:v>
      </x:c>
      <x:c r="H848" s="313" t="s">
        <x:v>64</x:v>
      </x:c>
      <x:c r="I848" s="313" t="s">
        <x:v>41</x:v>
      </x:c>
      <x:c r="J848" s="316" t="n">
        <x:f>IFERROR(G848/F848,0)</x:f>
        <x:v>0.42857142857142855</x:v>
      </x:c>
      <x:c r="K848" s="312" t="str">
        <x:f>IF(B848="Bilinmeyen Personel","Kontrol","OK")</x:f>
        <x:v>OK</x:v>
      </x:c>
    </x:row>
    <x:row r="849" ht="15.75">
      <x:c r="A849" s="313" t="n">
        <x:f t="shared" si="13">ROW()-ROW($A$2)+1</x:f>
        <x:v>848</x:v>
      </x:c>
      <x:c r="B849" s="313" t="s">
        <x:v>23</x:v>
      </x:c>
      <x:c r="C849" s="313" t="s">
        <x:v>22</x:v>
      </x:c>
      <x:c r="D849" s="314">
        <x:v>2</x:v>
      </x:c>
      <x:c r="E849" s="320">
        <x:v>2180</x:v>
      </x:c>
      <x:c r="F849" s="320">
        <x:v>4360</x:v>
      </x:c>
      <x:c r="G849" s="320">
        <x:v>1360</x:v>
      </x:c>
      <x:c r="H849" s="313" t="s">
        <x:v>64</x:v>
      </x:c>
      <x:c r="I849" s="313" t="s">
        <x:v>42</x:v>
      </x:c>
      <x:c r="J849" s="316" t="n">
        <x:f>IFERROR(G849/F849,0)</x:f>
        <x:v>0.3119266055045872</x:v>
      </x:c>
      <x:c r="K849" s="312" t="str">
        <x:f>IF(B849="Bilinmeyen Personel","Kontrol","OK")</x:f>
        <x:v>OK</x:v>
      </x:c>
    </x:row>
    <x:row r="850" ht="15.75">
      <x:c r="A850" s="313" t="n">
        <x:f t="shared" si="13">ROW()-ROW($A$2)+1</x:f>
        <x:v>849</x:v>
      </x:c>
      <x:c r="B850" s="313" t="s">
        <x:v>9</x:v>
      </x:c>
      <x:c r="C850" s="313" t="s">
        <x:v>33</x:v>
      </x:c>
      <x:c r="D850" s="314">
        <x:v>3</x:v>
      </x:c>
      <x:c r="E850" s="320">
        <x:v>1800</x:v>
      </x:c>
      <x:c r="F850" s="320">
        <x:v>5400</x:v>
      </x:c>
      <x:c r="G850" s="320">
        <x:v>3000</x:v>
      </x:c>
      <x:c r="H850" s="313" t="s">
        <x:v>64</x:v>
      </x:c>
      <x:c r="I850" s="313" t="s">
        <x:v>28</x:v>
      </x:c>
      <x:c r="J850" s="316" t="n">
        <x:f>IFERROR(G850/F850,0)</x:f>
        <x:v>0.5555555555555556</x:v>
      </x:c>
      <x:c r="K850" s="312" t="str">
        <x:f>IF(B850="Bilinmeyen Personel","Kontrol","OK")</x:f>
        <x:v>OK</x:v>
      </x:c>
    </x:row>
    <x:row r="851" ht="15.75">
      <x:c r="A851" s="313" t="n">
        <x:f t="shared" si="13">ROW()-ROW($A$2)+1</x:f>
        <x:v>850</x:v>
      </x:c>
      <x:c r="B851" s="313" t="s">
        <x:v>16</x:v>
      </x:c>
      <x:c r="C851" s="313" t="s">
        <x:v>57</x:v>
      </x:c>
      <x:c r="D851" s="314">
        <x:v>1</x:v>
      </x:c>
      <x:c r="E851" s="320">
        <x:v>1500</x:v>
      </x:c>
      <x:c r="F851" s="320">
        <x:v>1500</x:v>
      </x:c>
      <x:c r="G851" s="320">
        <x:v>700</x:v>
      </x:c>
      <x:c r="H851" s="313" t="s">
        <x:v>64</x:v>
      </x:c>
      <x:c r="I851" s="313" t="s">
        <x:v>28</x:v>
      </x:c>
      <x:c r="J851" s="316" t="n">
        <x:f>IFERROR(G851/F851,0)</x:f>
        <x:v>0.4666666666666667</x:v>
      </x:c>
      <x:c r="K851" s="312" t="str">
        <x:f>IF(B851="Bilinmeyen Personel","Kontrol","OK")</x:f>
        <x:v>OK</x:v>
      </x:c>
    </x:row>
    <x:row r="852" ht="15.75">
      <x:c r="A852" s="313" t="n">
        <x:f t="shared" si="13">ROW()-ROW($A$2)+1</x:f>
        <x:v>851</x:v>
      </x:c>
      <x:c r="B852" s="313" t="s">
        <x:v>32</x:v>
      </x:c>
      <x:c r="C852" s="313" t="s">
        <x:v>17</x:v>
      </x:c>
      <x:c r="D852" s="314">
        <x:v>3</x:v>
      </x:c>
      <x:c r="E852" s="320">
        <x:v>8450</x:v>
      </x:c>
      <x:c r="F852" s="320">
        <x:v>25350</x:v>
      </x:c>
      <x:c r="G852" s="320">
        <x:v>7350</x:v>
      </x:c>
      <x:c r="H852" s="313" t="s">
        <x:v>64</x:v>
      </x:c>
      <x:c r="I852" s="313" t="s">
        <x:v>21</x:v>
      </x:c>
      <x:c r="J852" s="316" t="n">
        <x:f>IFERROR(G852/F852,0)</x:f>
        <x:v>0.28994082840236685</x:v>
      </x:c>
      <x:c r="K852" s="312" t="str">
        <x:f>IF(B852="Bilinmeyen Personel","Kontrol","OK")</x:f>
        <x:v>OK</x:v>
      </x:c>
    </x:row>
    <x:row r="853" ht="15.75">
      <x:c r="A853" s="313" t="n">
        <x:f t="shared" si="13">ROW()-ROW($A$2)+1</x:f>
        <x:v>852</x:v>
      </x:c>
      <x:c r="B853" s="313" t="s">
        <x:v>40</x:v>
      </x:c>
      <x:c r="C853" s="313" t="s">
        <x:v>57</x:v>
      </x:c>
      <x:c r="D853" s="314">
        <x:v>3</x:v>
      </x:c>
      <x:c r="E853" s="320">
        <x:v>1500</x:v>
      </x:c>
      <x:c r="F853" s="320">
        <x:v>4500</x:v>
      </x:c>
      <x:c r="G853" s="320">
        <x:v>2100</x:v>
      </x:c>
      <x:c r="H853" s="313" t="s">
        <x:v>64</x:v>
      </x:c>
      <x:c r="I853" s="313" t="s">
        <x:v>41</x:v>
      </x:c>
      <x:c r="J853" s="316" t="n">
        <x:f>IFERROR(G853/F853,0)</x:f>
        <x:v>0.4666666666666667</x:v>
      </x:c>
      <x:c r="K853" s="312" t="str">
        <x:f>IF(B853="Bilinmeyen Personel","Kontrol","OK")</x:f>
        <x:v>OK</x:v>
      </x:c>
    </x:row>
    <x:row r="854" ht="15.75">
      <x:c r="A854" s="313" t="n">
        <x:f t="shared" si="13">ROW()-ROW($A$2)+1</x:f>
        <x:v>853</x:v>
      </x:c>
      <x:c r="B854" s="313" t="s">
        <x:v>29</x:v>
      </x:c>
      <x:c r="C854" s="313" t="s">
        <x:v>10</x:v>
      </x:c>
      <x:c r="D854" s="314">
        <x:v>3</x:v>
      </x:c>
      <x:c r="E854" s="320">
        <x:v>6000</x:v>
      </x:c>
      <x:c r="F854" s="320">
        <x:v>18000</x:v>
      </x:c>
      <x:c r="G854" s="320">
        <x:v>6000</x:v>
      </x:c>
      <x:c r="H854" s="313" t="s">
        <x:v>64</x:v>
      </x:c>
      <x:c r="I854" s="313" t="s">
        <x:v>31</x:v>
      </x:c>
      <x:c r="J854" s="316" t="n">
        <x:f>IFERROR(G854/F854,0)</x:f>
        <x:v>0.3333333333333333</x:v>
      </x:c>
      <x:c r="K854" s="312" t="str">
        <x:f>IF(B854="Bilinmeyen Personel","Kontrol","OK")</x:f>
        <x:v>OK</x:v>
      </x:c>
    </x:row>
    <x:row r="855" ht="15.75">
      <x:c r="A855" s="313" t="n">
        <x:f t="shared" si="13">ROW()-ROW($A$2)+1</x:f>
        <x:v>854</x:v>
      </x:c>
      <x:c r="B855" s="313" t="s">
        <x:v>50</x:v>
      </x:c>
      <x:c r="C855" s="313" t="s">
        <x:v>53</x:v>
      </x:c>
      <x:c r="D855" s="314">
        <x:v>1</x:v>
      </x:c>
      <x:c r="E855" s="320">
        <x:v>1200</x:v>
      </x:c>
      <x:c r="F855" s="320">
        <x:v>1200</x:v>
      </x:c>
      <x:c r="G855" s="320">
        <x:v>400</x:v>
      </x:c>
      <x:c r="H855" s="313" t="s">
        <x:v>64</x:v>
      </x:c>
      <x:c r="I855" s="313" t="s">
        <x:v>12</x:v>
      </x:c>
      <x:c r="J855" s="316" t="n">
        <x:f>IFERROR(G855/F855,0)</x:f>
        <x:v>0.3333333333333333</x:v>
      </x:c>
      <x:c r="K855" s="312" t="str">
        <x:f>IF(B855="Bilinmeyen Personel","Kontrol","OK")</x:f>
        <x:v>OK</x:v>
      </x:c>
    </x:row>
    <x:row r="856" ht="15.75">
      <x:c r="A856" s="313" t="n">
        <x:f t="shared" si="13">ROW()-ROW($A$2)+1</x:f>
        <x:v>855</x:v>
      </x:c>
      <x:c r="B856" s="313" t="s">
        <x:v>9</x:v>
      </x:c>
      <x:c r="C856" s="313" t="s">
        <x:v>45</x:v>
      </x:c>
      <x:c r="D856" s="314">
        <x:v>3</x:v>
      </x:c>
      <x:c r="E856" s="320">
        <x:v>4200</x:v>
      </x:c>
      <x:c r="F856" s="320">
        <x:v>12600</x:v>
      </x:c>
      <x:c r="G856" s="320">
        <x:v>3600</x:v>
      </x:c>
      <x:c r="H856" s="313" t="s">
        <x:v>64</x:v>
      </x:c>
      <x:c r="I856" s="313" t="s">
        <x:v>37</x:v>
      </x:c>
      <x:c r="J856" s="316" t="n">
        <x:f>IFERROR(G856/F856,0)</x:f>
        <x:v>0.2857142857142857</x:v>
      </x:c>
      <x:c r="K856" s="312" t="str">
        <x:f>IF(B856="Bilinmeyen Personel","Kontrol","OK")</x:f>
        <x:v>OK</x:v>
      </x:c>
    </x:row>
    <x:row r="857" ht="15.75">
      <x:c r="A857" s="313" t="n">
        <x:f t="shared" si="13">ROW()-ROW($A$2)+1</x:f>
        <x:v>856</x:v>
      </x:c>
      <x:c r="B857" s="313" t="s">
        <x:v>48</x:v>
      </x:c>
      <x:c r="C857" s="313" t="s">
        <x:v>24</x:v>
      </x:c>
      <x:c r="D857" s="314">
        <x:v>3</x:v>
      </x:c>
      <x:c r="E857" s="320">
        <x:v>7600</x:v>
      </x:c>
      <x:c r="F857" s="320">
        <x:v>22800</x:v>
      </x:c>
      <x:c r="G857" s="320">
        <x:v>4800</x:v>
      </x:c>
      <x:c r="H857" s="313" t="s">
        <x:v>64</x:v>
      </x:c>
      <x:c r="I857" s="313" t="s">
        <x:v>15</x:v>
      </x:c>
      <x:c r="J857" s="316" t="n">
        <x:f>IFERROR(G857/F857,0)</x:f>
        <x:v>0.21052631578947367</x:v>
      </x:c>
      <x:c r="K857" s="312" t="str">
        <x:f>IF(B857="Bilinmeyen Personel","Kontrol","OK")</x:f>
        <x:v>OK</x:v>
      </x:c>
    </x:row>
    <x:row r="858" ht="15.75">
      <x:c r="A858" s="313" t="n">
        <x:f t="shared" si="13">ROW()-ROW($A$2)+1</x:f>
        <x:v>857</x:v>
      </x:c>
      <x:c r="B858" s="313" t="s">
        <x:v>29</x:v>
      </x:c>
      <x:c r="C858" s="313" t="s">
        <x:v>26</x:v>
      </x:c>
      <x:c r="D858" s="314">
        <x:v>2</x:v>
      </x:c>
      <x:c r="E858" s="320">
        <x:v>7250</x:v>
      </x:c>
      <x:c r="F858" s="320">
        <x:v>14500</x:v>
      </x:c>
      <x:c r="G858" s="320">
        <x:v>4500</x:v>
      </x:c>
      <x:c r="H858" s="313" t="s">
        <x:v>64</x:v>
      </x:c>
      <x:c r="I858" s="313" t="s">
        <x:v>31</x:v>
      </x:c>
      <x:c r="J858" s="316" t="n">
        <x:f>IFERROR(G858/F858,0)</x:f>
        <x:v>0.3103448275862069</x:v>
      </x:c>
      <x:c r="K858" s="312" t="str">
        <x:f>IF(B858="Bilinmeyen Personel","Kontrol","OK")</x:f>
        <x:v>OK</x:v>
      </x:c>
    </x:row>
    <x:row r="859" ht="15.75">
      <x:c r="A859" s="313" t="n">
        <x:f t="shared" si="13">ROW()-ROW($A$2)+1</x:f>
        <x:v>858</x:v>
      </x:c>
      <x:c r="B859" s="313" t="s">
        <x:v>13</x:v>
      </x:c>
      <x:c r="C859" s="313" t="s">
        <x:v>55</x:v>
      </x:c>
      <x:c r="D859" s="314">
        <x:v>2</x:v>
      </x:c>
      <x:c r="E859" s="320">
        <x:v>7530</x:v>
      </x:c>
      <x:c r="F859" s="320">
        <x:v>15060</x:v>
      </x:c>
      <x:c r="G859" s="320">
        <x:v>3060</x:v>
      </x:c>
      <x:c r="H859" s="313" t="s">
        <x:v>64</x:v>
      </x:c>
      <x:c r="I859" s="313" t="s">
        <x:v>54</x:v>
      </x:c>
      <x:c r="J859" s="316" t="n">
        <x:f>IFERROR(G859/F859,0)</x:f>
        <x:v>0.20318725099601595</x:v>
      </x:c>
      <x:c r="K859" s="312" t="str">
        <x:f>IF(B859="Bilinmeyen Personel","Kontrol","OK")</x:f>
        <x:v>OK</x:v>
      </x:c>
    </x:row>
    <x:row r="860" ht="15.75">
      <x:c r="A860" s="313" t="n">
        <x:f t="shared" si="13">ROW()-ROW($A$2)+1</x:f>
        <x:v>859</x:v>
      </x:c>
      <x:c r="B860" s="313" t="s">
        <x:v>16</x:v>
      </x:c>
      <x:c r="C860" s="313" t="s">
        <x:v>26</x:v>
      </x:c>
      <x:c r="D860" s="314">
        <x:v>2</x:v>
      </x:c>
      <x:c r="E860" s="320">
        <x:v>7250</x:v>
      </x:c>
      <x:c r="F860" s="320">
        <x:v>14500</x:v>
      </x:c>
      <x:c r="G860" s="320">
        <x:v>4500</x:v>
      </x:c>
      <x:c r="H860" s="313" t="s">
        <x:v>64</x:v>
      </x:c>
      <x:c r="I860" s="313" t="s">
        <x:v>25</x:v>
      </x:c>
      <x:c r="J860" s="316" t="n">
        <x:f>IFERROR(G860/F860,0)</x:f>
        <x:v>0.3103448275862069</x:v>
      </x:c>
      <x:c r="K860" s="312" t="str">
        <x:f>IF(B860="Bilinmeyen Personel","Kontrol","OK")</x:f>
        <x:v>OK</x:v>
      </x:c>
    </x:row>
    <x:row r="861" ht="15.75">
      <x:c r="A861" s="313" t="n">
        <x:f t="shared" si="13">ROW()-ROW($A$2)+1</x:f>
        <x:v>860</x:v>
      </x:c>
      <x:c r="B861" s="313" t="s">
        <x:v>13</x:v>
      </x:c>
      <x:c r="C861" s="313" t="s">
        <x:v>10</x:v>
      </x:c>
      <x:c r="D861" s="314">
        <x:v>1</x:v>
      </x:c>
      <x:c r="E861" s="320">
        <x:v>6000</x:v>
      </x:c>
      <x:c r="F861" s="320">
        <x:v>6000</x:v>
      </x:c>
      <x:c r="G861" s="320">
        <x:v>2000</x:v>
      </x:c>
      <x:c r="H861" s="313" t="s">
        <x:v>64</x:v>
      </x:c>
      <x:c r="I861" s="313" t="s">
        <x:v>15</x:v>
      </x:c>
      <x:c r="J861" s="316" t="n">
        <x:f>IFERROR(G861/F861,0)</x:f>
        <x:v>0.3333333333333333</x:v>
      </x:c>
      <x:c r="K861" s="312" t="str">
        <x:f>IF(B861="Bilinmeyen Personel","Kontrol","OK")</x:f>
        <x:v>OK</x:v>
      </x:c>
    </x:row>
    <x:row r="862" ht="15.75">
      <x:c r="A862" s="313" t="n">
        <x:f t="shared" si="13">ROW()-ROW($A$2)+1</x:f>
        <x:v>861</x:v>
      </x:c>
      <x:c r="B862" s="313" t="s">
        <x:v>29</x:v>
      </x:c>
      <x:c r="C862" s="313" t="s">
        <x:v>53</x:v>
      </x:c>
      <x:c r="D862" s="314">
        <x:v>3</x:v>
      </x:c>
      <x:c r="E862" s="320">
        <x:v>1200</x:v>
      </x:c>
      <x:c r="F862" s="320">
        <x:v>3600</x:v>
      </x:c>
      <x:c r="G862" s="320">
        <x:v>1200</x:v>
      </x:c>
      <x:c r="H862" s="313" t="s">
        <x:v>64</x:v>
      </x:c>
      <x:c r="I862" s="313" t="s">
        <x:v>41</x:v>
      </x:c>
      <x:c r="J862" s="316" t="n">
        <x:f>IFERROR(G862/F862,0)</x:f>
        <x:v>0.3333333333333333</x:v>
      </x:c>
      <x:c r="K862" s="312" t="str">
        <x:f>IF(B862="Bilinmeyen Personel","Kontrol","OK")</x:f>
        <x:v>OK</x:v>
      </x:c>
    </x:row>
    <x:row r="863" ht="15.75">
      <x:c r="A863" s="313" t="n">
        <x:f t="shared" si="13">ROW()-ROW($A$2)+1</x:f>
        <x:v>862</x:v>
      </x:c>
      <x:c r="B863" s="313" t="s">
        <x:v>50</x:v>
      </x:c>
      <x:c r="C863" s="313" t="s">
        <x:v>56</x:v>
      </x:c>
      <x:c r="D863" s="314">
        <x:v>2</x:v>
      </x:c>
      <x:c r="E863" s="320">
        <x:v>5300</x:v>
      </x:c>
      <x:c r="F863" s="320">
        <x:v>10600</x:v>
      </x:c>
      <x:c r="G863" s="320">
        <x:v>2600</x:v>
      </x:c>
      <x:c r="H863" s="313" t="s">
        <x:v>64</x:v>
      </x:c>
      <x:c r="I863" s="313" t="s">
        <x:v>37</x:v>
      </x:c>
      <x:c r="J863" s="316" t="n">
        <x:f>IFERROR(G863/F863,0)</x:f>
        <x:v>0.24528301886792453</x:v>
      </x:c>
      <x:c r="K863" s="312" t="str">
        <x:f>IF(B863="Bilinmeyen Personel","Kontrol","OK")</x:f>
        <x:v>OK</x:v>
      </x:c>
    </x:row>
    <x:row r="864" ht="15.75">
      <x:c r="A864" s="313" t="n">
        <x:f t="shared" si="13">ROW()-ROW($A$2)+1</x:f>
        <x:v>863</x:v>
      </x:c>
      <x:c r="B864" s="313" t="s">
        <x:v>38</x:v>
      </x:c>
      <x:c r="C864" s="313" t="s">
        <x:v>17</x:v>
      </x:c>
      <x:c r="D864" s="314">
        <x:v>2</x:v>
      </x:c>
      <x:c r="E864" s="320">
        <x:v>8450</x:v>
      </x:c>
      <x:c r="F864" s="320">
        <x:v>16900</x:v>
      </x:c>
      <x:c r="G864" s="320">
        <x:v>4900</x:v>
      </x:c>
      <x:c r="H864" s="313" t="s">
        <x:v>64</x:v>
      </x:c>
      <x:c r="I864" s="313" t="s">
        <x:v>54</x:v>
      </x:c>
      <x:c r="J864" s="316" t="n">
        <x:f>IFERROR(G864/F864,0)</x:f>
        <x:v>0.28994082840236685</x:v>
      </x:c>
      <x:c r="K864" s="312" t="str">
        <x:f>IF(B864="Bilinmeyen Personel","Kontrol","OK")</x:f>
        <x:v>OK</x:v>
      </x:c>
    </x:row>
    <x:row r="865" ht="15.75">
      <x:c r="A865" s="313" t="n">
        <x:f t="shared" si="13">ROW()-ROW($A$2)+1</x:f>
        <x:v>864</x:v>
      </x:c>
      <x:c r="B865" s="313" t="s">
        <x:v>23</x:v>
      </x:c>
      <x:c r="C865" s="313" t="s">
        <x:v>20</x:v>
      </x:c>
      <x:c r="D865" s="314">
        <x:v>1</x:v>
      </x:c>
      <x:c r="E865" s="320">
        <x:v>1350</x:v>
      </x:c>
      <x:c r="F865" s="320">
        <x:v>1350</x:v>
      </x:c>
      <x:c r="G865" s="320">
        <x:v>550</x:v>
      </x:c>
      <x:c r="H865" s="313" t="s">
        <x:v>64</x:v>
      </x:c>
      <x:c r="I865" s="313" t="s">
        <x:v>37</x:v>
      </x:c>
      <x:c r="J865" s="316" t="n">
        <x:f>IFERROR(G865/F865,0)</x:f>
        <x:v>0.4074074074074074</x:v>
      </x:c>
      <x:c r="K865" s="312" t="str">
        <x:f>IF(B865="Bilinmeyen Personel","Kontrol","OK")</x:f>
        <x:v>OK</x:v>
      </x:c>
    </x:row>
    <x:row r="866" ht="15.75">
      <x:c r="A866" s="313" t="n">
        <x:f t="shared" si="13">ROW()-ROW($A$2)+1</x:f>
        <x:v>865</x:v>
      </x:c>
      <x:c r="B866" s="313" t="s">
        <x:v>32</x:v>
      </x:c>
      <x:c r="C866" s="313" t="s">
        <x:v>34</x:v>
      </x:c>
      <x:c r="D866" s="314">
        <x:v>1</x:v>
      </x:c>
      <x:c r="E866" s="320">
        <x:v>1090</x:v>
      </x:c>
      <x:c r="F866" s="320">
        <x:v>1090</x:v>
      </x:c>
      <x:c r="G866" s="320">
        <x:v>290</x:v>
      </x:c>
      <x:c r="H866" s="313" t="s">
        <x:v>64</x:v>
      </x:c>
      <x:c r="I866" s="313" t="s">
        <x:v>18</x:v>
      </x:c>
      <x:c r="J866" s="316" t="n">
        <x:f>IFERROR(G866/F866,0)</x:f>
        <x:v>0.26605504587155965</x:v>
      </x:c>
      <x:c r="K866" s="312" t="str">
        <x:f>IF(B866="Bilinmeyen Personel","Kontrol","OK")</x:f>
        <x:v>OK</x:v>
      </x:c>
    </x:row>
    <x:row r="867" ht="15.75">
      <x:c r="A867" s="313" t="n">
        <x:f t="shared" si="13">ROW()-ROW($A$2)+1</x:f>
        <x:v>866</x:v>
      </x:c>
      <x:c r="B867" s="313" t="s">
        <x:v>23</x:v>
      </x:c>
      <x:c r="C867" s="313" t="s">
        <x:v>22</x:v>
      </x:c>
      <x:c r="D867" s="314">
        <x:v>1</x:v>
      </x:c>
      <x:c r="E867" s="320">
        <x:v>2180</x:v>
      </x:c>
      <x:c r="F867" s="320">
        <x:v>2180</x:v>
      </x:c>
      <x:c r="G867" s="320">
        <x:v>680</x:v>
      </x:c>
      <x:c r="H867" s="313" t="s">
        <x:v>64</x:v>
      </x:c>
      <x:c r="I867" s="313" t="s">
        <x:v>42</x:v>
      </x:c>
      <x:c r="J867" s="316" t="n">
        <x:f>IFERROR(G867/F867,0)</x:f>
        <x:v>0.3119266055045872</x:v>
      </x:c>
      <x:c r="K867" s="312" t="str">
        <x:f>IF(B867="Bilinmeyen Personel","Kontrol","OK")</x:f>
        <x:v>OK</x:v>
      </x:c>
    </x:row>
    <x:row r="868" ht="15.75">
      <x:c r="A868" s="313" t="n">
        <x:f t="shared" si="13">ROW()-ROW($A$2)+1</x:f>
        <x:v>867</x:v>
      </x:c>
      <x:c r="B868" s="313" t="s">
        <x:v>9</x:v>
      </x:c>
      <x:c r="C868" s="313" t="s">
        <x:v>10</x:v>
      </x:c>
      <x:c r="D868" s="314">
        <x:v>2</x:v>
      </x:c>
      <x:c r="E868" s="320">
        <x:v>6000</x:v>
      </x:c>
      <x:c r="F868" s="320">
        <x:v>12000</x:v>
      </x:c>
      <x:c r="G868" s="320">
        <x:v>4000</x:v>
      </x:c>
      <x:c r="H868" s="313" t="s">
        <x:v>64</x:v>
      </x:c>
      <x:c r="I868" s="313" t="s">
        <x:v>12</x:v>
      </x:c>
      <x:c r="J868" s="316" t="n">
        <x:f>IFERROR(G868/F868,0)</x:f>
        <x:v>0.3333333333333333</x:v>
      </x:c>
      <x:c r="K868" s="312" t="str">
        <x:f>IF(B868="Bilinmeyen Personel","Kontrol","OK")</x:f>
        <x:v>OK</x:v>
      </x:c>
    </x:row>
    <x:row r="869" ht="15.75">
      <x:c r="A869" s="313" t="n">
        <x:f t="shared" si="13">ROW()-ROW($A$2)+1</x:f>
        <x:v>868</x:v>
      </x:c>
      <x:c r="B869" s="313" t="s">
        <x:v>13</x:v>
      </x:c>
      <x:c r="C869" s="313" t="s">
        <x:v>14</x:v>
      </x:c>
      <x:c r="D869" s="314">
        <x:v>2</x:v>
      </x:c>
      <x:c r="E869" s="320">
        <x:v>1400</x:v>
      </x:c>
      <x:c r="F869" s="320">
        <x:v>2800</x:v>
      </x:c>
      <x:c r="G869" s="320">
        <x:v>1200</x:v>
      </x:c>
      <x:c r="H869" s="313" t="s">
        <x:v>64</x:v>
      </x:c>
      <x:c r="I869" s="313" t="s">
        <x:v>54</x:v>
      </x:c>
      <x:c r="J869" s="316" t="n">
        <x:f>IFERROR(G869/F869,0)</x:f>
        <x:v>0.42857142857142855</x:v>
      </x:c>
      <x:c r="K869" s="312" t="str">
        <x:f>IF(B869="Bilinmeyen Personel","Kontrol","OK")</x:f>
        <x:v>OK</x:v>
      </x:c>
    </x:row>
    <x:row r="870" ht="15.75">
      <x:c r="A870" s="313" t="n">
        <x:f t="shared" si="13">ROW()-ROW($A$2)+1</x:f>
        <x:v>869</x:v>
      </x:c>
      <x:c r="B870" s="313" t="s">
        <x:v>16</x:v>
      </x:c>
      <x:c r="C870" s="313" t="s">
        <x:v>17</x:v>
      </x:c>
      <x:c r="D870" s="314">
        <x:v>2</x:v>
      </x:c>
      <x:c r="E870" s="320">
        <x:v>8450</x:v>
      </x:c>
      <x:c r="F870" s="320">
        <x:v>16900</x:v>
      </x:c>
      <x:c r="G870" s="320">
        <x:v>4900</x:v>
      </x:c>
      <x:c r="H870" s="313" t="s">
        <x:v>64</x:v>
      </x:c>
      <x:c r="I870" s="313" t="s">
        <x:v>42</x:v>
      </x:c>
      <x:c r="J870" s="316" t="n">
        <x:f>IFERROR(G870/F870,0)</x:f>
        <x:v>0.28994082840236685</x:v>
      </x:c>
      <x:c r="K870" s="312" t="str">
        <x:f>IF(B870="Bilinmeyen Personel","Kontrol","OK")</x:f>
        <x:v>OK</x:v>
      </x:c>
    </x:row>
    <x:row r="871" ht="15.75">
      <x:c r="A871" s="313" t="n">
        <x:f t="shared" si="13">ROW()-ROW($A$2)+1</x:f>
        <x:v>870</x:v>
      </x:c>
      <x:c r="B871" s="313" t="s">
        <x:v>19</x:v>
      </x:c>
      <x:c r="C871" s="313" t="s">
        <x:v>20</x:v>
      </x:c>
      <x:c r="D871" s="314">
        <x:v>3</x:v>
      </x:c>
      <x:c r="E871" s="320">
        <x:v>1350</x:v>
      </x:c>
      <x:c r="F871" s="320">
        <x:v>4050</x:v>
      </x:c>
      <x:c r="G871" s="320">
        <x:v>1650</x:v>
      </x:c>
      <x:c r="H871" s="313" t="s">
        <x:v>64</x:v>
      </x:c>
      <x:c r="I871" s="313" t="s">
        <x:v>37</x:v>
      </x:c>
      <x:c r="J871" s="316" t="n">
        <x:f>IFERROR(G871/F871,0)</x:f>
        <x:v>0.4074074074074074</x:v>
      </x:c>
      <x:c r="K871" s="312" t="str">
        <x:f>IF(B871="Bilinmeyen Personel","Kontrol","OK")</x:f>
        <x:v>OK</x:v>
      </x:c>
    </x:row>
    <x:row r="872" ht="15.75">
      <x:c r="A872" s="313" t="n">
        <x:f t="shared" si="13">ROW()-ROW($A$2)+1</x:f>
        <x:v>871</x:v>
      </x:c>
      <x:c r="B872" s="313" t="s">
        <x:v>9</x:v>
      </x:c>
      <x:c r="C872" s="313" t="s">
        <x:v>22</x:v>
      </x:c>
      <x:c r="D872" s="314">
        <x:v>2</x:v>
      </x:c>
      <x:c r="E872" s="320">
        <x:v>2180</x:v>
      </x:c>
      <x:c r="F872" s="320">
        <x:v>4360</x:v>
      </x:c>
      <x:c r="G872" s="320">
        <x:v>1360</x:v>
      </x:c>
      <x:c r="H872" s="313" t="s">
        <x:v>64</x:v>
      </x:c>
      <x:c r="I872" s="313" t="s">
        <x:v>21</x:v>
      </x:c>
      <x:c r="J872" s="316" t="n">
        <x:f>IFERROR(G872/F872,0)</x:f>
        <x:v>0.3119266055045872</x:v>
      </x:c>
      <x:c r="K872" s="312" t="str">
        <x:f>IF(B872="Bilinmeyen Personel","Kontrol","OK")</x:f>
        <x:v>OK</x:v>
      </x:c>
    </x:row>
    <x:row r="873" ht="15.75">
      <x:c r="A873" s="313" t="n">
        <x:f t="shared" si="13">ROW()-ROW($A$2)+1</x:f>
        <x:v>872</x:v>
      </x:c>
      <x:c r="B873" s="313" t="s">
        <x:v>23</x:v>
      </x:c>
      <x:c r="C873" s="313" t="s">
        <x:v>24</x:v>
      </x:c>
      <x:c r="D873" s="314">
        <x:v>2</x:v>
      </x:c>
      <x:c r="E873" s="320">
        <x:v>7600</x:v>
      </x:c>
      <x:c r="F873" s="320">
        <x:v>15200</x:v>
      </x:c>
      <x:c r="G873" s="320">
        <x:v>3200</x:v>
      </x:c>
      <x:c r="H873" s="313" t="s">
        <x:v>64</x:v>
      </x:c>
      <x:c r="I873" s="313" t="s">
        <x:v>41</x:v>
      </x:c>
      <x:c r="J873" s="316" t="n">
        <x:f>IFERROR(G873/F873,0)</x:f>
        <x:v>0.21052631578947367</x:v>
      </x:c>
      <x:c r="K873" s="312" t="str">
        <x:f>IF(B873="Bilinmeyen Personel","Kontrol","OK")</x:f>
        <x:v>OK</x:v>
      </x:c>
    </x:row>
    <x:row r="874" ht="15.75">
      <x:c r="A874" s="313" t="n">
        <x:f t="shared" si="13">ROW()-ROW($A$2)+1</x:f>
        <x:v>873</x:v>
      </x:c>
      <x:c r="B874" s="313" t="s">
        <x:v>13</x:v>
      </x:c>
      <x:c r="C874" s="313" t="s">
        <x:v>26</x:v>
      </x:c>
      <x:c r="D874" s="314">
        <x:v>2</x:v>
      </x:c>
      <x:c r="E874" s="320">
        <x:v>7250</x:v>
      </x:c>
      <x:c r="F874" s="320">
        <x:v>14500</x:v>
      </x:c>
      <x:c r="G874" s="320">
        <x:v>4500</x:v>
      </x:c>
      <x:c r="H874" s="313" t="s">
        <x:v>64</x:v>
      </x:c>
      <x:c r="I874" s="313" t="s">
        <x:v>15</x:v>
      </x:c>
      <x:c r="J874" s="316" t="n">
        <x:f>IFERROR(G874/F874,0)</x:f>
        <x:v>0.3103448275862069</x:v>
      </x:c>
      <x:c r="K874" s="312" t="str">
        <x:f>IF(B874="Bilinmeyen Personel","Kontrol","OK")</x:f>
        <x:v>OK</x:v>
      </x:c>
    </x:row>
    <x:row r="875" ht="15.75">
      <x:c r="A875" s="313" t="n">
        <x:f t="shared" si="13">ROW()-ROW($A$2)+1</x:f>
        <x:v>874</x:v>
      </x:c>
      <x:c r="B875" s="313" t="s">
        <x:v>19</x:v>
      </x:c>
      <x:c r="C875" s="313" t="s">
        <x:v>27</x:v>
      </x:c>
      <x:c r="D875" s="314">
        <x:v>3</x:v>
      </x:c>
      <x:c r="E875" s="320">
        <x:v>1100</x:v>
      </x:c>
      <x:c r="F875" s="320">
        <x:v>3300</x:v>
      </x:c>
      <x:c r="G875" s="320">
        <x:v>900</x:v>
      </x:c>
      <x:c r="H875" s="313" t="s">
        <x:v>64</x:v>
      </x:c>
      <x:c r="I875" s="313" t="s">
        <x:v>31</x:v>
      </x:c>
      <x:c r="J875" s="316" t="n">
        <x:f>IFERROR(G875/F875,0)</x:f>
        <x:v>0.2727272727272727</x:v>
      </x:c>
      <x:c r="K875" s="312" t="str">
        <x:f>IF(B875="Bilinmeyen Personel","Kontrol","OK")</x:f>
        <x:v>OK</x:v>
      </x:c>
    </x:row>
    <x:row r="876" ht="15.75">
      <x:c r="A876" s="313" t="n">
        <x:f t="shared" si="13">ROW()-ROW($A$2)+1</x:f>
        <x:v>875</x:v>
      </x:c>
      <x:c r="B876" s="313" t="s">
        <x:v>29</x:v>
      </x:c>
      <x:c r="C876" s="313" t="s">
        <x:v>10</x:v>
      </x:c>
      <x:c r="D876" s="314">
        <x:v>2</x:v>
      </x:c>
      <x:c r="E876" s="320">
        <x:v>6000</x:v>
      </x:c>
      <x:c r="F876" s="320">
        <x:v>12000</x:v>
      </x:c>
      <x:c r="G876" s="320">
        <x:v>4000</x:v>
      </x:c>
      <x:c r="H876" s="313" t="s">
        <x:v>64</x:v>
      </x:c>
      <x:c r="I876" s="313" t="s">
        <x:v>25</x:v>
      </x:c>
      <x:c r="J876" s="316" t="n">
        <x:f>IFERROR(G876/F876,0)</x:f>
        <x:v>0.3333333333333333</x:v>
      </x:c>
      <x:c r="K876" s="312" t="str">
        <x:f>IF(B876="Bilinmeyen Personel","Kontrol","OK")</x:f>
        <x:v>OK</x:v>
      </x:c>
    </x:row>
    <x:row r="877" ht="15.75">
      <x:c r="A877" s="313" t="n">
        <x:f t="shared" si="13">ROW()-ROW($A$2)+1</x:f>
        <x:v>876</x:v>
      </x:c>
      <x:c r="B877" s="313" t="s">
        <x:v>9</x:v>
      </x:c>
      <x:c r="C877" s="313" t="s">
        <x:v>30</x:v>
      </x:c>
      <x:c r="D877" s="314">
        <x:v>1</x:v>
      </x:c>
      <x:c r="E877" s="320">
        <x:v>1200</x:v>
      </x:c>
      <x:c r="F877" s="320">
        <x:v>1200</x:v>
      </x:c>
      <x:c r="G877" s="320">
        <x:v>400</x:v>
      </x:c>
      <x:c r="H877" s="313" t="s">
        <x:v>64</x:v>
      </x:c>
      <x:c r="I877" s="313" t="s">
        <x:v>42</x:v>
      </x:c>
      <x:c r="J877" s="316" t="n">
        <x:f>IFERROR(G877/F877,0)</x:f>
        <x:v>0.3333333333333333</x:v>
      </x:c>
      <x:c r="K877" s="312" t="str">
        <x:f>IF(B877="Bilinmeyen Personel","Kontrol","OK")</x:f>
        <x:v>OK</x:v>
      </x:c>
    </x:row>
    <x:row r="878" ht="15.75">
      <x:c r="A878" s="313" t="n">
        <x:f t="shared" si="13">ROW()-ROW($A$2)+1</x:f>
        <x:v>877</x:v>
      </x:c>
      <x:c r="B878" s="313" t="s">
        <x:v>32</x:v>
      </x:c>
      <x:c r="C878" s="313" t="s">
        <x:v>33</x:v>
      </x:c>
      <x:c r="D878" s="314">
        <x:v>2</x:v>
      </x:c>
      <x:c r="E878" s="320">
        <x:v>1800</x:v>
      </x:c>
      <x:c r="F878" s="320">
        <x:v>3600</x:v>
      </x:c>
      <x:c r="G878" s="320">
        <x:v>2000</x:v>
      </x:c>
      <x:c r="H878" s="313" t="s">
        <x:v>64</x:v>
      </x:c>
      <x:c r="I878" s="313" t="s">
        <x:v>28</x:v>
      </x:c>
      <x:c r="J878" s="316" t="n">
        <x:f>IFERROR(G878/F878,0)</x:f>
        <x:v>0.5555555555555556</x:v>
      </x:c>
      <x:c r="K878" s="312" t="str">
        <x:f>IF(B878="Bilinmeyen Personel","Kontrol","OK")</x:f>
        <x:v>OK</x:v>
      </x:c>
    </x:row>
    <x:row r="879" ht="15.75">
      <x:c r="A879" s="313" t="n">
        <x:f t="shared" si="13">ROW()-ROW($A$2)+1</x:f>
        <x:v>878</x:v>
      </x:c>
      <x:c r="B879" s="313" t="s">
        <x:v>32</x:v>
      </x:c>
      <x:c r="C879" s="313" t="s">
        <x:v>34</x:v>
      </x:c>
      <x:c r="D879" s="314">
        <x:v>2</x:v>
      </x:c>
      <x:c r="E879" s="320">
        <x:v>1090</x:v>
      </x:c>
      <x:c r="F879" s="320">
        <x:v>2180</x:v>
      </x:c>
      <x:c r="G879" s="320">
        <x:v>580</x:v>
      </x:c>
      <x:c r="H879" s="313" t="s">
        <x:v>64</x:v>
      </x:c>
      <x:c r="I879" s="313" t="s">
        <x:v>42</x:v>
      </x:c>
      <x:c r="J879" s="316" t="n">
        <x:f>IFERROR(G879/F879,0)</x:f>
        <x:v>0.26605504587155965</x:v>
      </x:c>
      <x:c r="K879" s="312" t="str">
        <x:f>IF(B879="Bilinmeyen Personel","Kontrol","OK")</x:f>
        <x:v>OK</x:v>
      </x:c>
    </x:row>
    <x:row r="880" ht="15.75">
      <x:c r="A880" s="313" t="n">
        <x:f t="shared" si="13">ROW()-ROW($A$2)+1</x:f>
        <x:v>879</x:v>
      </x:c>
      <x:c r="B880" s="313" t="s">
        <x:v>29</x:v>
      </x:c>
      <x:c r="C880" s="313" t="s">
        <x:v>22</x:v>
      </x:c>
      <x:c r="D880" s="314">
        <x:v>3</x:v>
      </x:c>
      <x:c r="E880" s="320">
        <x:v>2180</x:v>
      </x:c>
      <x:c r="F880" s="320">
        <x:v>6540</x:v>
      </x:c>
      <x:c r="G880" s="320">
        <x:v>2040</x:v>
      </x:c>
      <x:c r="H880" s="313" t="s">
        <x:v>64</x:v>
      </x:c>
      <x:c r="I880" s="313" t="s">
        <x:v>28</x:v>
      </x:c>
      <x:c r="J880" s="316" t="n">
        <x:f>IFERROR(G880/F880,0)</x:f>
        <x:v>0.3119266055045872</x:v>
      </x:c>
      <x:c r="K880" s="312" t="str">
        <x:f>IF(B880="Bilinmeyen Personel","Kontrol","OK")</x:f>
        <x:v>OK</x:v>
      </x:c>
    </x:row>
    <x:row r="881" ht="15.75">
      <x:c r="A881" s="313" t="n">
        <x:f t="shared" si="13">ROW()-ROW($A$2)+1</x:f>
        <x:v>880</x:v>
      </x:c>
      <x:c r="B881" s="313" t="s">
        <x:v>35</x:v>
      </x:c>
      <x:c r="C881" s="313" t="s">
        <x:v>33</x:v>
      </x:c>
      <x:c r="D881" s="314">
        <x:v>3</x:v>
      </x:c>
      <x:c r="E881" s="320">
        <x:v>1800</x:v>
      </x:c>
      <x:c r="F881" s="320">
        <x:v>5400</x:v>
      </x:c>
      <x:c r="G881" s="320">
        <x:v>3000</x:v>
      </x:c>
      <x:c r="H881" s="313" t="s">
        <x:v>64</x:v>
      </x:c>
      <x:c r="I881" s="313" t="s">
        <x:v>44</x:v>
      </x:c>
      <x:c r="J881" s="316" t="n">
        <x:f>IFERROR(G881/F881,0)</x:f>
        <x:v>0.5555555555555556</x:v>
      </x:c>
      <x:c r="K881" s="312" t="str">
        <x:f>IF(B881="Bilinmeyen Personel","Kontrol","OK")</x:f>
        <x:v>OK</x:v>
      </x:c>
    </x:row>
    <x:row r="882" ht="15.75">
      <x:c r="A882" s="313" t="n">
        <x:f t="shared" si="13">ROW()-ROW($A$2)+1</x:f>
        <x:v>881</x:v>
      </x:c>
      <x:c r="B882" s="313" t="s">
        <x:v>23</x:v>
      </x:c>
      <x:c r="C882" s="313" t="s">
        <x:v>36</x:v>
      </x:c>
      <x:c r="D882" s="314">
        <x:v>3</x:v>
      </x:c>
      <x:c r="E882" s="320">
        <x:v>8000</x:v>
      </x:c>
      <x:c r="F882" s="320">
        <x:v>24000</x:v>
      </x:c>
      <x:c r="G882" s="320">
        <x:v>6000</x:v>
      </x:c>
      <x:c r="H882" s="313" t="s">
        <x:v>64</x:v>
      </x:c>
      <x:c r="I882" s="313" t="s">
        <x:v>12</x:v>
      </x:c>
      <x:c r="J882" s="316" t="n">
        <x:f>IFERROR(G882/F882,0)</x:f>
        <x:v>0.25</x:v>
      </x:c>
      <x:c r="K882" s="312" t="str">
        <x:f>IF(B882="Bilinmeyen Personel","Kontrol","OK")</x:f>
        <x:v>OK</x:v>
      </x:c>
    </x:row>
    <x:row r="883" ht="15.75">
      <x:c r="A883" s="313" t="n">
        <x:f t="shared" si="13">ROW()-ROW($A$2)+1</x:f>
        <x:v>882</x:v>
      </x:c>
      <x:c r="B883" s="313" t="s">
        <x:v>29</x:v>
      </x:c>
      <x:c r="C883" s="313" t="s">
        <x:v>14</x:v>
      </x:c>
      <x:c r="D883" s="314">
        <x:v>1</x:v>
      </x:c>
      <x:c r="E883" s="320">
        <x:v>1400</x:v>
      </x:c>
      <x:c r="F883" s="320">
        <x:v>1400</x:v>
      </x:c>
      <x:c r="G883" s="320">
        <x:v>600</x:v>
      </x:c>
      <x:c r="H883" s="313" t="s">
        <x:v>64</x:v>
      </x:c>
      <x:c r="I883" s="313" t="s">
        <x:v>42</x:v>
      </x:c>
      <x:c r="J883" s="316" t="n">
        <x:f>IFERROR(G883/F883,0)</x:f>
        <x:v>0.42857142857142855</x:v>
      </x:c>
      <x:c r="K883" s="312" t="str">
        <x:f>IF(B883="Bilinmeyen Personel","Kontrol","OK")</x:f>
        <x:v>OK</x:v>
      </x:c>
    </x:row>
    <x:row r="884" ht="15.75">
      <x:c r="A884" s="313" t="n">
        <x:f t="shared" si="13">ROW()-ROW($A$2)+1</x:f>
        <x:v>883</x:v>
      </x:c>
      <x:c r="B884" s="313" t="s">
        <x:v>38</x:v>
      </x:c>
      <x:c r="C884" s="313" t="s">
        <x:v>39</x:v>
      </x:c>
      <x:c r="D884" s="314">
        <x:v>1</x:v>
      </x:c>
      <x:c r="E884" s="320">
        <x:v>10590</x:v>
      </x:c>
      <x:c r="F884" s="320">
        <x:v>10590</x:v>
      </x:c>
      <x:c r="G884" s="320">
        <x:v>4590</x:v>
      </x:c>
      <x:c r="H884" s="313" t="s">
        <x:v>64</x:v>
      </x:c>
      <x:c r="I884" s="313" t="s">
        <x:v>37</x:v>
      </x:c>
      <x:c r="J884" s="316" t="n">
        <x:f>IFERROR(G884/F884,0)</x:f>
        <x:v>0.43342776203966005</x:v>
      </x:c>
      <x:c r="K884" s="312" t="str">
        <x:f>IF(B884="Bilinmeyen Personel","Kontrol","OK")</x:f>
        <x:v>OK</x:v>
      </x:c>
    </x:row>
    <x:row r="885" ht="15.75">
      <x:c r="A885" s="313" t="n">
        <x:f t="shared" si="13">ROW()-ROW($A$2)+1</x:f>
        <x:v>884</x:v>
      </x:c>
      <x:c r="B885" s="313" t="s">
        <x:v>40</x:v>
      </x:c>
      <x:c r="C885" s="313" t="s">
        <x:v>20</x:v>
      </x:c>
      <x:c r="D885" s="314">
        <x:v>2</x:v>
      </x:c>
      <x:c r="E885" s="320">
        <x:v>1350</x:v>
      </x:c>
      <x:c r="F885" s="320">
        <x:v>2700</x:v>
      </x:c>
      <x:c r="G885" s="320">
        <x:v>1100</x:v>
      </x:c>
      <x:c r="H885" s="313" t="s">
        <x:v>64</x:v>
      </x:c>
      <x:c r="I885" s="313" t="s">
        <x:v>12</x:v>
      </x:c>
      <x:c r="J885" s="316" t="n">
        <x:f>IFERROR(G885/F885,0)</x:f>
        <x:v>0.4074074074074074</x:v>
      </x:c>
      <x:c r="K885" s="312" t="str">
        <x:f>IF(B885="Bilinmeyen Personel","Kontrol","OK")</x:f>
        <x:v>OK</x:v>
      </x:c>
    </x:row>
    <x:row r="886" ht="15.75">
      <x:c r="A886" s="313" t="n">
        <x:f t="shared" si="13">ROW()-ROW($A$2)+1</x:f>
        <x:v>885</x:v>
      </x:c>
      <x:c r="B886" s="313" t="s">
        <x:v>32</x:v>
      </x:c>
      <x:c r="C886" s="313" t="s">
        <x:v>14</x:v>
      </x:c>
      <x:c r="D886" s="314">
        <x:v>2</x:v>
      </x:c>
      <x:c r="E886" s="320">
        <x:v>1400</x:v>
      </x:c>
      <x:c r="F886" s="320">
        <x:v>2800</x:v>
      </x:c>
      <x:c r="G886" s="320">
        <x:v>1200</x:v>
      </x:c>
      <x:c r="H886" s="313" t="s">
        <x:v>64</x:v>
      </x:c>
      <x:c r="I886" s="313" t="s">
        <x:v>41</x:v>
      </x:c>
      <x:c r="J886" s="316" t="n">
        <x:f>IFERROR(G886/F886,0)</x:f>
        <x:v>0.42857142857142855</x:v>
      </x:c>
      <x:c r="K886" s="312" t="str">
        <x:f>IF(B886="Bilinmeyen Personel","Kontrol","OK")</x:f>
        <x:v>OK</x:v>
      </x:c>
    </x:row>
    <x:row r="887" ht="15.75">
      <x:c r="A887" s="313" t="n">
        <x:f t="shared" si="13">ROW()-ROW($A$2)+1</x:f>
        <x:v>886</x:v>
      </x:c>
      <x:c r="B887" s="313" t="s">
        <x:v>19</x:v>
      </x:c>
      <x:c r="C887" s="313" t="s">
        <x:v>10</x:v>
      </x:c>
      <x:c r="D887" s="314">
        <x:v>1</x:v>
      </x:c>
      <x:c r="E887" s="320">
        <x:v>6000</x:v>
      </x:c>
      <x:c r="F887" s="320">
        <x:v>6000</x:v>
      </x:c>
      <x:c r="G887" s="320">
        <x:v>2000</x:v>
      </x:c>
      <x:c r="H887" s="313" t="s">
        <x:v>64</x:v>
      </x:c>
      <x:c r="I887" s="313" t="s">
        <x:v>31</x:v>
      </x:c>
      <x:c r="J887" s="316" t="n">
        <x:f>IFERROR(G887/F887,0)</x:f>
        <x:v>0.3333333333333333</x:v>
      </x:c>
      <x:c r="K887" s="312" t="str">
        <x:f>IF(B887="Bilinmeyen Personel","Kontrol","OK")</x:f>
        <x:v>OK</x:v>
      </x:c>
    </x:row>
    <x:row r="888" ht="15.75">
      <x:c r="A888" s="313" t="n">
        <x:f t="shared" si="13">ROW()-ROW($A$2)+1</x:f>
        <x:v>887</x:v>
      </x:c>
      <x:c r="B888" s="313" t="s">
        <x:v>38</x:v>
      </x:c>
      <x:c r="C888" s="313" t="s">
        <x:v>27</x:v>
      </x:c>
      <x:c r="D888" s="314">
        <x:v>2</x:v>
      </x:c>
      <x:c r="E888" s="320">
        <x:v>1100</x:v>
      </x:c>
      <x:c r="F888" s="320">
        <x:v>2200</x:v>
      </x:c>
      <x:c r="G888" s="320">
        <x:v>600</x:v>
      </x:c>
      <x:c r="H888" s="313" t="s">
        <x:v>64</x:v>
      </x:c>
      <x:c r="I888" s="313" t="s">
        <x:v>21</x:v>
      </x:c>
      <x:c r="J888" s="316" t="n">
        <x:f>IFERROR(G888/F888,0)</x:f>
        <x:v>0.2727272727272727</x:v>
      </x:c>
      <x:c r="K888" s="312" t="str">
        <x:f>IF(B888="Bilinmeyen Personel","Kontrol","OK")</x:f>
        <x:v>OK</x:v>
      </x:c>
    </x:row>
    <x:row r="889" ht="15.75">
      <x:c r="A889" s="313" t="n">
        <x:f t="shared" si="13">ROW()-ROW($A$2)+1</x:f>
        <x:v>888</x:v>
      </x:c>
      <x:c r="B889" s="313" t="s">
        <x:v>16</x:v>
      </x:c>
      <x:c r="C889" s="313" t="s">
        <x:v>10</x:v>
      </x:c>
      <x:c r="D889" s="314">
        <x:v>2</x:v>
      </x:c>
      <x:c r="E889" s="320">
        <x:v>6000</x:v>
      </x:c>
      <x:c r="F889" s="320">
        <x:v>12000</x:v>
      </x:c>
      <x:c r="G889" s="320">
        <x:v>4000</x:v>
      </x:c>
      <x:c r="H889" s="313" t="s">
        <x:v>64</x:v>
      </x:c>
      <x:c r="I889" s="313" t="s">
        <x:v>46</x:v>
      </x:c>
      <x:c r="J889" s="316" t="n">
        <x:f>IFERROR(G889/F889,0)</x:f>
        <x:v>0.3333333333333333</x:v>
      </x:c>
      <x:c r="K889" s="312" t="str">
        <x:f>IF(B889="Bilinmeyen Personel","Kontrol","OK")</x:f>
        <x:v>OK</x:v>
      </x:c>
    </x:row>
    <x:row r="890" ht="15.75">
      <x:c r="A890" s="313" t="n">
        <x:f t="shared" si="13">ROW()-ROW($A$2)+1</x:f>
        <x:v>889</x:v>
      </x:c>
      <x:c r="B890" s="313" t="s">
        <x:v>40</x:v>
      </x:c>
      <x:c r="C890" s="313" t="s">
        <x:v>43</x:v>
      </x:c>
      <x:c r="D890" s="314">
        <x:v>1</x:v>
      </x:c>
      <x:c r="E890" s="320">
        <x:v>1490</x:v>
      </x:c>
      <x:c r="F890" s="320">
        <x:v>1490</x:v>
      </x:c>
      <x:c r="G890" s="320">
        <x:v>690</x:v>
      </x:c>
      <x:c r="H890" s="313" t="s">
        <x:v>64</x:v>
      </x:c>
      <x:c r="I890" s="313" t="s">
        <x:v>15</x:v>
      </x:c>
      <x:c r="J890" s="316" t="n">
        <x:f>IFERROR(G890/F890,0)</x:f>
        <x:v>0.46308724832214765</x:v>
      </x:c>
      <x:c r="K890" s="312" t="str">
        <x:f>IF(B890="Bilinmeyen Personel","Kontrol","OK")</x:f>
        <x:v>OK</x:v>
      </x:c>
    </x:row>
    <x:row r="891" ht="15.75">
      <x:c r="A891" s="313" t="n">
        <x:f t="shared" si="13">ROW()-ROW($A$2)+1</x:f>
        <x:v>890</x:v>
      </x:c>
      <x:c r="B891" s="313" t="s">
        <x:v>38</x:v>
      </x:c>
      <x:c r="C891" s="313" t="s">
        <x:v>39</x:v>
      </x:c>
      <x:c r="D891" s="314">
        <x:v>2</x:v>
      </x:c>
      <x:c r="E891" s="320">
        <x:v>10590</x:v>
      </x:c>
      <x:c r="F891" s="320">
        <x:v>21180</x:v>
      </x:c>
      <x:c r="G891" s="320">
        <x:v>9180</x:v>
      </x:c>
      <x:c r="H891" s="313" t="s">
        <x:v>64</x:v>
      </x:c>
      <x:c r="I891" s="313" t="s">
        <x:v>12</x:v>
      </x:c>
      <x:c r="J891" s="316" t="n">
        <x:f>IFERROR(G891/F891,0)</x:f>
        <x:v>0.43342776203966005</x:v>
      </x:c>
      <x:c r="K891" s="312" t="str">
        <x:f>IF(B891="Bilinmeyen Personel","Kontrol","OK")</x:f>
        <x:v>OK</x:v>
      </x:c>
    </x:row>
    <x:row r="892" ht="15.75">
      <x:c r="A892" s="313" t="n">
        <x:f t="shared" si="13">ROW()-ROW($A$2)+1</x:f>
        <x:v>891</x:v>
      </x:c>
      <x:c r="B892" s="313" t="s">
        <x:v>16</x:v>
      </x:c>
      <x:c r="C892" s="313" t="s">
        <x:v>36</x:v>
      </x:c>
      <x:c r="D892" s="314">
        <x:v>3</x:v>
      </x:c>
      <x:c r="E892" s="320">
        <x:v>8000</x:v>
      </x:c>
      <x:c r="F892" s="320">
        <x:v>24000</x:v>
      </x:c>
      <x:c r="G892" s="320">
        <x:v>6000</x:v>
      </x:c>
      <x:c r="H892" s="313" t="s">
        <x:v>64</x:v>
      </x:c>
      <x:c r="I892" s="313" t="s">
        <x:v>28</x:v>
      </x:c>
      <x:c r="J892" s="316" t="n">
        <x:f>IFERROR(G892/F892,0)</x:f>
        <x:v>0.25</x:v>
      </x:c>
      <x:c r="K892" s="312" t="str">
        <x:f>IF(B892="Bilinmeyen Personel","Kontrol","OK")</x:f>
        <x:v>OK</x:v>
      </x:c>
    </x:row>
    <x:row r="893" ht="15.75">
      <x:c r="A893" s="313" t="n">
        <x:f t="shared" si="13">ROW()-ROW($A$2)+1</x:f>
        <x:v>892</x:v>
      </x:c>
      <x:c r="B893" s="313" t="s">
        <x:v>32</x:v>
      </x:c>
      <x:c r="C893" s="313" t="s">
        <x:v>27</x:v>
      </x:c>
      <x:c r="D893" s="314">
        <x:v>1</x:v>
      </x:c>
      <x:c r="E893" s="320">
        <x:v>1100</x:v>
      </x:c>
      <x:c r="F893" s="320">
        <x:v>1100</x:v>
      </x:c>
      <x:c r="G893" s="320">
        <x:v>300</x:v>
      </x:c>
      <x:c r="H893" s="313" t="s">
        <x:v>64</x:v>
      </x:c>
      <x:c r="I893" s="313" t="s">
        <x:v>18</x:v>
      </x:c>
      <x:c r="J893" s="316" t="n">
        <x:f>IFERROR(G893/F893,0)</x:f>
        <x:v>0.2727272727272727</x:v>
      </x:c>
      <x:c r="K893" s="312" t="str">
        <x:f>IF(B893="Bilinmeyen Personel","Kontrol","OK")</x:f>
        <x:v>OK</x:v>
      </x:c>
    </x:row>
    <x:row r="894" ht="15.75">
      <x:c r="A894" s="313" t="n">
        <x:f t="shared" si="13">ROW()-ROW($A$2)+1</x:f>
        <x:v>893</x:v>
      </x:c>
      <x:c r="B894" s="313" t="s">
        <x:v>40</x:v>
      </x:c>
      <x:c r="C894" s="313" t="s">
        <x:v>30</x:v>
      </x:c>
      <x:c r="D894" s="314">
        <x:v>1</x:v>
      </x:c>
      <x:c r="E894" s="320">
        <x:v>1200</x:v>
      </x:c>
      <x:c r="F894" s="320">
        <x:v>1200</x:v>
      </x:c>
      <x:c r="G894" s="320">
        <x:v>400</x:v>
      </x:c>
      <x:c r="H894" s="313" t="s">
        <x:v>64</x:v>
      </x:c>
      <x:c r="I894" s="313" t="s">
        <x:v>46</x:v>
      </x:c>
      <x:c r="J894" s="316" t="n">
        <x:f>IFERROR(G894/F894,0)</x:f>
        <x:v>0.3333333333333333</x:v>
      </x:c>
      <x:c r="K894" s="312" t="str">
        <x:f>IF(B894="Bilinmeyen Personel","Kontrol","OK")</x:f>
        <x:v>OK</x:v>
      </x:c>
    </x:row>
    <x:row r="895" ht="15.75">
      <x:c r="A895" s="313" t="n">
        <x:f t="shared" si="13">ROW()-ROW($A$2)+1</x:f>
        <x:v>894</x:v>
      </x:c>
      <x:c r="B895" s="313" t="s">
        <x:v>23</x:v>
      </x:c>
      <x:c r="C895" s="313" t="s">
        <x:v>45</x:v>
      </x:c>
      <x:c r="D895" s="314">
        <x:v>2</x:v>
      </x:c>
      <x:c r="E895" s="320">
        <x:v>4200</x:v>
      </x:c>
      <x:c r="F895" s="320">
        <x:v>8400</x:v>
      </x:c>
      <x:c r="G895" s="320">
        <x:v>2400</x:v>
      </x:c>
      <x:c r="H895" s="313" t="s">
        <x:v>64</x:v>
      </x:c>
      <x:c r="I895" s="313" t="s">
        <x:v>54</x:v>
      </x:c>
      <x:c r="J895" s="316" t="n">
        <x:f>IFERROR(G895/F895,0)</x:f>
        <x:v>0.2857142857142857</x:v>
      </x:c>
      <x:c r="K895" s="312" t="str">
        <x:f>IF(B895="Bilinmeyen Personel","Kontrol","OK")</x:f>
        <x:v>OK</x:v>
      </x:c>
    </x:row>
    <x:row r="896" ht="15.75">
      <x:c r="A896" s="313" t="n">
        <x:f t="shared" si="13">ROW()-ROW($A$2)+1</x:f>
        <x:v>895</x:v>
      </x:c>
      <x:c r="B896" s="313" t="s">
        <x:v>13</x:v>
      </x:c>
      <x:c r="C896" s="313" t="s">
        <x:v>47</x:v>
      </x:c>
      <x:c r="D896" s="314">
        <x:v>3</x:v>
      </x:c>
      <x:c r="E896" s="320">
        <x:v>5775</x:v>
      </x:c>
      <x:c r="F896" s="320">
        <x:v>17325</x:v>
      </x:c>
      <x:c r="G896" s="320">
        <x:v>5325</x:v>
      </x:c>
      <x:c r="H896" s="313" t="s">
        <x:v>64</x:v>
      </x:c>
      <x:c r="I896" s="313" t="s">
        <x:v>41</x:v>
      </x:c>
      <x:c r="J896" s="316" t="n">
        <x:f>IFERROR(G896/F896,0)</x:f>
        <x:v>0.30735930735930733</x:v>
      </x:c>
      <x:c r="K896" s="312" t="str">
        <x:f>IF(B896="Bilinmeyen Personel","Kontrol","OK")</x:f>
        <x:v>OK</x:v>
      </x:c>
    </x:row>
    <x:row r="897" ht="15.75">
      <x:c r="A897" s="313" t="n">
        <x:f t="shared" si="13">ROW()-ROW($A$2)+1</x:f>
        <x:v>896</x:v>
      </x:c>
      <x:c r="B897" s="313" t="s">
        <x:v>48</x:v>
      </x:c>
      <x:c r="C897" s="313" t="s">
        <x:v>24</x:v>
      </x:c>
      <x:c r="D897" s="314">
        <x:v>3</x:v>
      </x:c>
      <x:c r="E897" s="320">
        <x:v>7600</x:v>
      </x:c>
      <x:c r="F897" s="320">
        <x:v>22800</x:v>
      </x:c>
      <x:c r="G897" s="320">
        <x:v>4800</x:v>
      </x:c>
      <x:c r="H897" s="313" t="s">
        <x:v>64</x:v>
      </x:c>
      <x:c r="I897" s="313" t="s">
        <x:v>31</x:v>
      </x:c>
      <x:c r="J897" s="316" t="n">
        <x:f>IFERROR(G897/F897,0)</x:f>
        <x:v>0.21052631578947367</x:v>
      </x:c>
      <x:c r="K897" s="312" t="str">
        <x:f>IF(B897="Bilinmeyen Personel","Kontrol","OK")</x:f>
        <x:v>OK</x:v>
      </x:c>
    </x:row>
    <x:row r="898" ht="15.75">
      <x:c r="A898" s="313" t="n">
        <x:f t="shared" si="13">ROW()-ROW($A$2)+1</x:f>
        <x:v>897</x:v>
      </x:c>
      <x:c r="B898" s="313" t="s">
        <x:v>13</x:v>
      </x:c>
      <x:c r="C898" s="313" t="s">
        <x:v>26</x:v>
      </x:c>
      <x:c r="D898" s="314">
        <x:v>3</x:v>
      </x:c>
      <x:c r="E898" s="320">
        <x:v>7250</x:v>
      </x:c>
      <x:c r="F898" s="320">
        <x:v>21750</x:v>
      </x:c>
      <x:c r="G898" s="320">
        <x:v>6750</x:v>
      </x:c>
      <x:c r="H898" s="313" t="s">
        <x:v>64</x:v>
      </x:c>
      <x:c r="I898" s="313" t="s">
        <x:v>18</x:v>
      </x:c>
      <x:c r="J898" s="316" t="n">
        <x:f>IFERROR(G898/F898,0)</x:f>
        <x:v>0.3103448275862069</x:v>
      </x:c>
      <x:c r="K898" s="312" t="str">
        <x:f>IF(B898="Bilinmeyen Personel","Kontrol","OK")</x:f>
        <x:v>OK</x:v>
      </x:c>
    </x:row>
    <x:row r="899" ht="15.75">
      <x:c r="A899" s="313" t="n">
        <x:f t="shared" ref="A899:A962" si="14">ROW()-ROW($A$2)+1</x:f>
        <x:v>898</x:v>
      </x:c>
      <x:c r="B899" s="313" t="s">
        <x:v>9</x:v>
      </x:c>
      <x:c r="C899" s="313" t="s">
        <x:v>26</x:v>
      </x:c>
      <x:c r="D899" s="314">
        <x:v>3</x:v>
      </x:c>
      <x:c r="E899" s="320">
        <x:v>7250</x:v>
      </x:c>
      <x:c r="F899" s="320">
        <x:v>21750</x:v>
      </x:c>
      <x:c r="G899" s="320">
        <x:v>6750</x:v>
      </x:c>
      <x:c r="H899" s="313" t="s">
        <x:v>64</x:v>
      </x:c>
      <x:c r="I899" s="313" t="s">
        <x:v>46</x:v>
      </x:c>
      <x:c r="J899" s="316" t="n">
        <x:f>IFERROR(G899/F899,0)</x:f>
        <x:v>0.3103448275862069</x:v>
      </x:c>
      <x:c r="K899" s="312" t="str">
        <x:f>IF(B899="Bilinmeyen Personel","Kontrol","OK")</x:f>
        <x:v>OK</x:v>
      </x:c>
    </x:row>
    <x:row r="900" ht="15.75">
      <x:c r="A900" s="313" t="n">
        <x:f t="shared" si="14">ROW()-ROW($A$2)+1</x:f>
        <x:v>899</x:v>
      </x:c>
      <x:c r="B900" s="313" t="s">
        <x:v>38</x:v>
      </x:c>
      <x:c r="C900" s="313" t="s">
        <x:v>26</x:v>
      </x:c>
      <x:c r="D900" s="314">
        <x:v>3</x:v>
      </x:c>
      <x:c r="E900" s="320">
        <x:v>7250</x:v>
      </x:c>
      <x:c r="F900" s="320">
        <x:v>21750</x:v>
      </x:c>
      <x:c r="G900" s="320">
        <x:v>6750</x:v>
      </x:c>
      <x:c r="H900" s="313" t="s">
        <x:v>64</x:v>
      </x:c>
      <x:c r="I900" s="313" t="s">
        <x:v>54</x:v>
      </x:c>
      <x:c r="J900" s="316" t="n">
        <x:f>IFERROR(G900/F900,0)</x:f>
        <x:v>0.3103448275862069</x:v>
      </x:c>
      <x:c r="K900" s="312" t="str">
        <x:f>IF(B900="Bilinmeyen Personel","Kontrol","OK")</x:f>
        <x:v>OK</x:v>
      </x:c>
    </x:row>
    <x:row r="901" ht="15.75">
      <x:c r="A901" s="313" t="n">
        <x:f t="shared" si="14">ROW()-ROW($A$2)+1</x:f>
        <x:v>900</x:v>
      </x:c>
      <x:c r="B901" s="313" t="s">
        <x:v>29</x:v>
      </x:c>
      <x:c r="C901" s="313" t="s">
        <x:v>20</x:v>
      </x:c>
      <x:c r="D901" s="314">
        <x:v>1</x:v>
      </x:c>
      <x:c r="E901" s="320">
        <x:v>1350</x:v>
      </x:c>
      <x:c r="F901" s="320">
        <x:v>1350</x:v>
      </x:c>
      <x:c r="G901" s="320">
        <x:v>550</x:v>
      </x:c>
      <x:c r="H901" s="313" t="s">
        <x:v>64</x:v>
      </x:c>
      <x:c r="I901" s="313" t="s">
        <x:v>25</x:v>
      </x:c>
      <x:c r="J901" s="316" t="n">
        <x:f>IFERROR(G901/F901,0)</x:f>
        <x:v>0.4074074074074074</x:v>
      </x:c>
      <x:c r="K901" s="312" t="str">
        <x:f>IF(B901="Bilinmeyen Personel","Kontrol","OK")</x:f>
        <x:v>OK</x:v>
      </x:c>
    </x:row>
    <x:row r="902" ht="15.75">
      <x:c r="A902" s="313" t="n">
        <x:f t="shared" si="14">ROW()-ROW($A$2)+1</x:f>
        <x:v>901</x:v>
      </x:c>
      <x:c r="B902" s="313" t="s">
        <x:v>13</x:v>
      </x:c>
      <x:c r="C902" s="313" t="s">
        <x:v>26</x:v>
      </x:c>
      <x:c r="D902" s="314">
        <x:v>2</x:v>
      </x:c>
      <x:c r="E902" s="320">
        <x:v>7250</x:v>
      </x:c>
      <x:c r="F902" s="320">
        <x:v>14500</x:v>
      </x:c>
      <x:c r="G902" s="320">
        <x:v>4500</x:v>
      </x:c>
      <x:c r="H902" s="313" t="s">
        <x:v>64</x:v>
      </x:c>
      <x:c r="I902" s="313" t="s">
        <x:v>44</x:v>
      </x:c>
      <x:c r="J902" s="316" t="n">
        <x:f>IFERROR(G902/F902,0)</x:f>
        <x:v>0.3103448275862069</x:v>
      </x:c>
      <x:c r="K902" s="312" t="str">
        <x:f>IF(B902="Bilinmeyen Personel","Kontrol","OK")</x:f>
        <x:v>OK</x:v>
      </x:c>
    </x:row>
    <x:row r="903" ht="15.75">
      <x:c r="A903" s="313" t="n">
        <x:f t="shared" si="14">ROW()-ROW($A$2)+1</x:f>
        <x:v>902</x:v>
      </x:c>
      <x:c r="B903" s="313" t="s">
        <x:v>32</x:v>
      </x:c>
      <x:c r="C903" s="313" t="s">
        <x:v>24</x:v>
      </x:c>
      <x:c r="D903" s="314">
        <x:v>1</x:v>
      </x:c>
      <x:c r="E903" s="320">
        <x:v>7600</x:v>
      </x:c>
      <x:c r="F903" s="320">
        <x:v>7600</x:v>
      </x:c>
      <x:c r="G903" s="320">
        <x:v>1600</x:v>
      </x:c>
      <x:c r="H903" s="313" t="s">
        <x:v>64</x:v>
      </x:c>
      <x:c r="I903" s="313" t="s">
        <x:v>54</x:v>
      </x:c>
      <x:c r="J903" s="316" t="n">
        <x:f>IFERROR(G903/F903,0)</x:f>
        <x:v>0.21052631578947367</x:v>
      </x:c>
      <x:c r="K903" s="312" t="str">
        <x:f>IF(B903="Bilinmeyen Personel","Kontrol","OK")</x:f>
        <x:v>OK</x:v>
      </x:c>
    </x:row>
    <x:row r="904" ht="15.75">
      <x:c r="A904" s="313" t="n">
        <x:f t="shared" si="14">ROW()-ROW($A$2)+1</x:f>
        <x:v>903</x:v>
      </x:c>
      <x:c r="B904" s="313" t="s">
        <x:v>50</x:v>
      </x:c>
      <x:c r="C904" s="313" t="s">
        <x:v>24</x:v>
      </x:c>
      <x:c r="D904" s="314">
        <x:v>3</x:v>
      </x:c>
      <x:c r="E904" s="320">
        <x:v>7600</x:v>
      </x:c>
      <x:c r="F904" s="320">
        <x:v>22800</x:v>
      </x:c>
      <x:c r="G904" s="320">
        <x:v>4800</x:v>
      </x:c>
      <x:c r="H904" s="313" t="s">
        <x:v>64</x:v>
      </x:c>
      <x:c r="I904" s="313" t="s">
        <x:v>15</x:v>
      </x:c>
      <x:c r="J904" s="316" t="n">
        <x:f>IFERROR(G904/F904,0)</x:f>
        <x:v>0.21052631578947367</x:v>
      </x:c>
      <x:c r="K904" s="312" t="str">
        <x:f>IF(B904="Bilinmeyen Personel","Kontrol","OK")</x:f>
        <x:v>OK</x:v>
      </x:c>
    </x:row>
    <x:row r="905" ht="15.75">
      <x:c r="A905" s="313" t="n">
        <x:f t="shared" si="14">ROW()-ROW($A$2)+1</x:f>
        <x:v>904</x:v>
      </x:c>
      <x:c r="B905" s="313" t="s">
        <x:v>13</x:v>
      </x:c>
      <x:c r="C905" s="313" t="s">
        <x:v>43</x:v>
      </x:c>
      <x:c r="D905" s="314">
        <x:v>3</x:v>
      </x:c>
      <x:c r="E905" s="320">
        <x:v>1490</x:v>
      </x:c>
      <x:c r="F905" s="320">
        <x:v>4470</x:v>
      </x:c>
      <x:c r="G905" s="320">
        <x:v>2070</x:v>
      </x:c>
      <x:c r="H905" s="313" t="s">
        <x:v>64</x:v>
      </x:c>
      <x:c r="I905" s="313" t="s">
        <x:v>37</x:v>
      </x:c>
      <x:c r="J905" s="316" t="n">
        <x:f>IFERROR(G905/F905,0)</x:f>
        <x:v>0.46308724832214765</x:v>
      </x:c>
      <x:c r="K905" s="312" t="str">
        <x:f>IF(B905="Bilinmeyen Personel","Kontrol","OK")</x:f>
        <x:v>OK</x:v>
      </x:c>
    </x:row>
    <x:row r="906" ht="15.75">
      <x:c r="A906" s="313" t="n">
        <x:f t="shared" si="14">ROW()-ROW($A$2)+1</x:f>
        <x:v>905</x:v>
      </x:c>
      <x:c r="B906" s="313" t="s">
        <x:v>29</x:v>
      </x:c>
      <x:c r="C906" s="313" t="s">
        <x:v>51</x:v>
      </x:c>
      <x:c r="D906" s="314">
        <x:v>2</x:v>
      </x:c>
      <x:c r="E906" s="320">
        <x:v>2900</x:v>
      </x:c>
      <x:c r="F906" s="320">
        <x:v>5800</x:v>
      </x:c>
      <x:c r="G906" s="320">
        <x:v>1800</x:v>
      </x:c>
      <x:c r="H906" s="313" t="s">
        <x:v>64</x:v>
      </x:c>
      <x:c r="I906" s="313" t="s">
        <x:v>12</x:v>
      </x:c>
      <x:c r="J906" s="316" t="n">
        <x:f>IFERROR(G906/F906,0)</x:f>
        <x:v>0.3103448275862069</x:v>
      </x:c>
      <x:c r="K906" s="312" t="str">
        <x:f>IF(B906="Bilinmeyen Personel","Kontrol","OK")</x:f>
        <x:v>OK</x:v>
      </x:c>
    </x:row>
    <x:row r="907" ht="15.75">
      <x:c r="A907" s="313" t="n">
        <x:f t="shared" si="14">ROW()-ROW($A$2)+1</x:f>
        <x:v>906</x:v>
      </x:c>
      <x:c r="B907" s="313" t="s">
        <x:v>40</x:v>
      </x:c>
      <x:c r="C907" s="313" t="s">
        <x:v>43</x:v>
      </x:c>
      <x:c r="D907" s="314">
        <x:v>1</x:v>
      </x:c>
      <x:c r="E907" s="320">
        <x:v>1490</x:v>
      </x:c>
      <x:c r="F907" s="320">
        <x:v>1490</x:v>
      </x:c>
      <x:c r="G907" s="320">
        <x:v>690</x:v>
      </x:c>
      <x:c r="H907" s="313" t="s">
        <x:v>64</x:v>
      </x:c>
      <x:c r="I907" s="313" t="s">
        <x:v>21</x:v>
      </x:c>
      <x:c r="J907" s="316" t="n">
        <x:f>IFERROR(G907/F907,0)</x:f>
        <x:v>0.46308724832214765</x:v>
      </x:c>
      <x:c r="K907" s="312" t="str">
        <x:f>IF(B907="Bilinmeyen Personel","Kontrol","OK")</x:f>
        <x:v>OK</x:v>
      </x:c>
    </x:row>
    <x:row r="908" ht="15.75">
      <x:c r="A908" s="313" t="n">
        <x:f t="shared" si="14">ROW()-ROW($A$2)+1</x:f>
        <x:v>907</x:v>
      </x:c>
      <x:c r="B908" s="313" t="s">
        <x:v>40</x:v>
      </x:c>
      <x:c r="C908" s="313" t="s">
        <x:v>34</x:v>
      </x:c>
      <x:c r="D908" s="314">
        <x:v>2</x:v>
      </x:c>
      <x:c r="E908" s="320">
        <x:v>1090</x:v>
      </x:c>
      <x:c r="F908" s="320">
        <x:v>2180</x:v>
      </x:c>
      <x:c r="G908" s="320">
        <x:v>580</x:v>
      </x:c>
      <x:c r="H908" s="313" t="s">
        <x:v>64</x:v>
      </x:c>
      <x:c r="I908" s="313" t="s">
        <x:v>44</x:v>
      </x:c>
      <x:c r="J908" s="316" t="n">
        <x:f>IFERROR(G908/F908,0)</x:f>
        <x:v>0.26605504587155965</x:v>
      </x:c>
      <x:c r="K908" s="312" t="str">
        <x:f>IF(B908="Bilinmeyen Personel","Kontrol","OK")</x:f>
        <x:v>OK</x:v>
      </x:c>
    </x:row>
    <x:row r="909" ht="15.75">
      <x:c r="A909" s="313" t="n">
        <x:f t="shared" si="14">ROW()-ROW($A$2)+1</x:f>
        <x:v>908</x:v>
      </x:c>
      <x:c r="B909" s="313" t="s">
        <x:v>29</x:v>
      </x:c>
      <x:c r="C909" s="313" t="s">
        <x:v>30</x:v>
      </x:c>
      <x:c r="D909" s="314">
        <x:v>2</x:v>
      </x:c>
      <x:c r="E909" s="320">
        <x:v>1200</x:v>
      </x:c>
      <x:c r="F909" s="320">
        <x:v>2400</x:v>
      </x:c>
      <x:c r="G909" s="320">
        <x:v>800</x:v>
      </x:c>
      <x:c r="H909" s="313" t="s">
        <x:v>64</x:v>
      </x:c>
      <x:c r="I909" s="313" t="s">
        <x:v>41</x:v>
      </x:c>
      <x:c r="J909" s="316" t="n">
        <x:f>IFERROR(G909/F909,0)</x:f>
        <x:v>0.3333333333333333</x:v>
      </x:c>
      <x:c r="K909" s="312" t="str">
        <x:f>IF(B909="Bilinmeyen Personel","Kontrol","OK")</x:f>
        <x:v>OK</x:v>
      </x:c>
    </x:row>
    <x:row r="910" ht="15.75">
      <x:c r="A910" s="313" t="n">
        <x:f t="shared" si="14">ROW()-ROW($A$2)+1</x:f>
        <x:v>909</x:v>
      </x:c>
      <x:c r="B910" s="313" t="s">
        <x:v>38</x:v>
      </x:c>
      <x:c r="C910" s="313" t="s">
        <x:v>39</x:v>
      </x:c>
      <x:c r="D910" s="314">
        <x:v>2</x:v>
      </x:c>
      <x:c r="E910" s="320">
        <x:v>10590</x:v>
      </x:c>
      <x:c r="F910" s="320">
        <x:v>21180</x:v>
      </x:c>
      <x:c r="G910" s="320">
        <x:v>9180</x:v>
      </x:c>
      <x:c r="H910" s="313" t="s">
        <x:v>64</x:v>
      </x:c>
      <x:c r="I910" s="313" t="s">
        <x:v>42</x:v>
      </x:c>
      <x:c r="J910" s="316" t="n">
        <x:f>IFERROR(G910/F910,0)</x:f>
        <x:v>0.43342776203966005</x:v>
      </x:c>
      <x:c r="K910" s="312" t="str">
        <x:f>IF(B910="Bilinmeyen Personel","Kontrol","OK")</x:f>
        <x:v>OK</x:v>
      </x:c>
    </x:row>
    <x:row r="911" ht="15.75">
      <x:c r="A911" s="313" t="n">
        <x:f t="shared" si="14">ROW()-ROW($A$2)+1</x:f>
        <x:v>910</x:v>
      </x:c>
      <x:c r="B911" s="313" t="s">
        <x:v>32</x:v>
      </x:c>
      <x:c r="C911" s="313" t="s">
        <x:v>45</x:v>
      </x:c>
      <x:c r="D911" s="314">
        <x:v>3</x:v>
      </x:c>
      <x:c r="E911" s="320">
        <x:v>4200</x:v>
      </x:c>
      <x:c r="F911" s="320">
        <x:v>12600</x:v>
      </x:c>
      <x:c r="G911" s="320">
        <x:v>3600</x:v>
      </x:c>
      <x:c r="H911" s="313" t="s">
        <x:v>64</x:v>
      </x:c>
      <x:c r="I911" s="313" t="s">
        <x:v>54</x:v>
      </x:c>
      <x:c r="J911" s="316" t="n">
        <x:f>IFERROR(G911/F911,0)</x:f>
        <x:v>0.2857142857142857</x:v>
      </x:c>
      <x:c r="K911" s="312" t="str">
        <x:f>IF(B911="Bilinmeyen Personel","Kontrol","OK")</x:f>
        <x:v>OK</x:v>
      </x:c>
    </x:row>
    <x:row r="912" ht="15.75">
      <x:c r="A912" s="313" t="n">
        <x:f t="shared" si="14">ROW()-ROW($A$2)+1</x:f>
        <x:v>911</x:v>
      </x:c>
      <x:c r="B912" s="313" t="s">
        <x:v>19</x:v>
      </x:c>
      <x:c r="C912" s="313" t="s">
        <x:v>45</x:v>
      </x:c>
      <x:c r="D912" s="314">
        <x:v>3</x:v>
      </x:c>
      <x:c r="E912" s="320">
        <x:v>4200</x:v>
      </x:c>
      <x:c r="F912" s="320">
        <x:v>12600</x:v>
      </x:c>
      <x:c r="G912" s="320">
        <x:v>3600</x:v>
      </x:c>
      <x:c r="H912" s="313" t="s">
        <x:v>64</x:v>
      </x:c>
      <x:c r="I912" s="313" t="s">
        <x:v>37</x:v>
      </x:c>
      <x:c r="J912" s="316" t="n">
        <x:f>IFERROR(G912/F912,0)</x:f>
        <x:v>0.2857142857142857</x:v>
      </x:c>
      <x:c r="K912" s="312" t="str">
        <x:f>IF(B912="Bilinmeyen Personel","Kontrol","OK")</x:f>
        <x:v>OK</x:v>
      </x:c>
    </x:row>
    <x:row r="913" ht="15.75">
      <x:c r="A913" s="313" t="n">
        <x:f t="shared" si="14">ROW()-ROW($A$2)+1</x:f>
        <x:v>912</x:v>
      </x:c>
      <x:c r="B913" s="313" t="s">
        <x:v>35</x:v>
      </x:c>
      <x:c r="C913" s="313" t="s">
        <x:v>39</x:v>
      </x:c>
      <x:c r="D913" s="314">
        <x:v>2</x:v>
      </x:c>
      <x:c r="E913" s="320">
        <x:v>10590</x:v>
      </x:c>
      <x:c r="F913" s="320">
        <x:v>21180</x:v>
      </x:c>
      <x:c r="G913" s="320">
        <x:v>9180</x:v>
      </x:c>
      <x:c r="H913" s="313" t="s">
        <x:v>64</x:v>
      </x:c>
      <x:c r="I913" s="313" t="s">
        <x:v>46</x:v>
      </x:c>
      <x:c r="J913" s="316" t="n">
        <x:f>IFERROR(G913/F913,0)</x:f>
        <x:v>0.43342776203966005</x:v>
      </x:c>
      <x:c r="K913" s="312" t="str">
        <x:f>IF(B913="Bilinmeyen Personel","Kontrol","OK")</x:f>
        <x:v>OK</x:v>
      </x:c>
    </x:row>
    <x:row r="914" ht="15.75">
      <x:c r="A914" s="313" t="n">
        <x:f t="shared" si="14">ROW()-ROW($A$2)+1</x:f>
        <x:v>913</x:v>
      </x:c>
      <x:c r="B914" s="313" t="s">
        <x:v>50</x:v>
      </x:c>
      <x:c r="C914" s="313" t="s">
        <x:v>52</x:v>
      </x:c>
      <x:c r="D914" s="314">
        <x:v>1</x:v>
      </x:c>
      <x:c r="E914" s="320">
        <x:v>1250</x:v>
      </x:c>
      <x:c r="F914" s="320">
        <x:v>1250</x:v>
      </x:c>
      <x:c r="G914" s="320">
        <x:v>450</x:v>
      </x:c>
      <x:c r="H914" s="313" t="s">
        <x:v>64</x:v>
      </x:c>
      <x:c r="I914" s="313" t="s">
        <x:v>41</x:v>
      </x:c>
      <x:c r="J914" s="316" t="n">
        <x:f>IFERROR(G914/F914,0)</x:f>
        <x:v>0.36</x:v>
      </x:c>
      <x:c r="K914" s="312" t="str">
        <x:f>IF(B914="Bilinmeyen Personel","Kontrol","OK")</x:f>
        <x:v>OK</x:v>
      </x:c>
    </x:row>
    <x:row r="915" ht="15.75">
      <x:c r="A915" s="313" t="n">
        <x:f t="shared" si="14">ROW()-ROW($A$2)+1</x:f>
        <x:v>914</x:v>
      </x:c>
      <x:c r="B915" s="313" t="s">
        <x:v>9</x:v>
      </x:c>
      <x:c r="C915" s="313" t="s">
        <x:v>43</x:v>
      </x:c>
      <x:c r="D915" s="314">
        <x:v>3</x:v>
      </x:c>
      <x:c r="E915" s="320">
        <x:v>1490</x:v>
      </x:c>
      <x:c r="F915" s="320">
        <x:v>4470</x:v>
      </x:c>
      <x:c r="G915" s="320">
        <x:v>2070</x:v>
      </x:c>
      <x:c r="H915" s="313" t="s">
        <x:v>64</x:v>
      </x:c>
      <x:c r="I915" s="313" t="s">
        <x:v>37</x:v>
      </x:c>
      <x:c r="J915" s="316" t="n">
        <x:f>IFERROR(G915/F915,0)</x:f>
        <x:v>0.46308724832214765</x:v>
      </x:c>
      <x:c r="K915" s="312" t="str">
        <x:f>IF(B915="Bilinmeyen Personel","Kontrol","OK")</x:f>
        <x:v>OK</x:v>
      </x:c>
    </x:row>
    <x:row r="916" ht="15.75">
      <x:c r="A916" s="313" t="n">
        <x:f t="shared" si="14">ROW()-ROW($A$2)+1</x:f>
        <x:v>915</x:v>
      </x:c>
      <x:c r="B916" s="313" t="s">
        <x:v>32</x:v>
      </x:c>
      <x:c r="C916" s="313" t="s">
        <x:v>30</x:v>
      </x:c>
      <x:c r="D916" s="314">
        <x:v>2</x:v>
      </x:c>
      <x:c r="E916" s="320">
        <x:v>1200</x:v>
      </x:c>
      <x:c r="F916" s="320">
        <x:v>2400</x:v>
      </x:c>
      <x:c r="G916" s="320">
        <x:v>800</x:v>
      </x:c>
      <x:c r="H916" s="313" t="s">
        <x:v>64</x:v>
      </x:c>
      <x:c r="I916" s="313" t="s">
        <x:v>44</x:v>
      </x:c>
      <x:c r="J916" s="316" t="n">
        <x:f>IFERROR(G916/F916,0)</x:f>
        <x:v>0.3333333333333333</x:v>
      </x:c>
      <x:c r="K916" s="312" t="str">
        <x:f>IF(B916="Bilinmeyen Personel","Kontrol","OK")</x:f>
        <x:v>OK</x:v>
      </x:c>
    </x:row>
    <x:row r="917" ht="15.75">
      <x:c r="A917" s="313" t="n">
        <x:f t="shared" si="14">ROW()-ROW($A$2)+1</x:f>
        <x:v>916</x:v>
      </x:c>
      <x:c r="B917" s="313" t="s">
        <x:v>16</x:v>
      </x:c>
      <x:c r="C917" s="313" t="s">
        <x:v>22</x:v>
      </x:c>
      <x:c r="D917" s="314">
        <x:v>3</x:v>
      </x:c>
      <x:c r="E917" s="320">
        <x:v>2180</x:v>
      </x:c>
      <x:c r="F917" s="320">
        <x:v>6540</x:v>
      </x:c>
      <x:c r="G917" s="320">
        <x:v>2040</x:v>
      </x:c>
      <x:c r="H917" s="313" t="s">
        <x:v>64</x:v>
      </x:c>
      <x:c r="I917" s="313" t="s">
        <x:v>25</x:v>
      </x:c>
      <x:c r="J917" s="316" t="n">
        <x:f>IFERROR(G917/F917,0)</x:f>
        <x:v>0.3119266055045872</x:v>
      </x:c>
      <x:c r="K917" s="312" t="str">
        <x:f>IF(B917="Bilinmeyen Personel","Kontrol","OK")</x:f>
        <x:v>OK</x:v>
      </x:c>
    </x:row>
    <x:row r="918" ht="15.75">
      <x:c r="A918" s="313" t="n">
        <x:f t="shared" si="14">ROW()-ROW($A$2)+1</x:f>
        <x:v>917</x:v>
      </x:c>
      <x:c r="B918" s="313" t="s">
        <x:v>40</x:v>
      </x:c>
      <x:c r="C918" s="313" t="s">
        <x:v>53</x:v>
      </x:c>
      <x:c r="D918" s="314">
        <x:v>3</x:v>
      </x:c>
      <x:c r="E918" s="320">
        <x:v>1200</x:v>
      </x:c>
      <x:c r="F918" s="320">
        <x:v>3600</x:v>
      </x:c>
      <x:c r="G918" s="320">
        <x:v>1200</x:v>
      </x:c>
      <x:c r="H918" s="313" t="s">
        <x:v>64</x:v>
      </x:c>
      <x:c r="I918" s="313" t="s">
        <x:v>54</x:v>
      </x:c>
      <x:c r="J918" s="316" t="n">
        <x:f>IFERROR(G918/F918,0)</x:f>
        <x:v>0.3333333333333333</x:v>
      </x:c>
      <x:c r="K918" s="312" t="str">
        <x:f>IF(B918="Bilinmeyen Personel","Kontrol","OK")</x:f>
        <x:v>OK</x:v>
      </x:c>
    </x:row>
    <x:row r="919" ht="15.75">
      <x:c r="A919" s="313" t="n">
        <x:f t="shared" si="14">ROW()-ROW($A$2)+1</x:f>
        <x:v>918</x:v>
      </x:c>
      <x:c r="B919" s="313" t="s">
        <x:v>9</x:v>
      </x:c>
      <x:c r="C919" s="313" t="s">
        <x:v>33</x:v>
      </x:c>
      <x:c r="D919" s="314">
        <x:v>1</x:v>
      </x:c>
      <x:c r="E919" s="320">
        <x:v>1800</x:v>
      </x:c>
      <x:c r="F919" s="320">
        <x:v>1800</x:v>
      </x:c>
      <x:c r="G919" s="320">
        <x:v>1000</x:v>
      </x:c>
      <x:c r="H919" s="313" t="s">
        <x:v>64</x:v>
      </x:c>
      <x:c r="I919" s="313" t="s">
        <x:v>28</x:v>
      </x:c>
      <x:c r="J919" s="316" t="n">
        <x:f>IFERROR(G919/F919,0)</x:f>
        <x:v>0.5555555555555556</x:v>
      </x:c>
      <x:c r="K919" s="312" t="str">
        <x:f>IF(B919="Bilinmeyen Personel","Kontrol","OK")</x:f>
        <x:v>OK</x:v>
      </x:c>
    </x:row>
    <x:row r="920" ht="15.75">
      <x:c r="A920" s="313" t="n">
        <x:f t="shared" si="14">ROW()-ROW($A$2)+1</x:f>
        <x:v>919</x:v>
      </x:c>
      <x:c r="B920" s="313" t="s">
        <x:v>16</x:v>
      </x:c>
      <x:c r="C920" s="313" t="s">
        <x:v>24</x:v>
      </x:c>
      <x:c r="D920" s="314">
        <x:v>1</x:v>
      </x:c>
      <x:c r="E920" s="320">
        <x:v>7600</x:v>
      </x:c>
      <x:c r="F920" s="320">
        <x:v>7600</x:v>
      </x:c>
      <x:c r="G920" s="320">
        <x:v>1600</x:v>
      </x:c>
      <x:c r="H920" s="313" t="s">
        <x:v>64</x:v>
      </x:c>
      <x:c r="I920" s="313" t="s">
        <x:v>42</x:v>
      </x:c>
      <x:c r="J920" s="316" t="n">
        <x:f>IFERROR(G920/F920,0)</x:f>
        <x:v>0.21052631578947367</x:v>
      </x:c>
      <x:c r="K920" s="312" t="str">
        <x:f>IF(B920="Bilinmeyen Personel","Kontrol","OK")</x:f>
        <x:v>OK</x:v>
      </x:c>
    </x:row>
    <x:row r="921" ht="15.75">
      <x:c r="A921" s="313" t="n">
        <x:f t="shared" si="14">ROW()-ROW($A$2)+1</x:f>
        <x:v>920</x:v>
      </x:c>
      <x:c r="B921" s="313" t="s">
        <x:v>35</x:v>
      </x:c>
      <x:c r="C921" s="313" t="s">
        <x:v>55</x:v>
      </x:c>
      <x:c r="D921" s="314">
        <x:v>1</x:v>
      </x:c>
      <x:c r="E921" s="320">
        <x:v>7530</x:v>
      </x:c>
      <x:c r="F921" s="320">
        <x:v>7530</x:v>
      </x:c>
      <x:c r="G921" s="320">
        <x:v>1530</x:v>
      </x:c>
      <x:c r="H921" s="313" t="s">
        <x:v>64</x:v>
      </x:c>
      <x:c r="I921" s="313" t="s">
        <x:v>46</x:v>
      </x:c>
      <x:c r="J921" s="316" t="n">
        <x:f>IFERROR(G921/F921,0)</x:f>
        <x:v>0.20318725099601595</x:v>
      </x:c>
      <x:c r="K921" s="312" t="str">
        <x:f>IF(B921="Bilinmeyen Personel","Kontrol","OK")</x:f>
        <x:v>OK</x:v>
      </x:c>
    </x:row>
    <x:row r="922" ht="15.75">
      <x:c r="A922" s="313" t="n">
        <x:f t="shared" si="14">ROW()-ROW($A$2)+1</x:f>
        <x:v>921</x:v>
      </x:c>
      <x:c r="B922" s="313" t="s">
        <x:v>50</x:v>
      </x:c>
      <x:c r="C922" s="313" t="s">
        <x:v>43</x:v>
      </x:c>
      <x:c r="D922" s="314">
        <x:v>2</x:v>
      </x:c>
      <x:c r="E922" s="320">
        <x:v>1490</x:v>
      </x:c>
      <x:c r="F922" s="320">
        <x:v>2980</x:v>
      </x:c>
      <x:c r="G922" s="320">
        <x:v>1380</x:v>
      </x:c>
      <x:c r="H922" s="313" t="s">
        <x:v>64</x:v>
      </x:c>
      <x:c r="I922" s="313" t="s">
        <x:v>21</x:v>
      </x:c>
      <x:c r="J922" s="316" t="n">
        <x:f>IFERROR(G922/F922,0)</x:f>
        <x:v>0.46308724832214765</x:v>
      </x:c>
      <x:c r="K922" s="312" t="str">
        <x:f>IF(B922="Bilinmeyen Personel","Kontrol","OK")</x:f>
        <x:v>OK</x:v>
      </x:c>
    </x:row>
    <x:row r="923" ht="15.75">
      <x:c r="A923" s="313" t="n">
        <x:f t="shared" si="14">ROW()-ROW($A$2)+1</x:f>
        <x:v>922</x:v>
      </x:c>
      <x:c r="B923" s="313" t="s">
        <x:v>9</x:v>
      </x:c>
      <x:c r="C923" s="313" t="s">
        <x:v>56</x:v>
      </x:c>
      <x:c r="D923" s="314">
        <x:v>1</x:v>
      </x:c>
      <x:c r="E923" s="320">
        <x:v>5300</x:v>
      </x:c>
      <x:c r="F923" s="320">
        <x:v>5300</x:v>
      </x:c>
      <x:c r="G923" s="320">
        <x:v>1300</x:v>
      </x:c>
      <x:c r="H923" s="313" t="s">
        <x:v>64</x:v>
      </x:c>
      <x:c r="I923" s="313" t="s">
        <x:v>42</x:v>
      </x:c>
      <x:c r="J923" s="316" t="n">
        <x:f>IFERROR(G923/F923,0)</x:f>
        <x:v>0.24528301886792453</x:v>
      </x:c>
      <x:c r="K923" s="312" t="str">
        <x:f>IF(B923="Bilinmeyen Personel","Kontrol","OK")</x:f>
        <x:v>OK</x:v>
      </x:c>
    </x:row>
    <x:row r="924" ht="15.75">
      <x:c r="A924" s="313" t="n">
        <x:f t="shared" si="14">ROW()-ROW($A$2)+1</x:f>
        <x:v>923</x:v>
      </x:c>
      <x:c r="B924" s="313" t="s">
        <x:v>23</x:v>
      </x:c>
      <x:c r="C924" s="313" t="s">
        <x:v>30</x:v>
      </x:c>
      <x:c r="D924" s="314">
        <x:v>2</x:v>
      </x:c>
      <x:c r="E924" s="320">
        <x:v>1200</x:v>
      </x:c>
      <x:c r="F924" s="320">
        <x:v>2400</x:v>
      </x:c>
      <x:c r="G924" s="320">
        <x:v>800</x:v>
      </x:c>
      <x:c r="H924" s="313" t="s">
        <x:v>64</x:v>
      </x:c>
      <x:c r="I924" s="313" t="s">
        <x:v>44</x:v>
      </x:c>
      <x:c r="J924" s="316" t="n">
        <x:f>IFERROR(G924/F924,0)</x:f>
        <x:v>0.3333333333333333</x:v>
      </x:c>
      <x:c r="K924" s="312" t="str">
        <x:f>IF(B924="Bilinmeyen Personel","Kontrol","OK")</x:f>
        <x:v>OK</x:v>
      </x:c>
    </x:row>
    <x:row r="925" ht="15.75">
      <x:c r="A925" s="313" t="n">
        <x:f t="shared" si="14">ROW()-ROW($A$2)+1</x:f>
        <x:v>924</x:v>
      </x:c>
      <x:c r="B925" s="313" t="s">
        <x:v>40</x:v>
      </x:c>
      <x:c r="C925" s="313" t="s">
        <x:v>34</x:v>
      </x:c>
      <x:c r="D925" s="314">
        <x:v>1</x:v>
      </x:c>
      <x:c r="E925" s="320">
        <x:v>1090</x:v>
      </x:c>
      <x:c r="F925" s="320">
        <x:v>1090</x:v>
      </x:c>
      <x:c r="G925" s="320">
        <x:v>290</x:v>
      </x:c>
      <x:c r="H925" s="313" t="s">
        <x:v>64</x:v>
      </x:c>
      <x:c r="I925" s="313" t="s">
        <x:v>46</x:v>
      </x:c>
      <x:c r="J925" s="316" t="n">
        <x:f>IFERROR(G925/F925,0)</x:f>
        <x:v>0.26605504587155965</x:v>
      </x:c>
      <x:c r="K925" s="312" t="str">
        <x:f>IF(B925="Bilinmeyen Personel","Kontrol","OK")</x:f>
        <x:v>OK</x:v>
      </x:c>
    </x:row>
    <x:row r="926" ht="15.75">
      <x:c r="A926" s="313" t="n">
        <x:f t="shared" si="14">ROW()-ROW($A$2)+1</x:f>
        <x:v>925</x:v>
      </x:c>
      <x:c r="B926" s="313" t="s">
        <x:v>23</x:v>
      </x:c>
      <x:c r="C926" s="313" t="s">
        <x:v>26</x:v>
      </x:c>
      <x:c r="D926" s="314">
        <x:v>1</x:v>
      </x:c>
      <x:c r="E926" s="320">
        <x:v>7250</x:v>
      </x:c>
      <x:c r="F926" s="320">
        <x:v>7250</x:v>
      </x:c>
      <x:c r="G926" s="320">
        <x:v>2250</x:v>
      </x:c>
      <x:c r="H926" s="313" t="s">
        <x:v>64</x:v>
      </x:c>
      <x:c r="I926" s="313" t="s">
        <x:v>15</x:v>
      </x:c>
      <x:c r="J926" s="316" t="n">
        <x:f>IFERROR(G926/F926,0)</x:f>
        <x:v>0.3103448275862069</x:v>
      </x:c>
      <x:c r="K926" s="312" t="str">
        <x:f>IF(B926="Bilinmeyen Personel","Kontrol","OK")</x:f>
        <x:v>OK</x:v>
      </x:c>
    </x:row>
    <x:row r="927" ht="15.75">
      <x:c r="A927" s="313" t="n">
        <x:f t="shared" si="14">ROW()-ROW($A$2)+1</x:f>
        <x:v>926</x:v>
      </x:c>
      <x:c r="B927" s="313" t="s">
        <x:v>48</x:v>
      </x:c>
      <x:c r="C927" s="313" t="s">
        <x:v>14</x:v>
      </x:c>
      <x:c r="D927" s="314">
        <x:v>3</x:v>
      </x:c>
      <x:c r="E927" s="320">
        <x:v>1400</x:v>
      </x:c>
      <x:c r="F927" s="320">
        <x:v>4200</x:v>
      </x:c>
      <x:c r="G927" s="320">
        <x:v>1800</x:v>
      </x:c>
      <x:c r="H927" s="313" t="s">
        <x:v>64</x:v>
      </x:c>
      <x:c r="I927" s="313" t="s">
        <x:v>31</x:v>
      </x:c>
      <x:c r="J927" s="316" t="n">
        <x:f>IFERROR(G927/F927,0)</x:f>
        <x:v>0.42857142857142855</x:v>
      </x:c>
      <x:c r="K927" s="312" t="str">
        <x:f>IF(B927="Bilinmeyen Personel","Kontrol","OK")</x:f>
        <x:v>OK</x:v>
      </x:c>
    </x:row>
    <x:row r="928" ht="15.75">
      <x:c r="A928" s="313" t="n">
        <x:f t="shared" si="14">ROW()-ROW($A$2)+1</x:f>
        <x:v>927</x:v>
      </x:c>
      <x:c r="B928" s="313" t="s">
        <x:v>16</x:v>
      </x:c>
      <x:c r="C928" s="313" t="s">
        <x:v>57</x:v>
      </x:c>
      <x:c r="D928" s="314">
        <x:v>1</x:v>
      </x:c>
      <x:c r="E928" s="320">
        <x:v>1500</x:v>
      </x:c>
      <x:c r="F928" s="320">
        <x:v>1500</x:v>
      </x:c>
      <x:c r="G928" s="320">
        <x:v>700</x:v>
      </x:c>
      <x:c r="H928" s="313" t="s">
        <x:v>64</x:v>
      </x:c>
      <x:c r="I928" s="313" t="s">
        <x:v>37</x:v>
      </x:c>
      <x:c r="J928" s="316" t="n">
        <x:f>IFERROR(G928/F928,0)</x:f>
        <x:v>0.4666666666666667</x:v>
      </x:c>
      <x:c r="K928" s="312" t="str">
        <x:f>IF(B928="Bilinmeyen Personel","Kontrol","OK")</x:f>
        <x:v>OK</x:v>
      </x:c>
    </x:row>
    <x:row r="929" ht="15.75">
      <x:c r="A929" s="313" t="n">
        <x:f t="shared" si="14">ROW()-ROW($A$2)+1</x:f>
        <x:v>928</x:v>
      </x:c>
      <x:c r="B929" s="313" t="s">
        <x:v>35</x:v>
      </x:c>
      <x:c r="C929" s="313" t="s">
        <x:v>20</x:v>
      </x:c>
      <x:c r="D929" s="314">
        <x:v>1</x:v>
      </x:c>
      <x:c r="E929" s="320">
        <x:v>1350</x:v>
      </x:c>
      <x:c r="F929" s="320">
        <x:v>1350</x:v>
      </x:c>
      <x:c r="G929" s="320">
        <x:v>550</x:v>
      </x:c>
      <x:c r="H929" s="313" t="s">
        <x:v>64</x:v>
      </x:c>
      <x:c r="I929" s="313" t="s">
        <x:v>12</x:v>
      </x:c>
      <x:c r="J929" s="316" t="n">
        <x:f>IFERROR(G929/F929,0)</x:f>
        <x:v>0.4074074074074074</x:v>
      </x:c>
      <x:c r="K929" s="312" t="str">
        <x:f>IF(B929="Bilinmeyen Personel","Kontrol","OK")</x:f>
        <x:v>OK</x:v>
      </x:c>
    </x:row>
    <x:row r="930" ht="15.75">
      <x:c r="A930" s="313" t="n">
        <x:f t="shared" si="14">ROW()-ROW($A$2)+1</x:f>
        <x:v>929</x:v>
      </x:c>
      <x:c r="B930" s="313" t="s">
        <x:v>35</x:v>
      </x:c>
      <x:c r="C930" s="313" t="s">
        <x:v>30</x:v>
      </x:c>
      <x:c r="D930" s="314">
        <x:v>3</x:v>
      </x:c>
      <x:c r="E930" s="320">
        <x:v>1200</x:v>
      </x:c>
      <x:c r="F930" s="320">
        <x:v>3600</x:v>
      </x:c>
      <x:c r="G930" s="320">
        <x:v>1200</x:v>
      </x:c>
      <x:c r="H930" s="313" t="s">
        <x:v>64</x:v>
      </x:c>
      <x:c r="I930" s="313" t="s">
        <x:v>15</x:v>
      </x:c>
      <x:c r="J930" s="316" t="n">
        <x:f>IFERROR(G930/F930,0)</x:f>
        <x:v>0.3333333333333333</x:v>
      </x:c>
      <x:c r="K930" s="312" t="str">
        <x:f>IF(B930="Bilinmeyen Personel","Kontrol","OK")</x:f>
        <x:v>OK</x:v>
      </x:c>
    </x:row>
    <x:row r="931" ht="15.75">
      <x:c r="A931" s="313" t="n">
        <x:f t="shared" si="14">ROW()-ROW($A$2)+1</x:f>
        <x:v>930</x:v>
      </x:c>
      <x:c r="B931" s="313" t="s">
        <x:v>13</x:v>
      </x:c>
      <x:c r="C931" s="313" t="s">
        <x:v>55</x:v>
      </x:c>
      <x:c r="D931" s="314">
        <x:v>3</x:v>
      </x:c>
      <x:c r="E931" s="320">
        <x:v>7530</x:v>
      </x:c>
      <x:c r="F931" s="320">
        <x:v>22590</x:v>
      </x:c>
      <x:c r="G931" s="320">
        <x:v>4590</x:v>
      </x:c>
      <x:c r="H931" s="313" t="s">
        <x:v>64</x:v>
      </x:c>
      <x:c r="I931" s="313" t="s">
        <x:v>31</x:v>
      </x:c>
      <x:c r="J931" s="316" t="n">
        <x:f>IFERROR(G931/F931,0)</x:f>
        <x:v>0.20318725099601595</x:v>
      </x:c>
      <x:c r="K931" s="312" t="str">
        <x:f>IF(B931="Bilinmeyen Personel","Kontrol","OK")</x:f>
        <x:v>OK</x:v>
      </x:c>
    </x:row>
    <x:row r="932" ht="15.75">
      <x:c r="A932" s="313" t="n">
        <x:f t="shared" si="14">ROW()-ROW($A$2)+1</x:f>
        <x:v>931</x:v>
      </x:c>
      <x:c r="B932" s="313" t="s">
        <x:v>48</x:v>
      </x:c>
      <x:c r="C932" s="313" t="s">
        <x:v>30</x:v>
      </x:c>
      <x:c r="D932" s="314">
        <x:v>1</x:v>
      </x:c>
      <x:c r="E932" s="320">
        <x:v>1200</x:v>
      </x:c>
      <x:c r="F932" s="320">
        <x:v>1200</x:v>
      </x:c>
      <x:c r="G932" s="320">
        <x:v>400</x:v>
      </x:c>
      <x:c r="H932" s="313" t="s">
        <x:v>64</x:v>
      </x:c>
      <x:c r="I932" s="313" t="s">
        <x:v>54</x:v>
      </x:c>
      <x:c r="J932" s="316" t="n">
        <x:f>IFERROR(G932/F932,0)</x:f>
        <x:v>0.3333333333333333</x:v>
      </x:c>
      <x:c r="K932" s="312" t="str">
        <x:f>IF(B932="Bilinmeyen Personel","Kontrol","OK")</x:f>
        <x:v>OK</x:v>
      </x:c>
    </x:row>
    <x:row r="933" ht="15.75">
      <x:c r="A933" s="313" t="n">
        <x:f t="shared" si="14">ROW()-ROW($A$2)+1</x:f>
        <x:v>932</x:v>
      </x:c>
      <x:c r="B933" s="313" t="s">
        <x:v>38</x:v>
      </x:c>
      <x:c r="C933" s="313" t="s">
        <x:v>33</x:v>
      </x:c>
      <x:c r="D933" s="314">
        <x:v>3</x:v>
      </x:c>
      <x:c r="E933" s="320">
        <x:v>1800</x:v>
      </x:c>
      <x:c r="F933" s="320">
        <x:v>5400</x:v>
      </x:c>
      <x:c r="G933" s="320">
        <x:v>3000</x:v>
      </x:c>
      <x:c r="H933" s="313" t="s">
        <x:v>64</x:v>
      </x:c>
      <x:c r="I933" s="313" t="s">
        <x:v>54</x:v>
      </x:c>
      <x:c r="J933" s="316" t="n">
        <x:f>IFERROR(G933/F933,0)</x:f>
        <x:v>0.5555555555555556</x:v>
      </x:c>
      <x:c r="K933" s="312" t="str">
        <x:f>IF(B933="Bilinmeyen Personel","Kontrol","OK")</x:f>
        <x:v>OK</x:v>
      </x:c>
    </x:row>
    <x:row r="934" ht="15.75">
      <x:c r="A934" s="313" t="n">
        <x:f t="shared" si="14">ROW()-ROW($A$2)+1</x:f>
        <x:v>933</x:v>
      </x:c>
      <x:c r="B934" s="313" t="s">
        <x:v>9</x:v>
      </x:c>
      <x:c r="C934" s="313" t="s">
        <x:v>26</x:v>
      </x:c>
      <x:c r="D934" s="314">
        <x:v>1</x:v>
      </x:c>
      <x:c r="E934" s="320">
        <x:v>7250</x:v>
      </x:c>
      <x:c r="F934" s="320">
        <x:v>7250</x:v>
      </x:c>
      <x:c r="G934" s="320">
        <x:v>2250</x:v>
      </x:c>
      <x:c r="H934" s="313" t="s">
        <x:v>65</x:v>
      </x:c>
      <x:c r="I934" s="313" t="s">
        <x:v>41</x:v>
      </x:c>
      <x:c r="J934" s="316" t="n">
        <x:f>IFERROR(G934/F934,0)</x:f>
        <x:v>0.3103448275862069</x:v>
      </x:c>
      <x:c r="K934" s="312" t="str">
        <x:f>IF(B934="Bilinmeyen Personel","Kontrol","OK")</x:f>
        <x:v>OK</x:v>
      </x:c>
    </x:row>
    <x:row r="935" ht="15.75">
      <x:c r="A935" s="313" t="n">
        <x:f t="shared" si="14">ROW()-ROW($A$2)+1</x:f>
        <x:v>934</x:v>
      </x:c>
      <x:c r="B935" s="313" t="s">
        <x:v>40</x:v>
      </x:c>
      <x:c r="C935" s="313" t="s">
        <x:v>43</x:v>
      </x:c>
      <x:c r="D935" s="314">
        <x:v>3</x:v>
      </x:c>
      <x:c r="E935" s="320">
        <x:v>1490</x:v>
      </x:c>
      <x:c r="F935" s="320">
        <x:v>4470</x:v>
      </x:c>
      <x:c r="G935" s="320">
        <x:v>2070</x:v>
      </x:c>
      <x:c r="H935" s="313" t="s">
        <x:v>65</x:v>
      </x:c>
      <x:c r="I935" s="313" t="s">
        <x:v>42</x:v>
      </x:c>
      <x:c r="J935" s="316" t="n">
        <x:f>IFERROR(G935/F935,0)</x:f>
        <x:v>0.46308724832214765</x:v>
      </x:c>
      <x:c r="K935" s="312" t="str">
        <x:f>IF(B935="Bilinmeyen Personel","Kontrol","OK")</x:f>
        <x:v>OK</x:v>
      </x:c>
    </x:row>
    <x:row r="936" ht="15.75">
      <x:c r="A936" s="313" t="n">
        <x:f t="shared" si="14">ROW()-ROW($A$2)+1</x:f>
        <x:v>935</x:v>
      </x:c>
      <x:c r="B936" s="313" t="s">
        <x:v>40</x:v>
      </x:c>
      <x:c r="C936" s="313" t="s">
        <x:v>53</x:v>
      </x:c>
      <x:c r="D936" s="314">
        <x:v>1</x:v>
      </x:c>
      <x:c r="E936" s="320">
        <x:v>1200</x:v>
      </x:c>
      <x:c r="F936" s="320">
        <x:v>1200</x:v>
      </x:c>
      <x:c r="G936" s="320">
        <x:v>400</x:v>
      </x:c>
      <x:c r="H936" s="313" t="s">
        <x:v>65</x:v>
      </x:c>
      <x:c r="I936" s="313" t="s">
        <x:v>44</x:v>
      </x:c>
      <x:c r="J936" s="316" t="n">
        <x:f>IFERROR(G936/F936,0)</x:f>
        <x:v>0.3333333333333333</x:v>
      </x:c>
      <x:c r="K936" s="312" t="str">
        <x:f>IF(B936="Bilinmeyen Personel","Kontrol","OK")</x:f>
        <x:v>OK</x:v>
      </x:c>
    </x:row>
    <x:row r="937" ht="15.75">
      <x:c r="A937" s="313" t="n">
        <x:f t="shared" si="14">ROW()-ROW($A$2)+1</x:f>
        <x:v>936</x:v>
      </x:c>
      <x:c r="B937" s="313" t="s">
        <x:v>13</x:v>
      </x:c>
      <x:c r="C937" s="313" t="s">
        <x:v>36</x:v>
      </x:c>
      <x:c r="D937" s="314">
        <x:v>1</x:v>
      </x:c>
      <x:c r="E937" s="320">
        <x:v>8000</x:v>
      </x:c>
      <x:c r="F937" s="320">
        <x:v>8000</x:v>
      </x:c>
      <x:c r="G937" s="320">
        <x:v>2000</x:v>
      </x:c>
      <x:c r="H937" s="313" t="s">
        <x:v>65</x:v>
      </x:c>
      <x:c r="I937" s="313" t="s">
        <x:v>54</x:v>
      </x:c>
      <x:c r="J937" s="316" t="n">
        <x:f>IFERROR(G937/F937,0)</x:f>
        <x:v>0.25</x:v>
      </x:c>
      <x:c r="K937" s="312" t="str">
        <x:f>IF(B937="Bilinmeyen Personel","Kontrol","OK")</x:f>
        <x:v>OK</x:v>
      </x:c>
    </x:row>
    <x:row r="938" ht="15.75">
      <x:c r="A938" s="313" t="n">
        <x:f t="shared" si="14">ROW()-ROW($A$2)+1</x:f>
        <x:v>937</x:v>
      </x:c>
      <x:c r="B938" s="313" t="s">
        <x:v>32</x:v>
      </x:c>
      <x:c r="C938" s="313" t="s">
        <x:v>14</x:v>
      </x:c>
      <x:c r="D938" s="314">
        <x:v>1</x:v>
      </x:c>
      <x:c r="E938" s="320">
        <x:v>1400</x:v>
      </x:c>
      <x:c r="F938" s="320">
        <x:v>1400</x:v>
      </x:c>
      <x:c r="G938" s="320">
        <x:v>600</x:v>
      </x:c>
      <x:c r="H938" s="313" t="s">
        <x:v>65</x:v>
      </x:c>
      <x:c r="I938" s="313" t="s">
        <x:v>31</x:v>
      </x:c>
      <x:c r="J938" s="316" t="n">
        <x:f>IFERROR(G938/F938,0)</x:f>
        <x:v>0.42857142857142855</x:v>
      </x:c>
      <x:c r="K938" s="312" t="str">
        <x:f>IF(B938="Bilinmeyen Personel","Kontrol","OK")</x:f>
        <x:v>OK</x:v>
      </x:c>
    </x:row>
    <x:row r="939" ht="15.75">
      <x:c r="A939" s="313" t="n">
        <x:f t="shared" si="14">ROW()-ROW($A$2)+1</x:f>
        <x:v>938</x:v>
      </x:c>
      <x:c r="B939" s="313" t="s">
        <x:v>29</x:v>
      </x:c>
      <x:c r="C939" s="313" t="s">
        <x:v>20</x:v>
      </x:c>
      <x:c r="D939" s="314">
        <x:v>1</x:v>
      </x:c>
      <x:c r="E939" s="320">
        <x:v>1350</x:v>
      </x:c>
      <x:c r="F939" s="320">
        <x:v>1350</x:v>
      </x:c>
      <x:c r="G939" s="320">
        <x:v>550</x:v>
      </x:c>
      <x:c r="H939" s="313" t="s">
        <x:v>65</x:v>
      </x:c>
      <x:c r="I939" s="313" t="s">
        <x:v>46</x:v>
      </x:c>
      <x:c r="J939" s="316" t="n">
        <x:f>IFERROR(G939/F939,0)</x:f>
        <x:v>0.4074074074074074</x:v>
      </x:c>
      <x:c r="K939" s="312" t="str">
        <x:f>IF(B939="Bilinmeyen Personel","Kontrol","OK")</x:f>
        <x:v>OK</x:v>
      </x:c>
    </x:row>
    <x:row r="940" ht="15.75">
      <x:c r="A940" s="313" t="n">
        <x:f t="shared" si="14">ROW()-ROW($A$2)+1</x:f>
        <x:v>939</x:v>
      </x:c>
      <x:c r="B940" s="313" t="s">
        <x:v>38</x:v>
      </x:c>
      <x:c r="C940" s="313" t="s">
        <x:v>53</x:v>
      </x:c>
      <x:c r="D940" s="314">
        <x:v>1</x:v>
      </x:c>
      <x:c r="E940" s="320">
        <x:v>1200</x:v>
      </x:c>
      <x:c r="F940" s="320">
        <x:v>1200</x:v>
      </x:c>
      <x:c r="G940" s="320">
        <x:v>400</x:v>
      </x:c>
      <x:c r="H940" s="313" t="s">
        <x:v>65</x:v>
      </x:c>
      <x:c r="I940" s="313" t="s">
        <x:v>31</x:v>
      </x:c>
      <x:c r="J940" s="316" t="n">
        <x:f>IFERROR(G940/F940,0)</x:f>
        <x:v>0.3333333333333333</x:v>
      </x:c>
      <x:c r="K940" s="312" t="str">
        <x:f>IF(B940="Bilinmeyen Personel","Kontrol","OK")</x:f>
        <x:v>OK</x:v>
      </x:c>
    </x:row>
    <x:row r="941" ht="15.75">
      <x:c r="A941" s="313" t="n">
        <x:f t="shared" si="14">ROW()-ROW($A$2)+1</x:f>
        <x:v>940</x:v>
      </x:c>
      <x:c r="B941" s="313" t="s">
        <x:v>32</x:v>
      </x:c>
      <x:c r="C941" s="313" t="s">
        <x:v>56</x:v>
      </x:c>
      <x:c r="D941" s="314">
        <x:v>1</x:v>
      </x:c>
      <x:c r="E941" s="320">
        <x:v>5300</x:v>
      </x:c>
      <x:c r="F941" s="320">
        <x:v>5300</x:v>
      </x:c>
      <x:c r="G941" s="320">
        <x:v>1300</x:v>
      </x:c>
      <x:c r="H941" s="313" t="s">
        <x:v>65</x:v>
      </x:c>
      <x:c r="I941" s="313" t="s">
        <x:v>41</x:v>
      </x:c>
      <x:c r="J941" s="316" t="n">
        <x:f>IFERROR(G941/F941,0)</x:f>
        <x:v>0.24528301886792453</x:v>
      </x:c>
      <x:c r="K941" s="312" t="str">
        <x:f>IF(B941="Bilinmeyen Personel","Kontrol","OK")</x:f>
        <x:v>OK</x:v>
      </x:c>
    </x:row>
    <x:row r="942" ht="15.75">
      <x:c r="A942" s="313" t="n">
        <x:f t="shared" si="14">ROW()-ROW($A$2)+1</x:f>
        <x:v>941</x:v>
      </x:c>
      <x:c r="B942" s="313" t="s">
        <x:v>40</x:v>
      </x:c>
      <x:c r="C942" s="313" t="s">
        <x:v>39</x:v>
      </x:c>
      <x:c r="D942" s="314">
        <x:v>3</x:v>
      </x:c>
      <x:c r="E942" s="320">
        <x:v>10590</x:v>
      </x:c>
      <x:c r="F942" s="320">
        <x:v>31770</x:v>
      </x:c>
      <x:c r="G942" s="320">
        <x:v>13770</x:v>
      </x:c>
      <x:c r="H942" s="313" t="s">
        <x:v>65</x:v>
      </x:c>
      <x:c r="I942" s="313" t="s">
        <x:v>46</x:v>
      </x:c>
      <x:c r="J942" s="316" t="n">
        <x:f>IFERROR(G942/F942,0)</x:f>
        <x:v>0.43342776203966005</x:v>
      </x:c>
      <x:c r="K942" s="312" t="str">
        <x:f>IF(B942="Bilinmeyen Personel","Kontrol","OK")</x:f>
        <x:v>OK</x:v>
      </x:c>
    </x:row>
    <x:row r="943" ht="15.75">
      <x:c r="A943" s="313" t="n">
        <x:f t="shared" si="14">ROW()-ROW($A$2)+1</x:f>
        <x:v>942</x:v>
      </x:c>
      <x:c r="B943" s="313" t="s">
        <x:v>23</x:v>
      </x:c>
      <x:c r="C943" s="313" t="s">
        <x:v>52</x:v>
      </x:c>
      <x:c r="D943" s="314">
        <x:v>1</x:v>
      </x:c>
      <x:c r="E943" s="320">
        <x:v>1250</x:v>
      </x:c>
      <x:c r="F943" s="320">
        <x:v>1250</x:v>
      </x:c>
      <x:c r="G943" s="320">
        <x:v>450</x:v>
      </x:c>
      <x:c r="H943" s="313" t="s">
        <x:v>65</x:v>
      </x:c>
      <x:c r="I943" s="313" t="s">
        <x:v>44</x:v>
      </x:c>
      <x:c r="J943" s="316" t="n">
        <x:f>IFERROR(G943/F943,0)</x:f>
        <x:v>0.36</x:v>
      </x:c>
      <x:c r="K943" s="312" t="str">
        <x:f>IF(B943="Bilinmeyen Personel","Kontrol","OK")</x:f>
        <x:v>OK</x:v>
      </x:c>
    </x:row>
    <x:row r="944" ht="15.75">
      <x:c r="A944" s="313" t="n">
        <x:f t="shared" si="14">ROW()-ROW($A$2)+1</x:f>
        <x:v>943</x:v>
      </x:c>
      <x:c r="B944" s="313" t="s">
        <x:v>50</x:v>
      </x:c>
      <x:c r="C944" s="313" t="s">
        <x:v>53</x:v>
      </x:c>
      <x:c r="D944" s="314">
        <x:v>1</x:v>
      </x:c>
      <x:c r="E944" s="320">
        <x:v>1200</x:v>
      </x:c>
      <x:c r="F944" s="320">
        <x:v>1200</x:v>
      </x:c>
      <x:c r="G944" s="320">
        <x:v>400</x:v>
      </x:c>
      <x:c r="H944" s="313" t="s">
        <x:v>65</x:v>
      </x:c>
      <x:c r="I944" s="313" t="s">
        <x:v>12</x:v>
      </x:c>
      <x:c r="J944" s="316" t="n">
        <x:f>IFERROR(G944/F944,0)</x:f>
        <x:v>0.3333333333333333</x:v>
      </x:c>
      <x:c r="K944" s="312" t="str">
        <x:f>IF(B944="Bilinmeyen Personel","Kontrol","OK")</x:f>
        <x:v>OK</x:v>
      </x:c>
    </x:row>
    <x:row r="945" ht="15.75">
      <x:c r="A945" s="313" t="n">
        <x:f t="shared" si="14">ROW()-ROW($A$2)+1</x:f>
        <x:v>944</x:v>
      </x:c>
      <x:c r="B945" s="313" t="s">
        <x:v>23</x:v>
      </x:c>
      <x:c r="C945" s="313" t="s">
        <x:v>14</x:v>
      </x:c>
      <x:c r="D945" s="314">
        <x:v>3</x:v>
      </x:c>
      <x:c r="E945" s="320">
        <x:v>1400</x:v>
      </x:c>
      <x:c r="F945" s="320">
        <x:v>4200</x:v>
      </x:c>
      <x:c r="G945" s="320">
        <x:v>1800</x:v>
      </x:c>
      <x:c r="H945" s="313" t="s">
        <x:v>65</x:v>
      </x:c>
      <x:c r="I945" s="313" t="s">
        <x:v>25</x:v>
      </x:c>
      <x:c r="J945" s="316" t="n">
        <x:f>IFERROR(G945/F945,0)</x:f>
        <x:v>0.42857142857142855</x:v>
      </x:c>
      <x:c r="K945" s="312" t="str">
        <x:f>IF(B945="Bilinmeyen Personel","Kontrol","OK")</x:f>
        <x:v>OK</x:v>
      </x:c>
    </x:row>
    <x:row r="946" ht="15.75">
      <x:c r="A946" s="313" t="n">
        <x:f t="shared" si="14">ROW()-ROW($A$2)+1</x:f>
        <x:v>945</x:v>
      </x:c>
      <x:c r="B946" s="313" t="s">
        <x:v>50</x:v>
      </x:c>
      <x:c r="C946" s="313" t="s">
        <x:v>55</x:v>
      </x:c>
      <x:c r="D946" s="314">
        <x:v>2</x:v>
      </x:c>
      <x:c r="E946" s="320">
        <x:v>7530</x:v>
      </x:c>
      <x:c r="F946" s="320">
        <x:v>15060</x:v>
      </x:c>
      <x:c r="G946" s="320">
        <x:v>3060</x:v>
      </x:c>
      <x:c r="H946" s="313" t="s">
        <x:v>65</x:v>
      </x:c>
      <x:c r="I946" s="313" t="s">
        <x:v>46</x:v>
      </x:c>
      <x:c r="J946" s="316" t="n">
        <x:f>IFERROR(G946/F946,0)</x:f>
        <x:v>0.20318725099601595</x:v>
      </x:c>
      <x:c r="K946" s="312" t="str">
        <x:f>IF(B946="Bilinmeyen Personel","Kontrol","OK")</x:f>
        <x:v>OK</x:v>
      </x:c>
    </x:row>
    <x:row r="947" ht="15.75">
      <x:c r="A947" s="313" t="n">
        <x:f t="shared" si="14">ROW()-ROW($A$2)+1</x:f>
        <x:v>946</x:v>
      </x:c>
      <x:c r="B947" s="313" t="s">
        <x:v>32</x:v>
      </x:c>
      <x:c r="C947" s="313" t="s">
        <x:v>24</x:v>
      </x:c>
      <x:c r="D947" s="314">
        <x:v>1</x:v>
      </x:c>
      <x:c r="E947" s="320">
        <x:v>7600</x:v>
      </x:c>
      <x:c r="F947" s="320">
        <x:v>7600</x:v>
      </x:c>
      <x:c r="G947" s="320">
        <x:v>1600</x:v>
      </x:c>
      <x:c r="H947" s="313" t="s">
        <x:v>65</x:v>
      </x:c>
      <x:c r="I947" s="313" t="s">
        <x:v>15</x:v>
      </x:c>
      <x:c r="J947" s="316" t="n">
        <x:f>IFERROR(G947/F947,0)</x:f>
        <x:v>0.21052631578947367</x:v>
      </x:c>
      <x:c r="K947" s="312" t="str">
        <x:f>IF(B947="Bilinmeyen Personel","Kontrol","OK")</x:f>
        <x:v>OK</x:v>
      </x:c>
    </x:row>
    <x:row r="948" ht="15.75">
      <x:c r="A948" s="313" t="n">
        <x:f t="shared" si="14">ROW()-ROW($A$2)+1</x:f>
        <x:v>947</x:v>
      </x:c>
      <x:c r="B948" s="313" t="s">
        <x:v>50</x:v>
      </x:c>
      <x:c r="C948" s="313" t="s">
        <x:v>57</x:v>
      </x:c>
      <x:c r="D948" s="314">
        <x:v>1</x:v>
      </x:c>
      <x:c r="E948" s="320">
        <x:v>1500</x:v>
      </x:c>
      <x:c r="F948" s="320">
        <x:v>1500</x:v>
      </x:c>
      <x:c r="G948" s="320">
        <x:v>700</x:v>
      </x:c>
      <x:c r="H948" s="313" t="s">
        <x:v>65</x:v>
      </x:c>
      <x:c r="I948" s="313" t="s">
        <x:v>21</x:v>
      </x:c>
      <x:c r="J948" s="316" t="n">
        <x:f>IFERROR(G948/F948,0)</x:f>
        <x:v>0.4666666666666667</x:v>
      </x:c>
      <x:c r="K948" s="312" t="str">
        <x:f>IF(B948="Bilinmeyen Personel","Kontrol","OK")</x:f>
        <x:v>OK</x:v>
      </x:c>
    </x:row>
    <x:row r="949" ht="15.75">
      <x:c r="A949" s="313" t="n">
        <x:f t="shared" si="14">ROW()-ROW($A$2)+1</x:f>
        <x:v>948</x:v>
      </x:c>
      <x:c r="B949" s="313" t="s">
        <x:v>40</x:v>
      </x:c>
      <x:c r="C949" s="313" t="s">
        <x:v>51</x:v>
      </x:c>
      <x:c r="D949" s="314">
        <x:v>2</x:v>
      </x:c>
      <x:c r="E949" s="320">
        <x:v>2180</x:v>
      </x:c>
      <x:c r="F949" s="320">
        <x:v>4360</x:v>
      </x:c>
      <x:c r="G949" s="320">
        <x:v>1360</x:v>
      </x:c>
      <x:c r="H949" s="313" t="s">
        <x:v>65</x:v>
      </x:c>
      <x:c r="I949" s="313" t="s">
        <x:v>25</x:v>
      </x:c>
      <x:c r="J949" s="316" t="n">
        <x:f>IFERROR(G949/F949,0)</x:f>
        <x:v>0.3119266055045872</x:v>
      </x:c>
      <x:c r="K949" s="312" t="str">
        <x:f>IF(B949="Bilinmeyen Personel","Kontrol","OK")</x:f>
        <x:v>OK</x:v>
      </x:c>
    </x:row>
    <x:row r="950" ht="15.75">
      <x:c r="A950" s="313" t="n">
        <x:f t="shared" si="14">ROW()-ROW($A$2)+1</x:f>
        <x:v>949</x:v>
      </x:c>
      <x:c r="B950" s="313" t="s">
        <x:v>19</x:v>
      </x:c>
      <x:c r="C950" s="313" t="s">
        <x:v>22</x:v>
      </x:c>
      <x:c r="D950" s="314">
        <x:v>1</x:v>
      </x:c>
      <x:c r="E950" s="320">
        <x:v>2180</x:v>
      </x:c>
      <x:c r="F950" s="320">
        <x:v>2180</x:v>
      </x:c>
      <x:c r="G950" s="320">
        <x:v>680</x:v>
      </x:c>
      <x:c r="H950" s="313" t="s">
        <x:v>65</x:v>
      </x:c>
      <x:c r="I950" s="313" t="s">
        <x:v>46</x:v>
      </x:c>
      <x:c r="J950" s="316" t="n">
        <x:f>IFERROR(G950/F950,0)</x:f>
        <x:v>0.3119266055045872</x:v>
      </x:c>
      <x:c r="K950" s="312" t="str">
        <x:f>IF(B950="Bilinmeyen Personel","Kontrol","OK")</x:f>
        <x:v>OK</x:v>
      </x:c>
    </x:row>
    <x:row r="951" ht="15.75">
      <x:c r="A951" s="313" t="n">
        <x:f t="shared" si="14">ROW()-ROW($A$2)+1</x:f>
        <x:v>950</x:v>
      </x:c>
      <x:c r="B951" s="313" t="s">
        <x:v>40</x:v>
      </x:c>
      <x:c r="C951" s="313" t="s">
        <x:v>47</x:v>
      </x:c>
      <x:c r="D951" s="314">
        <x:v>1</x:v>
      </x:c>
      <x:c r="E951" s="320">
        <x:v>5775</x:v>
      </x:c>
      <x:c r="F951" s="320">
        <x:v>5775</x:v>
      </x:c>
      <x:c r="G951" s="320">
        <x:v>1775</x:v>
      </x:c>
      <x:c r="H951" s="313" t="s">
        <x:v>65</x:v>
      </x:c>
      <x:c r="I951" s="313" t="s">
        <x:v>15</x:v>
      </x:c>
      <x:c r="J951" s="316" t="n">
        <x:f>IFERROR(G951/F951,0)</x:f>
        <x:v>0.30735930735930733</x:v>
      </x:c>
      <x:c r="K951" s="312" t="str">
        <x:f>IF(B951="Bilinmeyen Personel","Kontrol","OK")</x:f>
        <x:v>OK</x:v>
      </x:c>
    </x:row>
    <x:row r="952" ht="15.75">
      <x:c r="A952" s="313" t="n">
        <x:f t="shared" si="14">ROW()-ROW($A$2)+1</x:f>
        <x:v>951</x:v>
      </x:c>
      <x:c r="B952" s="313" t="s">
        <x:v>40</x:v>
      </x:c>
      <x:c r="C952" s="313" t="s">
        <x:v>27</x:v>
      </x:c>
      <x:c r="D952" s="314">
        <x:v>3</x:v>
      </x:c>
      <x:c r="E952" s="320">
        <x:v>1100</x:v>
      </x:c>
      <x:c r="F952" s="320">
        <x:v>3300</x:v>
      </x:c>
      <x:c r="G952" s="320">
        <x:v>900</x:v>
      </x:c>
      <x:c r="H952" s="313" t="s">
        <x:v>65</x:v>
      </x:c>
      <x:c r="I952" s="313" t="s">
        <x:v>44</x:v>
      </x:c>
      <x:c r="J952" s="316" t="n">
        <x:f>IFERROR(G952/F952,0)</x:f>
        <x:v>0.2727272727272727</x:v>
      </x:c>
      <x:c r="K952" s="312" t="str">
        <x:f>IF(B952="Bilinmeyen Personel","Kontrol","OK")</x:f>
        <x:v>OK</x:v>
      </x:c>
    </x:row>
    <x:row r="953" ht="15.75">
      <x:c r="A953" s="313" t="n">
        <x:f t="shared" si="14">ROW()-ROW($A$2)+1</x:f>
        <x:v>952</x:v>
      </x:c>
      <x:c r="B953" s="313" t="s">
        <x:v>48</x:v>
      </x:c>
      <x:c r="C953" s="313" t="s">
        <x:v>47</x:v>
      </x:c>
      <x:c r="D953" s="314">
        <x:v>1</x:v>
      </x:c>
      <x:c r="E953" s="320">
        <x:v>5775</x:v>
      </x:c>
      <x:c r="F953" s="320">
        <x:v>5775</x:v>
      </x:c>
      <x:c r="G953" s="320">
        <x:v>1775</x:v>
      </x:c>
      <x:c r="H953" s="313" t="s">
        <x:v>65</x:v>
      </x:c>
      <x:c r="I953" s="313" t="s">
        <x:v>41</x:v>
      </x:c>
      <x:c r="J953" s="316" t="n">
        <x:f>IFERROR(G953/F953,0)</x:f>
        <x:v>0.30735930735930733</x:v>
      </x:c>
      <x:c r="K953" s="312" t="str">
        <x:f>IF(B953="Bilinmeyen Personel","Kontrol","OK")</x:f>
        <x:v>OK</x:v>
      </x:c>
    </x:row>
    <x:row r="954" ht="15.75">
      <x:c r="A954" s="313" t="n">
        <x:f t="shared" si="14">ROW()-ROW($A$2)+1</x:f>
        <x:v>953</x:v>
      </x:c>
      <x:c r="B954" s="313" t="s">
        <x:v>35</x:v>
      </x:c>
      <x:c r="C954" s="313" t="s">
        <x:v>20</x:v>
      </x:c>
      <x:c r="D954" s="314">
        <x:v>1</x:v>
      </x:c>
      <x:c r="E954" s="320">
        <x:v>1350</x:v>
      </x:c>
      <x:c r="F954" s="320">
        <x:v>1350</x:v>
      </x:c>
      <x:c r="G954" s="320">
        <x:v>550</x:v>
      </x:c>
      <x:c r="H954" s="313" t="s">
        <x:v>65</x:v>
      </x:c>
      <x:c r="I954" s="313" t="s">
        <x:v>31</x:v>
      </x:c>
      <x:c r="J954" s="316" t="n">
        <x:f>IFERROR(G954/F954,0)</x:f>
        <x:v>0.4074074074074074</x:v>
      </x:c>
      <x:c r="K954" s="312" t="str">
        <x:f>IF(B954="Bilinmeyen Personel","Kontrol","OK")</x:f>
        <x:v>OK</x:v>
      </x:c>
    </x:row>
    <x:row r="955" ht="15.75">
      <x:c r="A955" s="313" t="n">
        <x:f t="shared" si="14">ROW()-ROW($A$2)+1</x:f>
        <x:v>954</x:v>
      </x:c>
      <x:c r="B955" s="313" t="s">
        <x:v>9</x:v>
      </x:c>
      <x:c r="C955" s="313" t="s">
        <x:v>24</x:v>
      </x:c>
      <x:c r="D955" s="314">
        <x:v>3</x:v>
      </x:c>
      <x:c r="E955" s="320">
        <x:v>7600</x:v>
      </x:c>
      <x:c r="F955" s="320">
        <x:v>22800</x:v>
      </x:c>
      <x:c r="G955" s="320">
        <x:v>4800</x:v>
      </x:c>
      <x:c r="H955" s="313" t="s">
        <x:v>65</x:v>
      </x:c>
      <x:c r="I955" s="313" t="s">
        <x:v>54</x:v>
      </x:c>
      <x:c r="J955" s="316" t="n">
        <x:f>IFERROR(G955/F955,0)</x:f>
        <x:v>0.21052631578947367</x:v>
      </x:c>
      <x:c r="K955" s="312" t="str">
        <x:f>IF(B955="Bilinmeyen Personel","Kontrol","OK")</x:f>
        <x:v>OK</x:v>
      </x:c>
    </x:row>
    <x:row r="956" ht="15.75">
      <x:c r="A956" s="313" t="n">
        <x:f t="shared" si="14">ROW()-ROW($A$2)+1</x:f>
        <x:v>955</x:v>
      </x:c>
      <x:c r="B956" s="313" t="s">
        <x:v>16</x:v>
      </x:c>
      <x:c r="C956" s="313" t="s">
        <x:v>26</x:v>
      </x:c>
      <x:c r="D956" s="314">
        <x:v>3</x:v>
      </x:c>
      <x:c r="E956" s="320">
        <x:v>7250</x:v>
      </x:c>
      <x:c r="F956" s="320">
        <x:v>21750</x:v>
      </x:c>
      <x:c r="G956" s="320">
        <x:v>6750</x:v>
      </x:c>
      <x:c r="H956" s="313" t="s">
        <x:v>65</x:v>
      </x:c>
      <x:c r="I956" s="313" t="s">
        <x:v>42</x:v>
      </x:c>
      <x:c r="J956" s="316" t="n">
        <x:f>IFERROR(G956/F956,0)</x:f>
        <x:v>0.3103448275862069</x:v>
      </x:c>
      <x:c r="K956" s="312" t="str">
        <x:f>IF(B956="Bilinmeyen Personel","Kontrol","OK")</x:f>
        <x:v>OK</x:v>
      </x:c>
    </x:row>
    <x:row r="957" ht="15.75">
      <x:c r="A957" s="313" t="n">
        <x:f t="shared" si="14">ROW()-ROW($A$2)+1</x:f>
        <x:v>956</x:v>
      </x:c>
      <x:c r="B957" s="313" t="s">
        <x:v>50</x:v>
      </x:c>
      <x:c r="C957" s="313" t="s">
        <x:v>43</x:v>
      </x:c>
      <x:c r="D957" s="314">
        <x:v>2</x:v>
      </x:c>
      <x:c r="E957" s="320">
        <x:v>1490</x:v>
      </x:c>
      <x:c r="F957" s="320">
        <x:v>2980</x:v>
      </x:c>
      <x:c r="G957" s="320">
        <x:v>1380</x:v>
      </x:c>
      <x:c r="H957" s="313" t="s">
        <x:v>65</x:v>
      </x:c>
      <x:c r="I957" s="313" t="s">
        <x:v>18</x:v>
      </x:c>
      <x:c r="J957" s="316" t="n">
        <x:f>IFERROR(G957/F957,0)</x:f>
        <x:v>0.46308724832214765</x:v>
      </x:c>
      <x:c r="K957" s="312" t="str">
        <x:f>IF(B957="Bilinmeyen Personel","Kontrol","OK")</x:f>
        <x:v>OK</x:v>
      </x:c>
    </x:row>
    <x:row r="958" ht="15.75">
      <x:c r="A958" s="313" t="n">
        <x:f t="shared" si="14">ROW()-ROW($A$2)+1</x:f>
        <x:v>957</x:v>
      </x:c>
      <x:c r="B958" s="313" t="s">
        <x:v>19</x:v>
      </x:c>
      <x:c r="C958" s="313" t="s">
        <x:v>43</x:v>
      </x:c>
      <x:c r="D958" s="314">
        <x:v>2</x:v>
      </x:c>
      <x:c r="E958" s="320">
        <x:v>1490</x:v>
      </x:c>
      <x:c r="F958" s="320">
        <x:v>2980</x:v>
      </x:c>
      <x:c r="G958" s="320">
        <x:v>1380</x:v>
      </x:c>
      <x:c r="H958" s="313" t="s">
        <x:v>65</x:v>
      </x:c>
      <x:c r="I958" s="313" t="s">
        <x:v>12</x:v>
      </x:c>
      <x:c r="J958" s="316" t="n">
        <x:f>IFERROR(G958/F958,0)</x:f>
        <x:v>0.46308724832214765</x:v>
      </x:c>
      <x:c r="K958" s="312" t="str">
        <x:f>IF(B958="Bilinmeyen Personel","Kontrol","OK")</x:f>
        <x:v>OK</x:v>
      </x:c>
    </x:row>
    <x:row r="959" ht="15.75">
      <x:c r="A959" s="313" t="n">
        <x:f t="shared" si="14">ROW()-ROW($A$2)+1</x:f>
        <x:v>958</x:v>
      </x:c>
      <x:c r="B959" s="313" t="s">
        <x:v>38</x:v>
      </x:c>
      <x:c r="C959" s="313" t="s">
        <x:v>34</x:v>
      </x:c>
      <x:c r="D959" s="314">
        <x:v>2</x:v>
      </x:c>
      <x:c r="E959" s="320">
        <x:v>1090</x:v>
      </x:c>
      <x:c r="F959" s="320">
        <x:v>2180</x:v>
      </x:c>
      <x:c r="G959" s="320">
        <x:v>580</x:v>
      </x:c>
      <x:c r="H959" s="313" t="s">
        <x:v>65</x:v>
      </x:c>
      <x:c r="I959" s="313" t="s">
        <x:v>42</x:v>
      </x:c>
      <x:c r="J959" s="316" t="n">
        <x:f>IFERROR(G959/F959,0)</x:f>
        <x:v>0.26605504587155965</x:v>
      </x:c>
      <x:c r="K959" s="312" t="str">
        <x:f>IF(B959="Bilinmeyen Personel","Kontrol","OK")</x:f>
        <x:v>OK</x:v>
      </x:c>
    </x:row>
    <x:row r="960" ht="15.75">
      <x:c r="A960" s="313" t="n">
        <x:f t="shared" si="14">ROW()-ROW($A$2)+1</x:f>
        <x:v>959</x:v>
      </x:c>
      <x:c r="B960" s="313" t="s">
        <x:v>38</x:v>
      </x:c>
      <x:c r="C960" s="313" t="s">
        <x:v>30</x:v>
      </x:c>
      <x:c r="D960" s="314">
        <x:v>3</x:v>
      </x:c>
      <x:c r="E960" s="320">
        <x:v>1200</x:v>
      </x:c>
      <x:c r="F960" s="320">
        <x:v>3600</x:v>
      </x:c>
      <x:c r="G960" s="320">
        <x:v>1200</x:v>
      </x:c>
      <x:c r="H960" s="313" t="s">
        <x:v>65</x:v>
      </x:c>
      <x:c r="I960" s="313" t="s">
        <x:v>46</x:v>
      </x:c>
      <x:c r="J960" s="316" t="n">
        <x:f>IFERROR(G960/F960,0)</x:f>
        <x:v>0.3333333333333333</x:v>
      </x:c>
      <x:c r="K960" s="312" t="str">
        <x:f>IF(B960="Bilinmeyen Personel","Kontrol","OK")</x:f>
        <x:v>OK</x:v>
      </x:c>
    </x:row>
    <x:row r="961" ht="15.75">
      <x:c r="A961" s="313" t="n">
        <x:f t="shared" si="14">ROW()-ROW($A$2)+1</x:f>
        <x:v>960</x:v>
      </x:c>
      <x:c r="B961" s="313" t="s">
        <x:v>50</x:v>
      </x:c>
      <x:c r="C961" s="313" t="s">
        <x:v>34</x:v>
      </x:c>
      <x:c r="D961" s="314">
        <x:v>2</x:v>
      </x:c>
      <x:c r="E961" s="320">
        <x:v>1090</x:v>
      </x:c>
      <x:c r="F961" s="320">
        <x:v>2180</x:v>
      </x:c>
      <x:c r="G961" s="320">
        <x:v>580</x:v>
      </x:c>
      <x:c r="H961" s="313" t="s">
        <x:v>65</x:v>
      </x:c>
      <x:c r="I961" s="313" t="s">
        <x:v>37</x:v>
      </x:c>
      <x:c r="J961" s="316" t="n">
        <x:f>IFERROR(G961/F961,0)</x:f>
        <x:v>0.26605504587155965</x:v>
      </x:c>
      <x:c r="K961" s="312" t="str">
        <x:f>IF(B961="Bilinmeyen Personel","Kontrol","OK")</x:f>
        <x:v>OK</x:v>
      </x:c>
    </x:row>
    <x:row r="962" ht="15.75">
      <x:c r="A962" s="313" t="n">
        <x:f t="shared" si="14">ROW()-ROW($A$2)+1</x:f>
        <x:v>961</x:v>
      </x:c>
      <x:c r="B962" s="313" t="s">
        <x:v>50</x:v>
      </x:c>
      <x:c r="C962" s="313" t="s">
        <x:v>22</x:v>
      </x:c>
      <x:c r="D962" s="314">
        <x:v>3</x:v>
      </x:c>
      <x:c r="E962" s="320">
        <x:v>2180</x:v>
      </x:c>
      <x:c r="F962" s="320">
        <x:v>6540</x:v>
      </x:c>
      <x:c r="G962" s="320">
        <x:v>2040</x:v>
      </x:c>
      <x:c r="H962" s="313" t="s">
        <x:v>65</x:v>
      </x:c>
      <x:c r="I962" s="313" t="s">
        <x:v>12</x:v>
      </x:c>
      <x:c r="J962" s="316" t="n">
        <x:f>IFERROR(G962/F962,0)</x:f>
        <x:v>0.3119266055045872</x:v>
      </x:c>
      <x:c r="K962" s="312" t="str">
        <x:f>IF(B962="Bilinmeyen Personel","Kontrol","OK")</x:f>
        <x:v>OK</x:v>
      </x:c>
    </x:row>
    <x:row r="963" ht="15.75">
      <x:c r="A963" s="313" t="n">
        <x:f t="shared" ref="A963:A1026" si="15">ROW()-ROW($A$2)+1</x:f>
        <x:v>962</x:v>
      </x:c>
      <x:c r="B963" s="313" t="s">
        <x:v>16</x:v>
      </x:c>
      <x:c r="C963" s="313" t="s">
        <x:v>56</x:v>
      </x:c>
      <x:c r="D963" s="314">
        <x:v>3</x:v>
      </x:c>
      <x:c r="E963" s="320">
        <x:v>5300</x:v>
      </x:c>
      <x:c r="F963" s="320">
        <x:v>15900</x:v>
      </x:c>
      <x:c r="G963" s="320">
        <x:v>3900</x:v>
      </x:c>
      <x:c r="H963" s="313" t="s">
        <x:v>65</x:v>
      </x:c>
      <x:c r="I963" s="313" t="s">
        <x:v>42</x:v>
      </x:c>
      <x:c r="J963" s="316" t="n">
        <x:f>IFERROR(G963/F963,0)</x:f>
        <x:v>0.24528301886792453</x:v>
      </x:c>
      <x:c r="K963" s="312" t="str">
        <x:f>IF(B963="Bilinmeyen Personel","Kontrol","OK")</x:f>
        <x:v>OK</x:v>
      </x:c>
    </x:row>
    <x:row r="964" ht="15.75">
      <x:c r="A964" s="313" t="n">
        <x:f t="shared" si="15">ROW()-ROW($A$2)+1</x:f>
        <x:v>963</x:v>
      </x:c>
      <x:c r="B964" s="313" t="s">
        <x:v>50</x:v>
      </x:c>
      <x:c r="C964" s="313" t="s">
        <x:v>56</x:v>
      </x:c>
      <x:c r="D964" s="314">
        <x:v>2</x:v>
      </x:c>
      <x:c r="E964" s="320">
        <x:v>5300</x:v>
      </x:c>
      <x:c r="F964" s="320">
        <x:v>10600</x:v>
      </x:c>
      <x:c r="G964" s="320">
        <x:v>2600</x:v>
      </x:c>
      <x:c r="H964" s="313" t="s">
        <x:v>65</x:v>
      </x:c>
      <x:c r="I964" s="313" t="s">
        <x:v>44</x:v>
      </x:c>
      <x:c r="J964" s="316" t="n">
        <x:f>IFERROR(G964/F964,0)</x:f>
        <x:v>0.24528301886792453</x:v>
      </x:c>
      <x:c r="K964" s="312" t="str">
        <x:f>IF(B964="Bilinmeyen Personel","Kontrol","OK")</x:f>
        <x:v>OK</x:v>
      </x:c>
    </x:row>
    <x:row r="965" ht="15.75">
      <x:c r="A965" s="313" t="n">
        <x:f t="shared" si="15">ROW()-ROW($A$2)+1</x:f>
        <x:v>964</x:v>
      </x:c>
      <x:c r="B965" s="313" t="s">
        <x:v>29</x:v>
      </x:c>
      <x:c r="C965" s="313" t="s">
        <x:v>26</x:v>
      </x:c>
      <x:c r="D965" s="314">
        <x:v>2</x:v>
      </x:c>
      <x:c r="E965" s="320">
        <x:v>7250</x:v>
      </x:c>
      <x:c r="F965" s="320">
        <x:v>14500</x:v>
      </x:c>
      <x:c r="G965" s="320">
        <x:v>4500</x:v>
      </x:c>
      <x:c r="H965" s="313" t="s">
        <x:v>65</x:v>
      </x:c>
      <x:c r="I965" s="313" t="s">
        <x:v>12</x:v>
      </x:c>
      <x:c r="J965" s="316" t="n">
        <x:f>IFERROR(G965/F965,0)</x:f>
        <x:v>0.3103448275862069</x:v>
      </x:c>
      <x:c r="K965" s="312" t="str">
        <x:f>IF(B965="Bilinmeyen Personel","Kontrol","OK")</x:f>
        <x:v>OK</x:v>
      </x:c>
    </x:row>
    <x:row r="966" ht="15.75">
      <x:c r="A966" s="313" t="n">
        <x:f t="shared" si="15">ROW()-ROW($A$2)+1</x:f>
        <x:v>965</x:v>
      </x:c>
      <x:c r="B966" s="313" t="s">
        <x:v>29</x:v>
      </x:c>
      <x:c r="C966" s="313" t="s">
        <x:v>53</x:v>
      </x:c>
      <x:c r="D966" s="314">
        <x:v>3</x:v>
      </x:c>
      <x:c r="E966" s="320">
        <x:v>1200</x:v>
      </x:c>
      <x:c r="F966" s="320">
        <x:v>3600</x:v>
      </x:c>
      <x:c r="G966" s="320">
        <x:v>1200</x:v>
      </x:c>
      <x:c r="H966" s="313" t="s">
        <x:v>65</x:v>
      </x:c>
      <x:c r="I966" s="313" t="s">
        <x:v>12</x:v>
      </x:c>
      <x:c r="J966" s="316" t="n">
        <x:f>IFERROR(G966/F966,0)</x:f>
        <x:v>0.3333333333333333</x:v>
      </x:c>
      <x:c r="K966" s="312" t="str">
        <x:f>IF(B966="Bilinmeyen Personel","Kontrol","OK")</x:f>
        <x:v>OK</x:v>
      </x:c>
    </x:row>
    <x:row r="967" ht="15.75">
      <x:c r="A967" s="313" t="n">
        <x:f t="shared" si="15">ROW()-ROW($A$2)+1</x:f>
        <x:v>966</x:v>
      </x:c>
      <x:c r="B967" s="313" t="s">
        <x:v>19</x:v>
      </x:c>
      <x:c r="C967" s="313" t="s">
        <x:v>10</x:v>
      </x:c>
      <x:c r="D967" s="314">
        <x:v>1</x:v>
      </x:c>
      <x:c r="E967" s="320">
        <x:v>6000</x:v>
      </x:c>
      <x:c r="F967" s="320">
        <x:v>6000</x:v>
      </x:c>
      <x:c r="G967" s="320">
        <x:v>2000</x:v>
      </x:c>
      <x:c r="H967" s="313" t="s">
        <x:v>65</x:v>
      </x:c>
      <x:c r="I967" s="313" t="s">
        <x:v>41</x:v>
      </x:c>
      <x:c r="J967" s="316" t="n">
        <x:f>IFERROR(G967/F967,0)</x:f>
        <x:v>0.3333333333333333</x:v>
      </x:c>
      <x:c r="K967" s="312" t="str">
        <x:f>IF(B967="Bilinmeyen Personel","Kontrol","OK")</x:f>
        <x:v>OK</x:v>
      </x:c>
    </x:row>
    <x:row r="968" ht="15.75">
      <x:c r="A968" s="313" t="n">
        <x:f t="shared" si="15">ROW()-ROW($A$2)+1</x:f>
        <x:v>967</x:v>
      </x:c>
      <x:c r="B968" s="313" t="s">
        <x:v>16</x:v>
      </x:c>
      <x:c r="C968" s="313" t="s">
        <x:v>17</x:v>
      </x:c>
      <x:c r="D968" s="314">
        <x:v>3</x:v>
      </x:c>
      <x:c r="E968" s="320">
        <x:v>8450</x:v>
      </x:c>
      <x:c r="F968" s="320">
        <x:v>25350</x:v>
      </x:c>
      <x:c r="G968" s="320">
        <x:v>7350</x:v>
      </x:c>
      <x:c r="H968" s="313" t="s">
        <x:v>65</x:v>
      </x:c>
      <x:c r="I968" s="313" t="s">
        <x:v>25</x:v>
      </x:c>
      <x:c r="J968" s="316" t="n">
        <x:f>IFERROR(G968/F968,0)</x:f>
        <x:v>0.28994082840236685</x:v>
      </x:c>
      <x:c r="K968" s="312" t="str">
        <x:f>IF(B968="Bilinmeyen Personel","Kontrol","OK")</x:f>
        <x:v>OK</x:v>
      </x:c>
    </x:row>
    <x:row r="969" ht="15.75">
      <x:c r="A969" s="313" t="n">
        <x:f t="shared" si="15">ROW()-ROW($A$2)+1</x:f>
        <x:v>968</x:v>
      </x:c>
      <x:c r="B969" s="313" t="s">
        <x:v>32</x:v>
      </x:c>
      <x:c r="C969" s="313" t="s">
        <x:v>45</x:v>
      </x:c>
      <x:c r="D969" s="314">
        <x:v>1</x:v>
      </x:c>
      <x:c r="E969" s="320">
        <x:v>4200</x:v>
      </x:c>
      <x:c r="F969" s="320">
        <x:v>4200</x:v>
      </x:c>
      <x:c r="G969" s="320">
        <x:v>1200</x:v>
      </x:c>
      <x:c r="H969" s="313" t="s">
        <x:v>65</x:v>
      </x:c>
      <x:c r="I969" s="313" t="s">
        <x:v>18</x:v>
      </x:c>
      <x:c r="J969" s="316" t="n">
        <x:f>IFERROR(G969/F969,0)</x:f>
        <x:v>0.2857142857142857</x:v>
      </x:c>
      <x:c r="K969" s="312" t="str">
        <x:f>IF(B969="Bilinmeyen Personel","Kontrol","OK")</x:f>
        <x:v>OK</x:v>
      </x:c>
    </x:row>
    <x:row r="970" ht="15.75">
      <x:c r="A970" s="313" t="n">
        <x:f t="shared" si="15">ROW()-ROW($A$2)+1</x:f>
        <x:v>969</x:v>
      </x:c>
      <x:c r="B970" s="313" t="s">
        <x:v>32</x:v>
      </x:c>
      <x:c r="C970" s="313" t="s">
        <x:v>39</x:v>
      </x:c>
      <x:c r="D970" s="314">
        <x:v>3</x:v>
      </x:c>
      <x:c r="E970" s="320">
        <x:v>10590</x:v>
      </x:c>
      <x:c r="F970" s="320">
        <x:v>31770</x:v>
      </x:c>
      <x:c r="G970" s="320">
        <x:v>13770</x:v>
      </x:c>
      <x:c r="H970" s="313" t="s">
        <x:v>65</x:v>
      </x:c>
      <x:c r="I970" s="313" t="s">
        <x:v>12</x:v>
      </x:c>
      <x:c r="J970" s="316" t="n">
        <x:f>IFERROR(G970/F970,0)</x:f>
        <x:v>0.43342776203966005</x:v>
      </x:c>
      <x:c r="K970" s="312" t="str">
        <x:f>IF(B970="Bilinmeyen Personel","Kontrol","OK")</x:f>
        <x:v>OK</x:v>
      </x:c>
    </x:row>
    <x:row r="971" ht="15.75">
      <x:c r="A971" s="313" t="n">
        <x:f t="shared" si="15">ROW()-ROW($A$2)+1</x:f>
        <x:v>970</x:v>
      </x:c>
      <x:c r="B971" s="313" t="s">
        <x:v>29</x:v>
      </x:c>
      <x:c r="C971" s="313" t="s">
        <x:v>53</x:v>
      </x:c>
      <x:c r="D971" s="314">
        <x:v>1</x:v>
      </x:c>
      <x:c r="E971" s="320">
        <x:v>1200</x:v>
      </x:c>
      <x:c r="F971" s="320">
        <x:v>1200</x:v>
      </x:c>
      <x:c r="G971" s="320">
        <x:v>400</x:v>
      </x:c>
      <x:c r="H971" s="313" t="s">
        <x:v>65</x:v>
      </x:c>
      <x:c r="I971" s="313" t="s">
        <x:v>25</x:v>
      </x:c>
      <x:c r="J971" s="316" t="n">
        <x:f>IFERROR(G971/F971,0)</x:f>
        <x:v>0.3333333333333333</x:v>
      </x:c>
      <x:c r="K971" s="312" t="str">
        <x:f>IF(B971="Bilinmeyen Personel","Kontrol","OK")</x:f>
        <x:v>OK</x:v>
      </x:c>
    </x:row>
    <x:row r="972" ht="15.75">
      <x:c r="A972" s="313" t="n">
        <x:f t="shared" si="15">ROW()-ROW($A$2)+1</x:f>
        <x:v>971</x:v>
      </x:c>
      <x:c r="B972" s="313" t="s">
        <x:v>48</x:v>
      </x:c>
      <x:c r="C972" s="313" t="s">
        <x:v>27</x:v>
      </x:c>
      <x:c r="D972" s="314">
        <x:v>2</x:v>
      </x:c>
      <x:c r="E972" s="320">
        <x:v>1100</x:v>
      </x:c>
      <x:c r="F972" s="320">
        <x:v>2200</x:v>
      </x:c>
      <x:c r="G972" s="320">
        <x:v>600</x:v>
      </x:c>
      <x:c r="H972" s="313" t="s">
        <x:v>65</x:v>
      </x:c>
      <x:c r="I972" s="313" t="s">
        <x:v>31</x:v>
      </x:c>
      <x:c r="J972" s="316" t="n">
        <x:f>IFERROR(G972/F972,0)</x:f>
        <x:v>0.2727272727272727</x:v>
      </x:c>
      <x:c r="K972" s="312" t="str">
        <x:f>IF(B972="Bilinmeyen Personel","Kontrol","OK")</x:f>
        <x:v>OK</x:v>
      </x:c>
    </x:row>
    <x:row r="973" ht="15.75">
      <x:c r="A973" s="313" t="n">
        <x:f t="shared" si="15">ROW()-ROW($A$2)+1</x:f>
        <x:v>972</x:v>
      </x:c>
      <x:c r="B973" s="313" t="s">
        <x:v>40</x:v>
      </x:c>
      <x:c r="C973" s="313" t="s">
        <x:v>58</x:v>
      </x:c>
      <x:c r="D973" s="314">
        <x:v>2</x:v>
      </x:c>
      <x:c r="E973" s="320">
        <x:v>3700</x:v>
      </x:c>
      <x:c r="F973" s="320">
        <x:v>7400</x:v>
      </x:c>
      <x:c r="G973" s="320">
        <x:v>1400</x:v>
      </x:c>
      <x:c r="H973" s="313" t="s">
        <x:v>65</x:v>
      </x:c>
      <x:c r="I973" s="313" t="s">
        <x:v>15</x:v>
      </x:c>
      <x:c r="J973" s="316" t="n">
        <x:f>IFERROR(G973/F973,0)</x:f>
        <x:v>0.1891891891891892</x:v>
      </x:c>
      <x:c r="K973" s="312" t="str">
        <x:f>IF(B973="Bilinmeyen Personel","Kontrol","OK")</x:f>
        <x:v>OK</x:v>
      </x:c>
    </x:row>
    <x:row r="974" ht="15.75">
      <x:c r="A974" s="313" t="n">
        <x:f t="shared" si="15">ROW()-ROW($A$2)+1</x:f>
        <x:v>973</x:v>
      </x:c>
      <x:c r="B974" s="313" t="s">
        <x:v>13</x:v>
      </x:c>
      <x:c r="C974" s="313" t="s">
        <x:v>58</x:v>
      </x:c>
      <x:c r="D974" s="314">
        <x:v>1</x:v>
      </x:c>
      <x:c r="E974" s="320">
        <x:v>3700</x:v>
      </x:c>
      <x:c r="F974" s="320">
        <x:v>3700</x:v>
      </x:c>
      <x:c r="G974" s="320">
        <x:v>700</x:v>
      </x:c>
      <x:c r="H974" s="313" t="s">
        <x:v>65</x:v>
      </x:c>
      <x:c r="I974" s="313" t="s">
        <x:v>21</x:v>
      </x:c>
      <x:c r="J974" s="316" t="n">
        <x:f>IFERROR(G974/F974,0)</x:f>
        <x:v>0.1891891891891892</x:v>
      </x:c>
      <x:c r="K974" s="312" t="str">
        <x:f>IF(B974="Bilinmeyen Personel","Kontrol","OK")</x:f>
        <x:v>OK</x:v>
      </x:c>
    </x:row>
    <x:row r="975" ht="15.75">
      <x:c r="A975" s="313" t="n">
        <x:f t="shared" si="15">ROW()-ROW($A$2)+1</x:f>
        <x:v>974</x:v>
      </x:c>
      <x:c r="B975" s="313" t="s">
        <x:v>32</x:v>
      </x:c>
      <x:c r="C975" s="313" t="s">
        <x:v>27</x:v>
      </x:c>
      <x:c r="D975" s="314">
        <x:v>3</x:v>
      </x:c>
      <x:c r="E975" s="320">
        <x:v>1100</x:v>
      </x:c>
      <x:c r="F975" s="320">
        <x:v>3300</x:v>
      </x:c>
      <x:c r="G975" s="320">
        <x:v>900</x:v>
      </x:c>
      <x:c r="H975" s="313" t="s">
        <x:v>65</x:v>
      </x:c>
      <x:c r="I975" s="313" t="s">
        <x:v>44</x:v>
      </x:c>
      <x:c r="J975" s="316" t="n">
        <x:f>IFERROR(G975/F975,0)</x:f>
        <x:v>0.2727272727272727</x:v>
      </x:c>
      <x:c r="K975" s="312" t="str">
        <x:f>IF(B975="Bilinmeyen Personel","Kontrol","OK")</x:f>
        <x:v>OK</x:v>
      </x:c>
    </x:row>
    <x:row r="976" ht="15.75">
      <x:c r="A976" s="313" t="n">
        <x:f t="shared" si="15">ROW()-ROW($A$2)+1</x:f>
        <x:v>975</x:v>
      </x:c>
      <x:c r="B976" s="313" t="s">
        <x:v>29</x:v>
      </x:c>
      <x:c r="C976" s="313" t="s">
        <x:v>58</x:v>
      </x:c>
      <x:c r="D976" s="314">
        <x:v>1</x:v>
      </x:c>
      <x:c r="E976" s="320">
        <x:v>3700</x:v>
      </x:c>
      <x:c r="F976" s="320">
        <x:v>3700</x:v>
      </x:c>
      <x:c r="G976" s="320">
        <x:v>700</x:v>
      </x:c>
      <x:c r="H976" s="313" t="s">
        <x:v>65</x:v>
      </x:c>
      <x:c r="I976" s="313" t="s">
        <x:v>42</x:v>
      </x:c>
      <x:c r="J976" s="316" t="n">
        <x:f>IFERROR(G976/F976,0)</x:f>
        <x:v>0.1891891891891892</x:v>
      </x:c>
      <x:c r="K976" s="312" t="str">
        <x:f>IF(B976="Bilinmeyen Personel","Kontrol","OK")</x:f>
        <x:v>OK</x:v>
      </x:c>
    </x:row>
    <x:row r="977" ht="15.75">
      <x:c r="A977" s="313" t="n">
        <x:f t="shared" si="15">ROW()-ROW($A$2)+1</x:f>
        <x:v>976</x:v>
      </x:c>
      <x:c r="B977" s="313" t="s">
        <x:v>48</x:v>
      </x:c>
      <x:c r="C977" s="313" t="s">
        <x:v>43</x:v>
      </x:c>
      <x:c r="D977" s="314">
        <x:v>1</x:v>
      </x:c>
      <x:c r="E977" s="320">
        <x:v>1490</x:v>
      </x:c>
      <x:c r="F977" s="320">
        <x:v>1490</x:v>
      </x:c>
      <x:c r="G977" s="320">
        <x:v>690</x:v>
      </x:c>
      <x:c r="H977" s="313" t="s">
        <x:v>65</x:v>
      </x:c>
      <x:c r="I977" s="313" t="s">
        <x:v>21</x:v>
      </x:c>
      <x:c r="J977" s="316" t="n">
        <x:f>IFERROR(G977/F977,0)</x:f>
        <x:v>0.46308724832214765</x:v>
      </x:c>
      <x:c r="K977" s="312" t="str">
        <x:f>IF(B977="Bilinmeyen Personel","Kontrol","OK")</x:f>
        <x:v>OK</x:v>
      </x:c>
    </x:row>
    <x:row r="978" ht="15.75">
      <x:c r="A978" s="313" t="n">
        <x:f t="shared" si="15">ROW()-ROW($A$2)+1</x:f>
        <x:v>977</x:v>
      </x:c>
      <x:c r="B978" s="313" t="s">
        <x:v>40</x:v>
      </x:c>
      <x:c r="C978" s="313" t="s">
        <x:v>57</x:v>
      </x:c>
      <x:c r="D978" s="314">
        <x:v>1</x:v>
      </x:c>
      <x:c r="E978" s="320">
        <x:v>1500</x:v>
      </x:c>
      <x:c r="F978" s="320">
        <x:v>1500</x:v>
      </x:c>
      <x:c r="G978" s="320">
        <x:v>700</x:v>
      </x:c>
      <x:c r="H978" s="313" t="s">
        <x:v>65</x:v>
      </x:c>
      <x:c r="I978" s="313" t="s">
        <x:v>54</x:v>
      </x:c>
      <x:c r="J978" s="316" t="n">
        <x:f>IFERROR(G978/F978,0)</x:f>
        <x:v>0.4666666666666667</x:v>
      </x:c>
      <x:c r="K978" s="312" t="str">
        <x:f>IF(B978="Bilinmeyen Personel","Kontrol","OK")</x:f>
        <x:v>OK</x:v>
      </x:c>
    </x:row>
    <x:row r="979" ht="15.75">
      <x:c r="A979" s="313" t="n">
        <x:f t="shared" si="15">ROW()-ROW($A$2)+1</x:f>
        <x:v>978</x:v>
      </x:c>
      <x:c r="B979" s="313" t="s">
        <x:v>38</x:v>
      </x:c>
      <x:c r="C979" s="313" t="s">
        <x:v>34</x:v>
      </x:c>
      <x:c r="D979" s="314">
        <x:v>2</x:v>
      </x:c>
      <x:c r="E979" s="320">
        <x:v>1090</x:v>
      </x:c>
      <x:c r="F979" s="320">
        <x:v>2180</x:v>
      </x:c>
      <x:c r="G979" s="320">
        <x:v>580</x:v>
      </x:c>
      <x:c r="H979" s="313" t="s">
        <x:v>65</x:v>
      </x:c>
      <x:c r="I979" s="313" t="s">
        <x:v>42</x:v>
      </x:c>
      <x:c r="J979" s="316" t="n">
        <x:f>IFERROR(G979/F979,0)</x:f>
        <x:v>0.26605504587155965</x:v>
      </x:c>
      <x:c r="K979" s="312" t="str">
        <x:f>IF(B979="Bilinmeyen Personel","Kontrol","OK")</x:f>
        <x:v>OK</x:v>
      </x:c>
    </x:row>
    <x:row r="980" ht="15.75">
      <x:c r="A980" s="313" t="n">
        <x:f t="shared" si="15">ROW()-ROW($A$2)+1</x:f>
        <x:v>979</x:v>
      </x:c>
      <x:c r="B980" s="313" t="s">
        <x:v>48</x:v>
      </x:c>
      <x:c r="C980" s="313" t="s">
        <x:v>33</x:v>
      </x:c>
      <x:c r="D980" s="314">
        <x:v>3</x:v>
      </x:c>
      <x:c r="E980" s="320">
        <x:v>1800</x:v>
      </x:c>
      <x:c r="F980" s="320">
        <x:v>5400</x:v>
      </x:c>
      <x:c r="G980" s="320">
        <x:v>3000</x:v>
      </x:c>
      <x:c r="H980" s="313" t="s">
        <x:v>65</x:v>
      </x:c>
      <x:c r="I980" s="313" t="s">
        <x:v>28</x:v>
      </x:c>
      <x:c r="J980" s="316" t="n">
        <x:f>IFERROR(G980/F980,0)</x:f>
        <x:v>0.5555555555555556</x:v>
      </x:c>
      <x:c r="K980" s="312" t="str">
        <x:f>IF(B980="Bilinmeyen Personel","Kontrol","OK")</x:f>
        <x:v>OK</x:v>
      </x:c>
    </x:row>
    <x:row r="981" ht="15.75">
      <x:c r="A981" s="313" t="n">
        <x:f t="shared" si="15">ROW()-ROW($A$2)+1</x:f>
        <x:v>980</x:v>
      </x:c>
      <x:c r="B981" s="313" t="s">
        <x:v>35</x:v>
      </x:c>
      <x:c r="C981" s="313" t="s">
        <x:v>55</x:v>
      </x:c>
      <x:c r="D981" s="314">
        <x:v>2</x:v>
      </x:c>
      <x:c r="E981" s="320">
        <x:v>7530</x:v>
      </x:c>
      <x:c r="F981" s="320">
        <x:v>15060</x:v>
      </x:c>
      <x:c r="G981" s="320">
        <x:v>3060</x:v>
      </x:c>
      <x:c r="H981" s="313" t="s">
        <x:v>65</x:v>
      </x:c>
      <x:c r="I981" s="313" t="s">
        <x:v>21</x:v>
      </x:c>
      <x:c r="J981" s="316" t="n">
        <x:f>IFERROR(G981/F981,0)</x:f>
        <x:v>0.20318725099601595</x:v>
      </x:c>
      <x:c r="K981" s="312" t="str">
        <x:f>IF(B981="Bilinmeyen Personel","Kontrol","OK")</x:f>
        <x:v>OK</x:v>
      </x:c>
    </x:row>
    <x:row r="982" ht="15.75">
      <x:c r="A982" s="313" t="n">
        <x:f t="shared" si="15">ROW()-ROW($A$2)+1</x:f>
        <x:v>981</x:v>
      </x:c>
      <x:c r="B982" s="313" t="s">
        <x:v>32</x:v>
      </x:c>
      <x:c r="C982" s="313" t="s">
        <x:v>27</x:v>
      </x:c>
      <x:c r="D982" s="314">
        <x:v>3</x:v>
      </x:c>
      <x:c r="E982" s="320">
        <x:v>1100</x:v>
      </x:c>
      <x:c r="F982" s="320">
        <x:v>3300</x:v>
      </x:c>
      <x:c r="G982" s="320">
        <x:v>900</x:v>
      </x:c>
      <x:c r="H982" s="313" t="s">
        <x:v>65</x:v>
      </x:c>
      <x:c r="I982" s="313" t="s">
        <x:v>25</x:v>
      </x:c>
      <x:c r="J982" s="316" t="n">
        <x:f>IFERROR(G982/F982,0)</x:f>
        <x:v>0.2727272727272727</x:v>
      </x:c>
      <x:c r="K982" s="312" t="str">
        <x:f>IF(B982="Bilinmeyen Personel","Kontrol","OK")</x:f>
        <x:v>OK</x:v>
      </x:c>
    </x:row>
    <x:row r="983" ht="15.75">
      <x:c r="A983" s="313" t="n">
        <x:f t="shared" si="15">ROW()-ROW($A$2)+1</x:f>
        <x:v>982</x:v>
      </x:c>
      <x:c r="B983" s="313" t="s">
        <x:v>40</x:v>
      </x:c>
      <x:c r="C983" s="313" t="s">
        <x:v>20</x:v>
      </x:c>
      <x:c r="D983" s="314">
        <x:v>3</x:v>
      </x:c>
      <x:c r="E983" s="320">
        <x:v>1350</x:v>
      </x:c>
      <x:c r="F983" s="320">
        <x:v>4050</x:v>
      </x:c>
      <x:c r="G983" s="320">
        <x:v>1650</x:v>
      </x:c>
      <x:c r="H983" s="313" t="s">
        <x:v>65</x:v>
      </x:c>
      <x:c r="I983" s="313" t="s">
        <x:v>31</x:v>
      </x:c>
      <x:c r="J983" s="316" t="n">
        <x:f>IFERROR(G983/F983,0)</x:f>
        <x:v>0.4074074074074074</x:v>
      </x:c>
      <x:c r="K983" s="312" t="str">
        <x:f>IF(B983="Bilinmeyen Personel","Kontrol","OK")</x:f>
        <x:v>OK</x:v>
      </x:c>
    </x:row>
    <x:row r="984" ht="15.75">
      <x:c r="A984" s="313" t="n">
        <x:f t="shared" si="15">ROW()-ROW($A$2)+1</x:f>
        <x:v>983</x:v>
      </x:c>
      <x:c r="B984" s="313" t="s">
        <x:v>38</x:v>
      </x:c>
      <x:c r="C984" s="313" t="s">
        <x:v>20</x:v>
      </x:c>
      <x:c r="D984" s="314">
        <x:v>1</x:v>
      </x:c>
      <x:c r="E984" s="320">
        <x:v>1350</x:v>
      </x:c>
      <x:c r="F984" s="320">
        <x:v>1350</x:v>
      </x:c>
      <x:c r="G984" s="320">
        <x:v>550</x:v>
      </x:c>
      <x:c r="H984" s="313" t="s">
        <x:v>65</x:v>
      </x:c>
      <x:c r="I984" s="313" t="s">
        <x:v>37</x:v>
      </x:c>
      <x:c r="J984" s="316" t="n">
        <x:f>IFERROR(G984/F984,0)</x:f>
        <x:v>0.4074074074074074</x:v>
      </x:c>
      <x:c r="K984" s="312" t="str">
        <x:f>IF(B984="Bilinmeyen Personel","Kontrol","OK")</x:f>
        <x:v>OK</x:v>
      </x:c>
    </x:row>
    <x:row r="985" ht="15.75">
      <x:c r="A985" s="313" t="n">
        <x:f t="shared" si="15">ROW()-ROW($A$2)+1</x:f>
        <x:v>984</x:v>
      </x:c>
      <x:c r="B985" s="313" t="s">
        <x:v>35</x:v>
      </x:c>
      <x:c r="C985" s="313" t="s">
        <x:v>34</x:v>
      </x:c>
      <x:c r="D985" s="314">
        <x:v>2</x:v>
      </x:c>
      <x:c r="E985" s="320">
        <x:v>1090</x:v>
      </x:c>
      <x:c r="F985" s="320">
        <x:v>2180</x:v>
      </x:c>
      <x:c r="G985" s="320">
        <x:v>580</x:v>
      </x:c>
      <x:c r="H985" s="313" t="s">
        <x:v>65</x:v>
      </x:c>
      <x:c r="I985" s="313" t="s">
        <x:v>41</x:v>
      </x:c>
      <x:c r="J985" s="316" t="n">
        <x:f>IFERROR(G985/F985,0)</x:f>
        <x:v>0.26605504587155965</x:v>
      </x:c>
      <x:c r="K985" s="312" t="str">
        <x:f>IF(B985="Bilinmeyen Personel","Kontrol","OK")</x:f>
        <x:v>OK</x:v>
      </x:c>
    </x:row>
    <x:row r="986" ht="15.75">
      <x:c r="A986" s="313" t="n">
        <x:f t="shared" si="15">ROW()-ROW($A$2)+1</x:f>
        <x:v>985</x:v>
      </x:c>
      <x:c r="B986" s="313" t="s">
        <x:v>35</x:v>
      </x:c>
      <x:c r="C986" s="313" t="s">
        <x:v>45</x:v>
      </x:c>
      <x:c r="D986" s="314">
        <x:v>1</x:v>
      </x:c>
      <x:c r="E986" s="320">
        <x:v>4200</x:v>
      </x:c>
      <x:c r="F986" s="320">
        <x:v>4200</x:v>
      </x:c>
      <x:c r="G986" s="320">
        <x:v>1200</x:v>
      </x:c>
      <x:c r="H986" s="313" t="s">
        <x:v>65</x:v>
      </x:c>
      <x:c r="I986" s="313" t="s">
        <x:v>15</x:v>
      </x:c>
      <x:c r="J986" s="316" t="n">
        <x:f>IFERROR(G986/F986,0)</x:f>
        <x:v>0.2857142857142857</x:v>
      </x:c>
      <x:c r="K986" s="312" t="str">
        <x:f>IF(B986="Bilinmeyen Personel","Kontrol","OK")</x:f>
        <x:v>OK</x:v>
      </x:c>
    </x:row>
    <x:row r="987" ht="15.75">
      <x:c r="A987" s="313" t="n">
        <x:f t="shared" si="15">ROW()-ROW($A$2)+1</x:f>
        <x:v>986</x:v>
      </x:c>
      <x:c r="B987" s="313" t="s">
        <x:v>40</x:v>
      </x:c>
      <x:c r="C987" s="313" t="s">
        <x:v>33</x:v>
      </x:c>
      <x:c r="D987" s="314">
        <x:v>2</x:v>
      </x:c>
      <x:c r="E987" s="320">
        <x:v>1800</x:v>
      </x:c>
      <x:c r="F987" s="320">
        <x:v>3600</x:v>
      </x:c>
      <x:c r="G987" s="320">
        <x:v>2000</x:v>
      </x:c>
      <x:c r="H987" s="313" t="s">
        <x:v>65</x:v>
      </x:c>
      <x:c r="I987" s="313" t="s">
        <x:v>46</x:v>
      </x:c>
      <x:c r="J987" s="316" t="n">
        <x:f>IFERROR(G987/F987,0)</x:f>
        <x:v>0.5555555555555556</x:v>
      </x:c>
      <x:c r="K987" s="312" t="str">
        <x:f>IF(B987="Bilinmeyen Personel","Kontrol","OK")</x:f>
        <x:v>OK</x:v>
      </x:c>
    </x:row>
    <x:row r="988" ht="15.75">
      <x:c r="A988" s="313" t="n">
        <x:f t="shared" si="15">ROW()-ROW($A$2)+1</x:f>
        <x:v>987</x:v>
      </x:c>
      <x:c r="B988" s="313" t="s">
        <x:v>50</x:v>
      </x:c>
      <x:c r="C988" s="313" t="s">
        <x:v>34</x:v>
      </x:c>
      <x:c r="D988" s="314">
        <x:v>1</x:v>
      </x:c>
      <x:c r="E988" s="320">
        <x:v>1090</x:v>
      </x:c>
      <x:c r="F988" s="320">
        <x:v>1090</x:v>
      </x:c>
      <x:c r="G988" s="320">
        <x:v>290</x:v>
      </x:c>
      <x:c r="H988" s="313" t="s">
        <x:v>65</x:v>
      </x:c>
      <x:c r="I988" s="313" t="s">
        <x:v>54</x:v>
      </x:c>
      <x:c r="J988" s="316" t="n">
        <x:f>IFERROR(G988/F988,0)</x:f>
        <x:v>0.26605504587155965</x:v>
      </x:c>
      <x:c r="K988" s="312" t="str">
        <x:f>IF(B988="Bilinmeyen Personel","Kontrol","OK")</x:f>
        <x:v>OK</x:v>
      </x:c>
    </x:row>
    <x:row r="989" ht="15.75">
      <x:c r="A989" s="313" t="n">
        <x:f t="shared" si="15">ROW()-ROW($A$2)+1</x:f>
        <x:v>988</x:v>
      </x:c>
      <x:c r="B989" s="313" t="s">
        <x:v>9</x:v>
      </x:c>
      <x:c r="C989" s="313" t="s">
        <x:v>24</x:v>
      </x:c>
      <x:c r="D989" s="314">
        <x:v>1</x:v>
      </x:c>
      <x:c r="E989" s="320">
        <x:v>7600</x:v>
      </x:c>
      <x:c r="F989" s="320">
        <x:v>7600</x:v>
      </x:c>
      <x:c r="G989" s="320">
        <x:v>1600</x:v>
      </x:c>
      <x:c r="H989" s="313" t="s">
        <x:v>65</x:v>
      </x:c>
      <x:c r="I989" s="313" t="s">
        <x:v>41</x:v>
      </x:c>
      <x:c r="J989" s="316" t="n">
        <x:f>IFERROR(G989/F989,0)</x:f>
        <x:v>0.21052631578947367</x:v>
      </x:c>
      <x:c r="K989" s="312" t="str">
        <x:f>IF(B989="Bilinmeyen Personel","Kontrol","OK")</x:f>
        <x:v>OK</x:v>
      </x:c>
    </x:row>
    <x:row r="990" ht="15.75">
      <x:c r="A990" s="313" t="n">
        <x:f t="shared" si="15">ROW()-ROW($A$2)+1</x:f>
        <x:v>989</x:v>
      </x:c>
      <x:c r="B990" s="313" t="s">
        <x:v>38</x:v>
      </x:c>
      <x:c r="C990" s="313" t="s">
        <x:v>24</x:v>
      </x:c>
      <x:c r="D990" s="314">
        <x:v>3</x:v>
      </x:c>
      <x:c r="E990" s="320">
        <x:v>7600</x:v>
      </x:c>
      <x:c r="F990" s="320">
        <x:v>22800</x:v>
      </x:c>
      <x:c r="G990" s="320">
        <x:v>4800</x:v>
      </x:c>
      <x:c r="H990" s="313" t="s">
        <x:v>65</x:v>
      </x:c>
      <x:c r="I990" s="313" t="s">
        <x:v>31</x:v>
      </x:c>
      <x:c r="J990" s="316" t="n">
        <x:f>IFERROR(G990/F990,0)</x:f>
        <x:v>0.21052631578947367</x:v>
      </x:c>
      <x:c r="K990" s="312" t="str">
        <x:f>IF(B990="Bilinmeyen Personel","Kontrol","OK")</x:f>
        <x:v>OK</x:v>
      </x:c>
    </x:row>
    <x:row r="991" ht="15.75">
      <x:c r="A991" s="313" t="n">
        <x:f t="shared" si="15">ROW()-ROW($A$2)+1</x:f>
        <x:v>990</x:v>
      </x:c>
      <x:c r="B991" s="313" t="s">
        <x:v>16</x:v>
      </x:c>
      <x:c r="C991" s="313" t="s">
        <x:v>58</x:v>
      </x:c>
      <x:c r="D991" s="314">
        <x:v>1</x:v>
      </x:c>
      <x:c r="E991" s="320">
        <x:v>3700</x:v>
      </x:c>
      <x:c r="F991" s="320">
        <x:v>3700</x:v>
      </x:c>
      <x:c r="G991" s="320">
        <x:v>700</x:v>
      </x:c>
      <x:c r="H991" s="313" t="s">
        <x:v>65</x:v>
      </x:c>
      <x:c r="I991" s="313" t="s">
        <x:v>41</x:v>
      </x:c>
      <x:c r="J991" s="316" t="n">
        <x:f>IFERROR(G991/F991,0)</x:f>
        <x:v>0.1891891891891892</x:v>
      </x:c>
      <x:c r="K991" s="312" t="str">
        <x:f>IF(B991="Bilinmeyen Personel","Kontrol","OK")</x:f>
        <x:v>OK</x:v>
      </x:c>
    </x:row>
    <x:row r="992" ht="15.75">
      <x:c r="A992" s="313" t="n">
        <x:f t="shared" si="15">ROW()-ROW($A$2)+1</x:f>
        <x:v>991</x:v>
      </x:c>
      <x:c r="B992" s="313" t="s">
        <x:v>23</x:v>
      </x:c>
      <x:c r="C992" s="313" t="s">
        <x:v>26</x:v>
      </x:c>
      <x:c r="D992" s="314">
        <x:v>3</x:v>
      </x:c>
      <x:c r="E992" s="320">
        <x:v>7250</x:v>
      </x:c>
      <x:c r="F992" s="320">
        <x:v>21750</x:v>
      </x:c>
      <x:c r="G992" s="320">
        <x:v>6750</x:v>
      </x:c>
      <x:c r="H992" s="313" t="s">
        <x:v>65</x:v>
      </x:c>
      <x:c r="I992" s="313" t="s">
        <x:v>21</x:v>
      </x:c>
      <x:c r="J992" s="316" t="n">
        <x:f>IFERROR(G992/F992,0)</x:f>
        <x:v>0.3103448275862069</x:v>
      </x:c>
      <x:c r="K992" s="312" t="str">
        <x:f>IF(B992="Bilinmeyen Personel","Kontrol","OK")</x:f>
        <x:v>OK</x:v>
      </x:c>
    </x:row>
    <x:row r="993" ht="15.75">
      <x:c r="A993" s="313" t="n">
        <x:f t="shared" si="15">ROW()-ROW($A$2)+1</x:f>
        <x:v>992</x:v>
      </x:c>
      <x:c r="B993" s="313" t="s">
        <x:v>13</x:v>
      </x:c>
      <x:c r="C993" s="313" t="s">
        <x:v>24</x:v>
      </x:c>
      <x:c r="D993" s="314">
        <x:v>3</x:v>
      </x:c>
      <x:c r="E993" s="320">
        <x:v>7600</x:v>
      </x:c>
      <x:c r="F993" s="320">
        <x:v>22800</x:v>
      </x:c>
      <x:c r="G993" s="320">
        <x:v>4800</x:v>
      </x:c>
      <x:c r="H993" s="313" t="s">
        <x:v>65</x:v>
      </x:c>
      <x:c r="I993" s="313" t="s">
        <x:v>31</x:v>
      </x:c>
      <x:c r="J993" s="316" t="n">
        <x:f>IFERROR(G993/F993,0)</x:f>
        <x:v>0.21052631578947367</x:v>
      </x:c>
      <x:c r="K993" s="312" t="str">
        <x:f>IF(B993="Bilinmeyen Personel","Kontrol","OK")</x:f>
        <x:v>OK</x:v>
      </x:c>
    </x:row>
    <x:row r="994" ht="15.75">
      <x:c r="A994" s="313" t="n">
        <x:f t="shared" si="15">ROW()-ROW($A$2)+1</x:f>
        <x:v>993</x:v>
      </x:c>
      <x:c r="B994" s="313" t="s">
        <x:v>48</x:v>
      </x:c>
      <x:c r="C994" s="313" t="s">
        <x:v>45</x:v>
      </x:c>
      <x:c r="D994" s="314">
        <x:v>1</x:v>
      </x:c>
      <x:c r="E994" s="320">
        <x:v>4200</x:v>
      </x:c>
      <x:c r="F994" s="320">
        <x:v>4200</x:v>
      </x:c>
      <x:c r="G994" s="320">
        <x:v>1200</x:v>
      </x:c>
      <x:c r="H994" s="313" t="s">
        <x:v>65</x:v>
      </x:c>
      <x:c r="I994" s="313" t="s">
        <x:v>28</x:v>
      </x:c>
      <x:c r="J994" s="316" t="n">
        <x:f>IFERROR(G994/F994,0)</x:f>
        <x:v>0.2857142857142857</x:v>
      </x:c>
      <x:c r="K994" s="312" t="str">
        <x:f>IF(B994="Bilinmeyen Personel","Kontrol","OK")</x:f>
        <x:v>OK</x:v>
      </x:c>
    </x:row>
    <x:row r="995" ht="15.75">
      <x:c r="A995" s="313" t="n">
        <x:f t="shared" si="15">ROW()-ROW($A$2)+1</x:f>
        <x:v>994</x:v>
      </x:c>
      <x:c r="B995" s="313" t="s">
        <x:v>32</x:v>
      </x:c>
      <x:c r="C995" s="313" t="s">
        <x:v>52</x:v>
      </x:c>
      <x:c r="D995" s="314">
        <x:v>3</x:v>
      </x:c>
      <x:c r="E995" s="320">
        <x:v>1250</x:v>
      </x:c>
      <x:c r="F995" s="320">
        <x:v>3750</x:v>
      </x:c>
      <x:c r="G995" s="320">
        <x:v>1350</x:v>
      </x:c>
      <x:c r="H995" s="313" t="s">
        <x:v>65</x:v>
      </x:c>
      <x:c r="I995" s="313" t="s">
        <x:v>12</x:v>
      </x:c>
      <x:c r="J995" s="316" t="n">
        <x:f>IFERROR(G995/F995,0)</x:f>
        <x:v>0.36</x:v>
      </x:c>
      <x:c r="K995" s="312" t="str">
        <x:f>IF(B995="Bilinmeyen Personel","Kontrol","OK")</x:f>
        <x:v>OK</x:v>
      </x:c>
    </x:row>
    <x:row r="996" ht="15.75">
      <x:c r="A996" s="313" t="n">
        <x:f t="shared" si="15">ROW()-ROW($A$2)+1</x:f>
        <x:v>995</x:v>
      </x:c>
      <x:c r="B996" s="313" t="s">
        <x:v>38</x:v>
      </x:c>
      <x:c r="C996" s="313" t="s">
        <x:v>34</x:v>
      </x:c>
      <x:c r="D996" s="314">
        <x:v>1</x:v>
      </x:c>
      <x:c r="E996" s="320">
        <x:v>1090</x:v>
      </x:c>
      <x:c r="F996" s="320">
        <x:v>1090</x:v>
      </x:c>
      <x:c r="G996" s="320">
        <x:v>290</x:v>
      </x:c>
      <x:c r="H996" s="313" t="s">
        <x:v>65</x:v>
      </x:c>
      <x:c r="I996" s="313" t="s">
        <x:v>28</x:v>
      </x:c>
      <x:c r="J996" s="316" t="n">
        <x:f>IFERROR(G996/F996,0)</x:f>
        <x:v>0.26605504587155965</x:v>
      </x:c>
      <x:c r="K996" s="312" t="str">
        <x:f>IF(B996="Bilinmeyen Personel","Kontrol","OK")</x:f>
        <x:v>OK</x:v>
      </x:c>
    </x:row>
    <x:row r="997" ht="15.75">
      <x:c r="A997" s="313" t="n">
        <x:f t="shared" si="15">ROW()-ROW($A$2)+1</x:f>
        <x:v>996</x:v>
      </x:c>
      <x:c r="B997" s="313" t="s">
        <x:v>19</x:v>
      </x:c>
      <x:c r="C997" s="313" t="s">
        <x:v>22</x:v>
      </x:c>
      <x:c r="D997" s="314">
        <x:v>1</x:v>
      </x:c>
      <x:c r="E997" s="320">
        <x:v>2180</x:v>
      </x:c>
      <x:c r="F997" s="320">
        <x:v>2180</x:v>
      </x:c>
      <x:c r="G997" s="320">
        <x:v>680</x:v>
      </x:c>
      <x:c r="H997" s="313" t="s">
        <x:v>65</x:v>
      </x:c>
      <x:c r="I997" s="313" t="s">
        <x:v>46</x:v>
      </x:c>
      <x:c r="J997" s="316" t="n">
        <x:f>IFERROR(G997/F997,0)</x:f>
        <x:v>0.3119266055045872</x:v>
      </x:c>
      <x:c r="K997" s="312" t="str">
        <x:f>IF(B997="Bilinmeyen Personel","Kontrol","OK")</x:f>
        <x:v>OK</x:v>
      </x:c>
    </x:row>
    <x:row r="998" ht="15.75">
      <x:c r="A998" s="313" t="n">
        <x:f t="shared" si="15">ROW()-ROW($A$2)+1</x:f>
        <x:v>997</x:v>
      </x:c>
      <x:c r="B998" s="313" t="s">
        <x:v>50</x:v>
      </x:c>
      <x:c r="C998" s="313" t="s">
        <x:v>58</x:v>
      </x:c>
      <x:c r="D998" s="314">
        <x:v>2</x:v>
      </x:c>
      <x:c r="E998" s="320">
        <x:v>3700</x:v>
      </x:c>
      <x:c r="F998" s="320">
        <x:v>7400</x:v>
      </x:c>
      <x:c r="G998" s="320">
        <x:v>1400</x:v>
      </x:c>
      <x:c r="H998" s="313" t="s">
        <x:v>65</x:v>
      </x:c>
      <x:c r="I998" s="313" t="s">
        <x:v>54</x:v>
      </x:c>
      <x:c r="J998" s="316" t="n">
        <x:f>IFERROR(G998/F998,0)</x:f>
        <x:v>0.1891891891891892</x:v>
      </x:c>
      <x:c r="K998" s="312" t="str">
        <x:f>IF(B998="Bilinmeyen Personel","Kontrol","OK")</x:f>
        <x:v>OK</x:v>
      </x:c>
    </x:row>
    <x:row r="999" ht="15.75">
      <x:c r="A999" s="313" t="n">
        <x:f t="shared" si="15">ROW()-ROW($A$2)+1</x:f>
        <x:v>998</x:v>
      </x:c>
      <x:c r="B999" s="313" t="s">
        <x:v>40</x:v>
      </x:c>
      <x:c r="C999" s="313" t="s">
        <x:v>10</x:v>
      </x:c>
      <x:c r="D999" s="314">
        <x:v>2</x:v>
      </x:c>
      <x:c r="E999" s="320">
        <x:v>6000</x:v>
      </x:c>
      <x:c r="F999" s="320">
        <x:v>12000</x:v>
      </x:c>
      <x:c r="G999" s="320">
        <x:v>4000</x:v>
      </x:c>
      <x:c r="H999" s="313" t="s">
        <x:v>65</x:v>
      </x:c>
      <x:c r="I999" s="313" t="s">
        <x:v>44</x:v>
      </x:c>
      <x:c r="J999" s="316" t="n">
        <x:f>IFERROR(G999/F999,0)</x:f>
        <x:v>0.3333333333333333</x:v>
      </x:c>
      <x:c r="K999" s="312" t="str">
        <x:f>IF(B999="Bilinmeyen Personel","Kontrol","OK")</x:f>
        <x:v>OK</x:v>
      </x:c>
    </x:row>
    <x:row r="1000" ht="15.75">
      <x:c r="A1000" s="313" t="n">
        <x:f t="shared" si="15">ROW()-ROW($A$2)+1</x:f>
        <x:v>999</x:v>
      </x:c>
      <x:c r="B1000" s="313" t="s">
        <x:v>48</x:v>
      </x:c>
      <x:c r="C1000" s="313" t="s">
        <x:v>52</x:v>
      </x:c>
      <x:c r="D1000" s="314">
        <x:v>2</x:v>
      </x:c>
      <x:c r="E1000" s="320">
        <x:v>1250</x:v>
      </x:c>
      <x:c r="F1000" s="320">
        <x:v>2500</x:v>
      </x:c>
      <x:c r="G1000" s="320">
        <x:v>900</x:v>
      </x:c>
      <x:c r="H1000" s="313" t="s">
        <x:v>65</x:v>
      </x:c>
      <x:c r="I1000" s="313" t="s">
        <x:v>28</x:v>
      </x:c>
      <x:c r="J1000" s="316" t="n">
        <x:f>IFERROR(G1000/F1000,0)</x:f>
        <x:v>0.36</x:v>
      </x:c>
      <x:c r="K1000" s="312" t="str">
        <x:f>IF(B1000="Bilinmeyen Personel","Kontrol","OK")</x:f>
        <x:v>OK</x:v>
      </x:c>
    </x:row>
    <x:row r="1001" ht="15.75">
      <x:c r="A1001" s="313" t="n">
        <x:f t="shared" si="15">ROW()-ROW($A$2)+1</x:f>
        <x:v>1000</x:v>
      </x:c>
      <x:c r="B1001" s="313" t="s">
        <x:v>50</x:v>
      </x:c>
      <x:c r="C1001" s="313" t="s">
        <x:v>24</x:v>
      </x:c>
      <x:c r="D1001" s="314">
        <x:v>1</x:v>
      </x:c>
      <x:c r="E1001" s="320">
        <x:v>7600</x:v>
      </x:c>
      <x:c r="F1001" s="320">
        <x:v>7600</x:v>
      </x:c>
      <x:c r="G1001" s="320">
        <x:v>1600</x:v>
      </x:c>
      <x:c r="H1001" s="313" t="s">
        <x:v>65</x:v>
      </x:c>
      <x:c r="I1001" s="313" t="s">
        <x:v>44</x:v>
      </x:c>
      <x:c r="J1001" s="316" t="n">
        <x:f>IFERROR(G1001/F1001,0)</x:f>
        <x:v>0.21052631578947367</x:v>
      </x:c>
      <x:c r="K1001" s="312" t="str">
        <x:f>IF(B1001="Bilinmeyen Personel","Kontrol","OK")</x:f>
        <x:v>OK</x:v>
      </x:c>
    </x:row>
    <x:row r="1002" ht="15.75">
      <x:c r="A1002" s="313" t="n">
        <x:f t="shared" si="15">ROW()-ROW($A$2)+1</x:f>
        <x:v>1001</x:v>
      </x:c>
      <x:c r="B1002" s="313" t="s">
        <x:v>9</x:v>
      </x:c>
      <x:c r="C1002" s="313" t="s">
        <x:v>14</x:v>
      </x:c>
      <x:c r="D1002" s="314">
        <x:v>2</x:v>
      </x:c>
      <x:c r="E1002" s="320">
        <x:v>1400</x:v>
      </x:c>
      <x:c r="F1002" s="320">
        <x:v>2800</x:v>
      </x:c>
      <x:c r="G1002" s="320">
        <x:v>1200</x:v>
      </x:c>
      <x:c r="H1002" s="313" t="s">
        <x:v>65</x:v>
      </x:c>
      <x:c r="I1002" s="313" t="s">
        <x:v>46</x:v>
      </x:c>
      <x:c r="J1002" s="316" t="n">
        <x:f>IFERROR(G1002/F1002,0)</x:f>
        <x:v>0.42857142857142855</x:v>
      </x:c>
      <x:c r="K1002" s="312" t="str">
        <x:f>IF(B1002="Bilinmeyen Personel","Kontrol","OK")</x:f>
        <x:v>OK</x:v>
      </x:c>
    </x:row>
    <x:row r="1003" ht="15.75">
      <x:c r="A1003" s="313" t="n">
        <x:f t="shared" si="15">ROW()-ROW($A$2)+1</x:f>
        <x:v>1002</x:v>
      </x:c>
      <x:c r="B1003" s="313" t="s">
        <x:v>23</x:v>
      </x:c>
      <x:c r="C1003" s="313" t="s">
        <x:v>22</x:v>
      </x:c>
      <x:c r="D1003" s="314">
        <x:v>2</x:v>
      </x:c>
      <x:c r="E1003" s="320">
        <x:v>2180</x:v>
      </x:c>
      <x:c r="F1003" s="320">
        <x:v>4360</x:v>
      </x:c>
      <x:c r="G1003" s="320">
        <x:v>1360</x:v>
      </x:c>
      <x:c r="H1003" s="313" t="s">
        <x:v>65</x:v>
      </x:c>
      <x:c r="I1003" s="313" t="s">
        <x:v>15</x:v>
      </x:c>
      <x:c r="J1003" s="316" t="n">
        <x:f>IFERROR(G1003/F1003,0)</x:f>
        <x:v>0.3119266055045872</x:v>
      </x:c>
      <x:c r="K1003" s="312" t="str">
        <x:f>IF(B1003="Bilinmeyen Personel","Kontrol","OK")</x:f>
        <x:v>OK</x:v>
      </x:c>
    </x:row>
    <x:row r="1004" ht="15.75">
      <x:c r="A1004" s="313" t="n">
        <x:f t="shared" si="15">ROW()-ROW($A$2)+1</x:f>
        <x:v>1003</x:v>
      </x:c>
      <x:c r="B1004" s="313" t="s">
        <x:v>9</x:v>
      </x:c>
      <x:c r="C1004" s="313" t="s">
        <x:v>33</x:v>
      </x:c>
      <x:c r="D1004" s="314">
        <x:v>3</x:v>
      </x:c>
      <x:c r="E1004" s="320">
        <x:v>1800</x:v>
      </x:c>
      <x:c r="F1004" s="320">
        <x:v>5400</x:v>
      </x:c>
      <x:c r="G1004" s="320">
        <x:v>3000</x:v>
      </x:c>
      <x:c r="H1004" s="313" t="s">
        <x:v>65</x:v>
      </x:c>
      <x:c r="I1004" s="313" t="s">
        <x:v>21</x:v>
      </x:c>
      <x:c r="J1004" s="316" t="n">
        <x:f>IFERROR(G1004/F1004,0)</x:f>
        <x:v>0.5555555555555556</x:v>
      </x:c>
      <x:c r="K1004" s="312" t="str">
        <x:f>IF(B1004="Bilinmeyen Personel","Kontrol","OK")</x:f>
        <x:v>OK</x:v>
      </x:c>
    </x:row>
    <x:row r="1005" ht="15.75">
      <x:c r="A1005" s="313" t="n">
        <x:f t="shared" si="15">ROW()-ROW($A$2)+1</x:f>
        <x:v>1004</x:v>
      </x:c>
      <x:c r="B1005" s="313" t="s">
        <x:v>16</x:v>
      </x:c>
      <x:c r="C1005" s="313" t="s">
        <x:v>57</x:v>
      </x:c>
      <x:c r="D1005" s="314">
        <x:v>1</x:v>
      </x:c>
      <x:c r="E1005" s="320">
        <x:v>1500</x:v>
      </x:c>
      <x:c r="F1005" s="320">
        <x:v>1500</x:v>
      </x:c>
      <x:c r="G1005" s="320">
        <x:v>700</x:v>
      </x:c>
      <x:c r="H1005" s="313" t="s">
        <x:v>65</x:v>
      </x:c>
      <x:c r="I1005" s="313" t="s">
        <x:v>18</x:v>
      </x:c>
      <x:c r="J1005" s="316" t="n">
        <x:f>IFERROR(G1005/F1005,0)</x:f>
        <x:v>0.4666666666666667</x:v>
      </x:c>
      <x:c r="K1005" s="312" t="str">
        <x:f>IF(B1005="Bilinmeyen Personel","Kontrol","OK")</x:f>
        <x:v>OK</x:v>
      </x:c>
    </x:row>
    <x:row r="1006" ht="15.75">
      <x:c r="A1006" s="313" t="n">
        <x:f t="shared" si="15">ROW()-ROW($A$2)+1</x:f>
        <x:v>1005</x:v>
      </x:c>
      <x:c r="B1006" s="313" t="s">
        <x:v>32</x:v>
      </x:c>
      <x:c r="C1006" s="313" t="s">
        <x:v>17</x:v>
      </x:c>
      <x:c r="D1006" s="314">
        <x:v>3</x:v>
      </x:c>
      <x:c r="E1006" s="320">
        <x:v>8450</x:v>
      </x:c>
      <x:c r="F1006" s="320">
        <x:v>25350</x:v>
      </x:c>
      <x:c r="G1006" s="320">
        <x:v>7350</x:v>
      </x:c>
      <x:c r="H1006" s="313" t="s">
        <x:v>65</x:v>
      </x:c>
      <x:c r="I1006" s="313" t="s">
        <x:v>54</x:v>
      </x:c>
      <x:c r="J1006" s="316" t="n">
        <x:f>IFERROR(G1006/F1006,0)</x:f>
        <x:v>0.28994082840236685</x:v>
      </x:c>
      <x:c r="K1006" s="312" t="str">
        <x:f>IF(B1006="Bilinmeyen Personel","Kontrol","OK")</x:f>
        <x:v>OK</x:v>
      </x:c>
    </x:row>
    <x:row r="1007" ht="15.75">
      <x:c r="A1007" s="313" t="n">
        <x:f t="shared" si="15">ROW()-ROW($A$2)+1</x:f>
        <x:v>1006</x:v>
      </x:c>
      <x:c r="B1007" s="313" t="s">
        <x:v>40</x:v>
      </x:c>
      <x:c r="C1007" s="313" t="s">
        <x:v>57</x:v>
      </x:c>
      <x:c r="D1007" s="314">
        <x:v>3</x:v>
      </x:c>
      <x:c r="E1007" s="320">
        <x:v>1500</x:v>
      </x:c>
      <x:c r="F1007" s="320">
        <x:v>4500</x:v>
      </x:c>
      <x:c r="G1007" s="320">
        <x:v>2100</x:v>
      </x:c>
      <x:c r="H1007" s="313" t="s">
        <x:v>65</x:v>
      </x:c>
      <x:c r="I1007" s="313" t="s">
        <x:v>21</x:v>
      </x:c>
      <x:c r="J1007" s="316" t="n">
        <x:f>IFERROR(G1007/F1007,0)</x:f>
        <x:v>0.4666666666666667</x:v>
      </x:c>
      <x:c r="K1007" s="312" t="str">
        <x:f>IF(B1007="Bilinmeyen Personel","Kontrol","OK")</x:f>
        <x:v>OK</x:v>
      </x:c>
    </x:row>
    <x:row r="1008" ht="15.75">
      <x:c r="A1008" s="313" t="n">
        <x:f t="shared" si="15">ROW()-ROW($A$2)+1</x:f>
        <x:v>1007</x:v>
      </x:c>
      <x:c r="B1008" s="313" t="s">
        <x:v>29</x:v>
      </x:c>
      <x:c r="C1008" s="313" t="s">
        <x:v>10</x:v>
      </x:c>
      <x:c r="D1008" s="314">
        <x:v>3</x:v>
      </x:c>
      <x:c r="E1008" s="320">
        <x:v>6000</x:v>
      </x:c>
      <x:c r="F1008" s="320">
        <x:v>18000</x:v>
      </x:c>
      <x:c r="G1008" s="320">
        <x:v>6000</x:v>
      </x:c>
      <x:c r="H1008" s="313" t="s">
        <x:v>65</x:v>
      </x:c>
      <x:c r="I1008" s="313" t="s">
        <x:v>37</x:v>
      </x:c>
      <x:c r="J1008" s="316" t="n">
        <x:f>IFERROR(G1008/F1008,0)</x:f>
        <x:v>0.3333333333333333</x:v>
      </x:c>
      <x:c r="K1008" s="312" t="str">
        <x:f>IF(B1008="Bilinmeyen Personel","Kontrol","OK")</x:f>
        <x:v>OK</x:v>
      </x:c>
    </x:row>
    <x:row r="1009" ht="15.75">
      <x:c r="A1009" s="313" t="n">
        <x:f t="shared" si="15">ROW()-ROW($A$2)+1</x:f>
        <x:v>1008</x:v>
      </x:c>
      <x:c r="B1009" s="313" t="s">
        <x:v>50</x:v>
      </x:c>
      <x:c r="C1009" s="313" t="s">
        <x:v>53</x:v>
      </x:c>
      <x:c r="D1009" s="314">
        <x:v>1</x:v>
      </x:c>
      <x:c r="E1009" s="320">
        <x:v>1200</x:v>
      </x:c>
      <x:c r="F1009" s="320">
        <x:v>1200</x:v>
      </x:c>
      <x:c r="G1009" s="320">
        <x:v>400</x:v>
      </x:c>
      <x:c r="H1009" s="313" t="s">
        <x:v>65</x:v>
      </x:c>
      <x:c r="I1009" s="313" t="s">
        <x:v>28</x:v>
      </x:c>
      <x:c r="J1009" s="316" t="n">
        <x:f>IFERROR(G1009/F1009,0)</x:f>
        <x:v>0.3333333333333333</x:v>
      </x:c>
      <x:c r="K1009" s="312" t="str">
        <x:f>IF(B1009="Bilinmeyen Personel","Kontrol","OK")</x:f>
        <x:v>OK</x:v>
      </x:c>
    </x:row>
    <x:row r="1010" ht="15.75">
      <x:c r="A1010" s="313" t="n">
        <x:f t="shared" si="15">ROW()-ROW($A$2)+1</x:f>
        <x:v>1009</x:v>
      </x:c>
      <x:c r="B1010" s="313" t="s">
        <x:v>9</x:v>
      </x:c>
      <x:c r="C1010" s="313" t="s">
        <x:v>45</x:v>
      </x:c>
      <x:c r="D1010" s="314">
        <x:v>3</x:v>
      </x:c>
      <x:c r="E1010" s="320">
        <x:v>4200</x:v>
      </x:c>
      <x:c r="F1010" s="320">
        <x:v>12600</x:v>
      </x:c>
      <x:c r="G1010" s="320">
        <x:v>3600</x:v>
      </x:c>
      <x:c r="H1010" s="313" t="s">
        <x:v>65</x:v>
      </x:c>
      <x:c r="I1010" s="313" t="s">
        <x:v>18</x:v>
      </x:c>
      <x:c r="J1010" s="316" t="n">
        <x:f>IFERROR(G1010/F1010,0)</x:f>
        <x:v>0.2857142857142857</x:v>
      </x:c>
      <x:c r="K1010" s="312" t="str">
        <x:f>IF(B1010="Bilinmeyen Personel","Kontrol","OK")</x:f>
        <x:v>OK</x:v>
      </x:c>
    </x:row>
    <x:row r="1011" ht="15.75">
      <x:c r="A1011" s="313" t="n">
        <x:f t="shared" si="15">ROW()-ROW($A$2)+1</x:f>
        <x:v>1010</x:v>
      </x:c>
      <x:c r="B1011" s="313" t="s">
        <x:v>48</x:v>
      </x:c>
      <x:c r="C1011" s="313" t="s">
        <x:v>24</x:v>
      </x:c>
      <x:c r="D1011" s="314">
        <x:v>3</x:v>
      </x:c>
      <x:c r="E1011" s="320">
        <x:v>7600</x:v>
      </x:c>
      <x:c r="F1011" s="320">
        <x:v>22800</x:v>
      </x:c>
      <x:c r="G1011" s="320">
        <x:v>4800</x:v>
      </x:c>
      <x:c r="H1011" s="313" t="s">
        <x:v>65</x:v>
      </x:c>
      <x:c r="I1011" s="313" t="s">
        <x:v>15</x:v>
      </x:c>
      <x:c r="J1011" s="316" t="n">
        <x:f>IFERROR(G1011/F1011,0)</x:f>
        <x:v>0.21052631578947367</x:v>
      </x:c>
      <x:c r="K1011" s="312" t="str">
        <x:f>IF(B1011="Bilinmeyen Personel","Kontrol","OK")</x:f>
        <x:v>OK</x:v>
      </x:c>
    </x:row>
    <x:row r="1012" ht="15.75">
      <x:c r="A1012" s="313" t="n">
        <x:f t="shared" si="15">ROW()-ROW($A$2)+1</x:f>
        <x:v>1011</x:v>
      </x:c>
      <x:c r="B1012" s="313" t="s">
        <x:v>29</x:v>
      </x:c>
      <x:c r="C1012" s="313" t="s">
        <x:v>26</x:v>
      </x:c>
      <x:c r="D1012" s="314">
        <x:v>2</x:v>
      </x:c>
      <x:c r="E1012" s="320">
        <x:v>7250</x:v>
      </x:c>
      <x:c r="F1012" s="320">
        <x:v>14500</x:v>
      </x:c>
      <x:c r="G1012" s="320">
        <x:v>4500</x:v>
      </x:c>
      <x:c r="H1012" s="313" t="s">
        <x:v>65</x:v>
      </x:c>
      <x:c r="I1012" s="313" t="s">
        <x:v>41</x:v>
      </x:c>
      <x:c r="J1012" s="316" t="n">
        <x:f>IFERROR(G1012/F1012,0)</x:f>
        <x:v>0.3103448275862069</x:v>
      </x:c>
      <x:c r="K1012" s="312" t="str">
        <x:f>IF(B1012="Bilinmeyen Personel","Kontrol","OK")</x:f>
        <x:v>OK</x:v>
      </x:c>
    </x:row>
    <x:row r="1013" ht="15.75">
      <x:c r="A1013" s="313" t="n">
        <x:f t="shared" si="15">ROW()-ROW($A$2)+1</x:f>
        <x:v>1012</x:v>
      </x:c>
      <x:c r="B1013" s="313" t="s">
        <x:v>13</x:v>
      </x:c>
      <x:c r="C1013" s="313" t="s">
        <x:v>55</x:v>
      </x:c>
      <x:c r="D1013" s="314">
        <x:v>2</x:v>
      </x:c>
      <x:c r="E1013" s="320">
        <x:v>7530</x:v>
      </x:c>
      <x:c r="F1013" s="320">
        <x:v>15060</x:v>
      </x:c>
      <x:c r="G1013" s="320">
        <x:v>3060</x:v>
      </x:c>
      <x:c r="H1013" s="313" t="s">
        <x:v>65</x:v>
      </x:c>
      <x:c r="I1013" s="313" t="s">
        <x:v>41</x:v>
      </x:c>
      <x:c r="J1013" s="316" t="n">
        <x:f>IFERROR(G1013/F1013,0)</x:f>
        <x:v>0.20318725099601595</x:v>
      </x:c>
      <x:c r="K1013" s="312" t="str">
        <x:f>IF(B1013="Bilinmeyen Personel","Kontrol","OK")</x:f>
        <x:v>OK</x:v>
      </x:c>
    </x:row>
    <x:row r="1014" ht="15.75">
      <x:c r="A1014" s="313" t="n">
        <x:f t="shared" si="15">ROW()-ROW($A$2)+1</x:f>
        <x:v>1013</x:v>
      </x:c>
      <x:c r="B1014" s="313" t="s">
        <x:v>16</x:v>
      </x:c>
      <x:c r="C1014" s="313" t="s">
        <x:v>26</x:v>
      </x:c>
      <x:c r="D1014" s="314">
        <x:v>2</x:v>
      </x:c>
      <x:c r="E1014" s="320">
        <x:v>7250</x:v>
      </x:c>
      <x:c r="F1014" s="320">
        <x:v>14500</x:v>
      </x:c>
      <x:c r="G1014" s="320">
        <x:v>4500</x:v>
      </x:c>
      <x:c r="H1014" s="313" t="s">
        <x:v>65</x:v>
      </x:c>
      <x:c r="I1014" s="313" t="s">
        <x:v>37</x:v>
      </x:c>
      <x:c r="J1014" s="316" t="n">
        <x:f>IFERROR(G1014/F1014,0)</x:f>
        <x:v>0.3103448275862069</x:v>
      </x:c>
      <x:c r="K1014" s="312" t="str">
        <x:f>IF(B1014="Bilinmeyen Personel","Kontrol","OK")</x:f>
        <x:v>OK</x:v>
      </x:c>
    </x:row>
    <x:row r="1015" ht="15.75">
      <x:c r="A1015" s="313" t="n">
        <x:f t="shared" si="15">ROW()-ROW($A$2)+1</x:f>
        <x:v>1014</x:v>
      </x:c>
      <x:c r="B1015" s="313" t="s">
        <x:v>13</x:v>
      </x:c>
      <x:c r="C1015" s="313" t="s">
        <x:v>10</x:v>
      </x:c>
      <x:c r="D1015" s="314">
        <x:v>1</x:v>
      </x:c>
      <x:c r="E1015" s="320">
        <x:v>6000</x:v>
      </x:c>
      <x:c r="F1015" s="320">
        <x:v>6000</x:v>
      </x:c>
      <x:c r="G1015" s="320">
        <x:v>2000</x:v>
      </x:c>
      <x:c r="H1015" s="313" t="s">
        <x:v>65</x:v>
      </x:c>
      <x:c r="I1015" s="313" t="s">
        <x:v>37</x:v>
      </x:c>
      <x:c r="J1015" s="316" t="n">
        <x:f>IFERROR(G1015/F1015,0)</x:f>
        <x:v>0.3333333333333333</x:v>
      </x:c>
      <x:c r="K1015" s="312" t="str">
        <x:f>IF(B1015="Bilinmeyen Personel","Kontrol","OK")</x:f>
        <x:v>OK</x:v>
      </x:c>
    </x:row>
    <x:row r="1016" ht="15.75">
      <x:c r="A1016" s="313" t="n">
        <x:f t="shared" si="15">ROW()-ROW($A$2)+1</x:f>
        <x:v>1015</x:v>
      </x:c>
      <x:c r="B1016" s="313" t="s">
        <x:v>29</x:v>
      </x:c>
      <x:c r="C1016" s="313" t="s">
        <x:v>53</x:v>
      </x:c>
      <x:c r="D1016" s="314">
        <x:v>3</x:v>
      </x:c>
      <x:c r="E1016" s="320">
        <x:v>1200</x:v>
      </x:c>
      <x:c r="F1016" s="320">
        <x:v>3600</x:v>
      </x:c>
      <x:c r="G1016" s="320">
        <x:v>1200</x:v>
      </x:c>
      <x:c r="H1016" s="313" t="s">
        <x:v>65</x:v>
      </x:c>
      <x:c r="I1016" s="313" t="s">
        <x:v>15</x:v>
      </x:c>
      <x:c r="J1016" s="316" t="n">
        <x:f>IFERROR(G1016/F1016,0)</x:f>
        <x:v>0.3333333333333333</x:v>
      </x:c>
      <x:c r="K1016" s="312" t="str">
        <x:f>IF(B1016="Bilinmeyen Personel","Kontrol","OK")</x:f>
        <x:v>OK</x:v>
      </x:c>
    </x:row>
    <x:row r="1017" ht="15.75">
      <x:c r="A1017" s="313" t="n">
        <x:f t="shared" si="15">ROW()-ROW($A$2)+1</x:f>
        <x:v>1016</x:v>
      </x:c>
      <x:c r="B1017" s="313" t="s">
        <x:v>50</x:v>
      </x:c>
      <x:c r="C1017" s="313" t="s">
        <x:v>56</x:v>
      </x:c>
      <x:c r="D1017" s="314">
        <x:v>2</x:v>
      </x:c>
      <x:c r="E1017" s="320">
        <x:v>5300</x:v>
      </x:c>
      <x:c r="F1017" s="320">
        <x:v>10600</x:v>
      </x:c>
      <x:c r="G1017" s="320">
        <x:v>2600</x:v>
      </x:c>
      <x:c r="H1017" s="313" t="s">
        <x:v>65</x:v>
      </x:c>
      <x:c r="I1017" s="313" t="s">
        <x:v>15</x:v>
      </x:c>
      <x:c r="J1017" s="316" t="n">
        <x:f>IFERROR(G1017/F1017,0)</x:f>
        <x:v>0.24528301886792453</x:v>
      </x:c>
      <x:c r="K1017" s="312" t="str">
        <x:f>IF(B1017="Bilinmeyen Personel","Kontrol","OK")</x:f>
        <x:v>OK</x:v>
      </x:c>
    </x:row>
    <x:row r="1018" ht="15.75">
      <x:c r="A1018" s="313" t="n">
        <x:f t="shared" si="15">ROW()-ROW($A$2)+1</x:f>
        <x:v>1017</x:v>
      </x:c>
      <x:c r="B1018" s="313" t="s">
        <x:v>38</x:v>
      </x:c>
      <x:c r="C1018" s="313" t="s">
        <x:v>17</x:v>
      </x:c>
      <x:c r="D1018" s="314">
        <x:v>2</x:v>
      </x:c>
      <x:c r="E1018" s="320">
        <x:v>8450</x:v>
      </x:c>
      <x:c r="F1018" s="320">
        <x:v>16900</x:v>
      </x:c>
      <x:c r="G1018" s="320">
        <x:v>4900</x:v>
      </x:c>
      <x:c r="H1018" s="313" t="s">
        <x:v>65</x:v>
      </x:c>
      <x:c r="I1018" s="313" t="s">
        <x:v>18</x:v>
      </x:c>
      <x:c r="J1018" s="316" t="n">
        <x:f>IFERROR(G1018/F1018,0)</x:f>
        <x:v>0.28994082840236685</x:v>
      </x:c>
      <x:c r="K1018" s="312" t="str">
        <x:f>IF(B1018="Bilinmeyen Personel","Kontrol","OK")</x:f>
        <x:v>OK</x:v>
      </x:c>
    </x:row>
    <x:row r="1019" ht="15.75">
      <x:c r="A1019" s="313" t="n">
        <x:f t="shared" si="15">ROW()-ROW($A$2)+1</x:f>
        <x:v>1018</x:v>
      </x:c>
      <x:c r="B1019" s="313" t="s">
        <x:v>23</x:v>
      </x:c>
      <x:c r="C1019" s="313" t="s">
        <x:v>20</x:v>
      </x:c>
      <x:c r="D1019" s="314">
        <x:v>1</x:v>
      </x:c>
      <x:c r="E1019" s="320">
        <x:v>1350</x:v>
      </x:c>
      <x:c r="F1019" s="320">
        <x:v>1350</x:v>
      </x:c>
      <x:c r="G1019" s="320">
        <x:v>550</x:v>
      </x:c>
      <x:c r="H1019" s="313" t="s">
        <x:v>65</x:v>
      </x:c>
      <x:c r="I1019" s="313" t="s">
        <x:v>25</x:v>
      </x:c>
      <x:c r="J1019" s="316" t="n">
        <x:f>IFERROR(G1019/F1019,0)</x:f>
        <x:v>0.4074074074074074</x:v>
      </x:c>
      <x:c r="K1019" s="312" t="str">
        <x:f>IF(B1019="Bilinmeyen Personel","Kontrol","OK")</x:f>
        <x:v>OK</x:v>
      </x:c>
    </x:row>
    <x:row r="1020" ht="15.75">
      <x:c r="A1020" s="313" t="n">
        <x:f t="shared" si="15">ROW()-ROW($A$2)+1</x:f>
        <x:v>1019</x:v>
      </x:c>
      <x:c r="B1020" s="313" t="s">
        <x:v>32</x:v>
      </x:c>
      <x:c r="C1020" s="313" t="s">
        <x:v>34</x:v>
      </x:c>
      <x:c r="D1020" s="314">
        <x:v>1</x:v>
      </x:c>
      <x:c r="E1020" s="320">
        <x:v>1090</x:v>
      </x:c>
      <x:c r="F1020" s="320">
        <x:v>1090</x:v>
      </x:c>
      <x:c r="G1020" s="320">
        <x:v>290</x:v>
      </x:c>
      <x:c r="H1020" s="313" t="s">
        <x:v>65</x:v>
      </x:c>
      <x:c r="I1020" s="313" t="s">
        <x:v>25</x:v>
      </x:c>
      <x:c r="J1020" s="316" t="n">
        <x:f>IFERROR(G1020/F1020,0)</x:f>
        <x:v>0.26605504587155965</x:v>
      </x:c>
      <x:c r="K1020" s="312" t="str">
        <x:f>IF(B1020="Bilinmeyen Personel","Kontrol","OK")</x:f>
        <x:v>OK</x:v>
      </x:c>
    </x:row>
    <x:row r="1021" ht="15.75">
      <x:c r="A1021" s="313" t="n">
        <x:f t="shared" si="15">ROW()-ROW($A$2)+1</x:f>
        <x:v>1020</x:v>
      </x:c>
      <x:c r="B1021" s="313" t="s">
        <x:v>23</x:v>
      </x:c>
      <x:c r="C1021" s="313" t="s">
        <x:v>22</x:v>
      </x:c>
      <x:c r="D1021" s="314">
        <x:v>1</x:v>
      </x:c>
      <x:c r="E1021" s="320">
        <x:v>2180</x:v>
      </x:c>
      <x:c r="F1021" s="320">
        <x:v>2180</x:v>
      </x:c>
      <x:c r="G1021" s="320">
        <x:v>680</x:v>
      </x:c>
      <x:c r="H1021" s="313" t="s">
        <x:v>65</x:v>
      </x:c>
      <x:c r="I1021" s="313" t="s">
        <x:v>28</x:v>
      </x:c>
      <x:c r="J1021" s="316" t="n">
        <x:f>IFERROR(G1021/F1021,0)</x:f>
        <x:v>0.3119266055045872</x:v>
      </x:c>
      <x:c r="K1021" s="312" t="str">
        <x:f>IF(B1021="Bilinmeyen Personel","Kontrol","OK")</x:f>
        <x:v>OK</x:v>
      </x:c>
    </x:row>
    <x:row r="1022" ht="15.75">
      <x:c r="A1022" s="313" t="n">
        <x:f t="shared" si="15">ROW()-ROW($A$2)+1</x:f>
        <x:v>1021</x:v>
      </x:c>
      <x:c r="B1022" s="313" t="s">
        <x:v>13</x:v>
      </x:c>
      <x:c r="C1022" s="313" t="s">
        <x:v>58</x:v>
      </x:c>
      <x:c r="D1022" s="314">
        <x:v>1</x:v>
      </x:c>
      <x:c r="E1022" s="320">
        <x:v>3700</x:v>
      </x:c>
      <x:c r="F1022" s="320">
        <x:v>3700</x:v>
      </x:c>
      <x:c r="G1022" s="320">
        <x:v>700</x:v>
      </x:c>
      <x:c r="H1022" s="313" t="s">
        <x:v>65</x:v>
      </x:c>
      <x:c r="I1022" s="313" t="s">
        <x:v>42</x:v>
      </x:c>
      <x:c r="J1022" s="316" t="n">
        <x:f>IFERROR(G1022/F1022,0)</x:f>
        <x:v>0.1891891891891892</x:v>
      </x:c>
      <x:c r="K1022" s="312" t="str">
        <x:f>IF(B1022="Bilinmeyen Personel","Kontrol","OK")</x:f>
        <x:v>OK</x:v>
      </x:c>
    </x:row>
    <x:row r="1023" ht="15.75">
      <x:c r="A1023" s="313" t="n">
        <x:f t="shared" si="15">ROW()-ROW($A$2)+1</x:f>
        <x:v>1022</x:v>
      </x:c>
      <x:c r="B1023" s="313" t="s">
        <x:v>32</x:v>
      </x:c>
      <x:c r="C1023" s="313" t="s">
        <x:v>27</x:v>
      </x:c>
      <x:c r="D1023" s="314">
        <x:v>3</x:v>
      </x:c>
      <x:c r="E1023" s="320">
        <x:v>1100</x:v>
      </x:c>
      <x:c r="F1023" s="320">
        <x:v>3300</x:v>
      </x:c>
      <x:c r="G1023" s="320">
        <x:v>900</x:v>
      </x:c>
      <x:c r="H1023" s="313" t="s">
        <x:v>65</x:v>
      </x:c>
      <x:c r="I1023" s="313" t="s">
        <x:v>31</x:v>
      </x:c>
      <x:c r="J1023" s="316" t="n">
        <x:f>IFERROR(G1023/F1023,0)</x:f>
        <x:v>0.2727272727272727</x:v>
      </x:c>
      <x:c r="K1023" s="312" t="str">
        <x:f>IF(B1023="Bilinmeyen Personel","Kontrol","OK")</x:f>
        <x:v>OK</x:v>
      </x:c>
    </x:row>
    <x:row r="1024" ht="15.75">
      <x:c r="A1024" s="313" t="n">
        <x:f t="shared" si="15">ROW()-ROW($A$2)+1</x:f>
        <x:v>1023</x:v>
      </x:c>
      <x:c r="B1024" s="313" t="s">
        <x:v>29</x:v>
      </x:c>
      <x:c r="C1024" s="313" t="s">
        <x:v>58</x:v>
      </x:c>
      <x:c r="D1024" s="314">
        <x:v>1</x:v>
      </x:c>
      <x:c r="E1024" s="320">
        <x:v>3700</x:v>
      </x:c>
      <x:c r="F1024" s="320">
        <x:v>3700</x:v>
      </x:c>
      <x:c r="G1024" s="320">
        <x:v>700</x:v>
      </x:c>
      <x:c r="H1024" s="313" t="s">
        <x:v>65</x:v>
      </x:c>
      <x:c r="I1024" s="313" t="s">
        <x:v>31</x:v>
      </x:c>
      <x:c r="J1024" s="316" t="n">
        <x:f>IFERROR(G1024/F1024,0)</x:f>
        <x:v>0.1891891891891892</x:v>
      </x:c>
      <x:c r="K1024" s="312" t="str">
        <x:f>IF(B1024="Bilinmeyen Personel","Kontrol","OK")</x:f>
        <x:v>OK</x:v>
      </x:c>
    </x:row>
    <x:row r="1025" ht="15.75">
      <x:c r="A1025" s="313" t="n">
        <x:f t="shared" si="15">ROW()-ROW($A$2)+1</x:f>
        <x:v>1024</x:v>
      </x:c>
      <x:c r="B1025" s="313" t="s">
        <x:v>48</x:v>
      </x:c>
      <x:c r="C1025" s="313" t="s">
        <x:v>43</x:v>
      </x:c>
      <x:c r="D1025" s="314">
        <x:v>1</x:v>
      </x:c>
      <x:c r="E1025" s="320">
        <x:v>1490</x:v>
      </x:c>
      <x:c r="F1025" s="320">
        <x:v>1490</x:v>
      </x:c>
      <x:c r="G1025" s="320">
        <x:v>690</x:v>
      </x:c>
      <x:c r="H1025" s="313" t="s">
        <x:v>65</x:v>
      </x:c>
      <x:c r="I1025" s="313" t="s">
        <x:v>37</x:v>
      </x:c>
      <x:c r="J1025" s="316" t="n">
        <x:f>IFERROR(G1025/F1025,0)</x:f>
        <x:v>0.46308724832214765</x:v>
      </x:c>
      <x:c r="K1025" s="312" t="str">
        <x:f>IF(B1025="Bilinmeyen Personel","Kontrol","OK")</x:f>
        <x:v>OK</x:v>
      </x:c>
    </x:row>
    <x:row r="1026" ht="15.75">
      <x:c r="A1026" s="313" t="n">
        <x:f t="shared" si="15">ROW()-ROW($A$2)+1</x:f>
        <x:v>1025</x:v>
      </x:c>
      <x:c r="B1026" s="313" t="s">
        <x:v>40</x:v>
      </x:c>
      <x:c r="C1026" s="313" t="s">
        <x:v>57</x:v>
      </x:c>
      <x:c r="D1026" s="314">
        <x:v>1</x:v>
      </x:c>
      <x:c r="E1026" s="320">
        <x:v>1500</x:v>
      </x:c>
      <x:c r="F1026" s="320">
        <x:v>1500</x:v>
      </x:c>
      <x:c r="G1026" s="320">
        <x:v>700</x:v>
      </x:c>
      <x:c r="H1026" s="313" t="s">
        <x:v>65</x:v>
      </x:c>
      <x:c r="I1026" s="313" t="s">
        <x:v>37</x:v>
      </x:c>
      <x:c r="J1026" s="316" t="n">
        <x:f>IFERROR(G1026/F1026,0)</x:f>
        <x:v>0.4666666666666667</x:v>
      </x:c>
      <x:c r="K1026" s="312" t="str">
        <x:f>IF(B1026="Bilinmeyen Personel","Kontrol","OK")</x:f>
        <x:v>OK</x:v>
      </x:c>
    </x:row>
    <x:row r="1027" ht="15.75">
      <x:c r="A1027" s="313" t="n">
        <x:f t="shared" ref="A1027:A1090" si="16">ROW()-ROW($A$2)+1</x:f>
        <x:v>1026</x:v>
      </x:c>
      <x:c r="B1027" s="313" t="s">
        <x:v>38</x:v>
      </x:c>
      <x:c r="C1027" s="313" t="s">
        <x:v>34</x:v>
      </x:c>
      <x:c r="D1027" s="314">
        <x:v>2</x:v>
      </x:c>
      <x:c r="E1027" s="320">
        <x:v>1090</x:v>
      </x:c>
      <x:c r="F1027" s="320">
        <x:v>2180</x:v>
      </x:c>
      <x:c r="G1027" s="320">
        <x:v>580</x:v>
      </x:c>
      <x:c r="H1027" s="313" t="s">
        <x:v>65</x:v>
      </x:c>
      <x:c r="I1027" s="313" t="s">
        <x:v>28</x:v>
      </x:c>
      <x:c r="J1027" s="316" t="n">
        <x:f>IFERROR(G1027/F1027,0)</x:f>
        <x:v>0.26605504587155965</x:v>
      </x:c>
      <x:c r="K1027" s="312" t="str">
        <x:f>IF(B1027="Bilinmeyen Personel","Kontrol","OK")</x:f>
        <x:v>OK</x:v>
      </x:c>
    </x:row>
    <x:row r="1028" ht="15.75">
      <x:c r="A1028" s="313" t="n">
        <x:f t="shared" si="16">ROW()-ROW($A$2)+1</x:f>
        <x:v>1027</x:v>
      </x:c>
      <x:c r="B1028" s="313" t="s">
        <x:v>48</x:v>
      </x:c>
      <x:c r="C1028" s="313" t="s">
        <x:v>33</x:v>
      </x:c>
      <x:c r="D1028" s="314">
        <x:v>3</x:v>
      </x:c>
      <x:c r="E1028" s="320">
        <x:v>1800</x:v>
      </x:c>
      <x:c r="F1028" s="320">
        <x:v>5400</x:v>
      </x:c>
      <x:c r="G1028" s="320">
        <x:v>3000</x:v>
      </x:c>
      <x:c r="H1028" s="313" t="s">
        <x:v>65</x:v>
      </x:c>
      <x:c r="I1028" s="313" t="s">
        <x:v>46</x:v>
      </x:c>
      <x:c r="J1028" s="316" t="n">
        <x:f>IFERROR(G1028/F1028,0)</x:f>
        <x:v>0.5555555555555556</x:v>
      </x:c>
      <x:c r="K1028" s="312" t="str">
        <x:f>IF(B1028="Bilinmeyen Personel","Kontrol","OK")</x:f>
        <x:v>OK</x:v>
      </x:c>
    </x:row>
    <x:row r="1029" ht="15.75">
      <x:c r="A1029" s="313" t="n">
        <x:f t="shared" si="16">ROW()-ROW($A$2)+1</x:f>
        <x:v>1028</x:v>
      </x:c>
      <x:c r="B1029" s="313" t="s">
        <x:v>35</x:v>
      </x:c>
      <x:c r="C1029" s="313" t="s">
        <x:v>55</x:v>
      </x:c>
      <x:c r="D1029" s="314">
        <x:v>2</x:v>
      </x:c>
      <x:c r="E1029" s="320">
        <x:v>7530</x:v>
      </x:c>
      <x:c r="F1029" s="320">
        <x:v>15060</x:v>
      </x:c>
      <x:c r="G1029" s="320">
        <x:v>3060</x:v>
      </x:c>
      <x:c r="H1029" s="313" t="s">
        <x:v>65</x:v>
      </x:c>
      <x:c r="I1029" s="313" t="s">
        <x:v>15</x:v>
      </x:c>
      <x:c r="J1029" s="316" t="n">
        <x:f>IFERROR(G1029/F1029,0)</x:f>
        <x:v>0.20318725099601595</x:v>
      </x:c>
      <x:c r="K1029" s="312" t="str">
        <x:f>IF(B1029="Bilinmeyen Personel","Kontrol","OK")</x:f>
        <x:v>OK</x:v>
      </x:c>
    </x:row>
    <x:row r="1030" ht="15.75">
      <x:c r="A1030" s="313" t="n">
        <x:f t="shared" si="16">ROW()-ROW($A$2)+1</x:f>
        <x:v>1029</x:v>
      </x:c>
      <x:c r="B1030" s="313" t="s">
        <x:v>32</x:v>
      </x:c>
      <x:c r="C1030" s="313" t="s">
        <x:v>27</x:v>
      </x:c>
      <x:c r="D1030" s="314">
        <x:v>3</x:v>
      </x:c>
      <x:c r="E1030" s="320">
        <x:v>1100</x:v>
      </x:c>
      <x:c r="F1030" s="320">
        <x:v>3300</x:v>
      </x:c>
      <x:c r="G1030" s="320">
        <x:v>900</x:v>
      </x:c>
      <x:c r="H1030" s="313" t="s">
        <x:v>65</x:v>
      </x:c>
      <x:c r="I1030" s="313" t="s">
        <x:v>25</x:v>
      </x:c>
      <x:c r="J1030" s="316" t="n">
        <x:f>IFERROR(G1030/F1030,0)</x:f>
        <x:v>0.2727272727272727</x:v>
      </x:c>
      <x:c r="K1030" s="312" t="str">
        <x:f>IF(B1030="Bilinmeyen Personel","Kontrol","OK")</x:f>
        <x:v>OK</x:v>
      </x:c>
    </x:row>
    <x:row r="1031" ht="15.75">
      <x:c r="A1031" s="313" t="n">
        <x:f t="shared" si="16">ROW()-ROW($A$2)+1</x:f>
        <x:v>1030</x:v>
      </x:c>
      <x:c r="B1031" s="313" t="s">
        <x:v>40</x:v>
      </x:c>
      <x:c r="C1031" s="313" t="s">
        <x:v>20</x:v>
      </x:c>
      <x:c r="D1031" s="314">
        <x:v>3</x:v>
      </x:c>
      <x:c r="E1031" s="320">
        <x:v>1350</x:v>
      </x:c>
      <x:c r="F1031" s="320">
        <x:v>4050</x:v>
      </x:c>
      <x:c r="G1031" s="320">
        <x:v>1650</x:v>
      </x:c>
      <x:c r="H1031" s="313" t="s">
        <x:v>65</x:v>
      </x:c>
      <x:c r="I1031" s="313" t="s">
        <x:v>42</x:v>
      </x:c>
      <x:c r="J1031" s="316" t="n">
        <x:f>IFERROR(G1031/F1031,0)</x:f>
        <x:v>0.4074074074074074</x:v>
      </x:c>
      <x:c r="K1031" s="312" t="str">
        <x:f>IF(B1031="Bilinmeyen Personel","Kontrol","OK")</x:f>
        <x:v>OK</x:v>
      </x:c>
    </x:row>
    <x:row r="1032" ht="15.75">
      <x:c r="A1032" s="313" t="n">
        <x:f t="shared" si="16">ROW()-ROW($A$2)+1</x:f>
        <x:v>1031</x:v>
      </x:c>
      <x:c r="B1032" s="313" t="s">
        <x:v>38</x:v>
      </x:c>
      <x:c r="C1032" s="313" t="s">
        <x:v>20</x:v>
      </x:c>
      <x:c r="D1032" s="314">
        <x:v>1</x:v>
      </x:c>
      <x:c r="E1032" s="320">
        <x:v>1350</x:v>
      </x:c>
      <x:c r="F1032" s="320">
        <x:v>1350</x:v>
      </x:c>
      <x:c r="G1032" s="320">
        <x:v>550</x:v>
      </x:c>
      <x:c r="H1032" s="313" t="s">
        <x:v>65</x:v>
      </x:c>
      <x:c r="I1032" s="313" t="s">
        <x:v>25</x:v>
      </x:c>
      <x:c r="J1032" s="316" t="n">
        <x:f>IFERROR(G1032/F1032,0)</x:f>
        <x:v>0.4074074074074074</x:v>
      </x:c>
      <x:c r="K1032" s="312" t="str">
        <x:f>IF(B1032="Bilinmeyen Personel","Kontrol","OK")</x:f>
        <x:v>OK</x:v>
      </x:c>
    </x:row>
    <x:row r="1033" ht="15.75">
      <x:c r="A1033" s="313" t="n">
        <x:f t="shared" si="16">ROW()-ROW($A$2)+1</x:f>
        <x:v>1032</x:v>
      </x:c>
      <x:c r="B1033" s="313" t="s">
        <x:v>35</x:v>
      </x:c>
      <x:c r="C1033" s="313" t="s">
        <x:v>34</x:v>
      </x:c>
      <x:c r="D1033" s="314">
        <x:v>2</x:v>
      </x:c>
      <x:c r="E1033" s="320">
        <x:v>1090</x:v>
      </x:c>
      <x:c r="F1033" s="320">
        <x:v>2180</x:v>
      </x:c>
      <x:c r="G1033" s="320">
        <x:v>580</x:v>
      </x:c>
      <x:c r="H1033" s="313" t="s">
        <x:v>65</x:v>
      </x:c>
      <x:c r="I1033" s="313" t="s">
        <x:v>21</x:v>
      </x:c>
      <x:c r="J1033" s="316" t="n">
        <x:f>IFERROR(G1033/F1033,0)</x:f>
        <x:v>0.26605504587155965</x:v>
      </x:c>
      <x:c r="K1033" s="312" t="str">
        <x:f>IF(B1033="Bilinmeyen Personel","Kontrol","OK")</x:f>
        <x:v>OK</x:v>
      </x:c>
    </x:row>
    <x:row r="1034" ht="15.75">
      <x:c r="A1034" s="313" t="n">
        <x:f t="shared" si="16">ROW()-ROW($A$2)+1</x:f>
        <x:v>1033</x:v>
      </x:c>
      <x:c r="B1034" s="313" t="s">
        <x:v>35</x:v>
      </x:c>
      <x:c r="C1034" s="313" t="s">
        <x:v>45</x:v>
      </x:c>
      <x:c r="D1034" s="314">
        <x:v>1</x:v>
      </x:c>
      <x:c r="E1034" s="320">
        <x:v>4200</x:v>
      </x:c>
      <x:c r="F1034" s="320">
        <x:v>4200</x:v>
      </x:c>
      <x:c r="G1034" s="320">
        <x:v>1200</x:v>
      </x:c>
      <x:c r="H1034" s="313" t="s">
        <x:v>65</x:v>
      </x:c>
      <x:c r="I1034" s="313" t="s">
        <x:v>18</x:v>
      </x:c>
      <x:c r="J1034" s="316" t="n">
        <x:f>IFERROR(G1034/F1034,0)</x:f>
        <x:v>0.2857142857142857</x:v>
      </x:c>
      <x:c r="K1034" s="312" t="str">
        <x:f>IF(B1034="Bilinmeyen Personel","Kontrol","OK")</x:f>
        <x:v>OK</x:v>
      </x:c>
    </x:row>
    <x:row r="1035" ht="15.75">
      <x:c r="A1035" s="313" t="n">
        <x:f t="shared" si="16">ROW()-ROW($A$2)+1</x:f>
        <x:v>1034</x:v>
      </x:c>
      <x:c r="B1035" s="313" t="s">
        <x:v>40</x:v>
      </x:c>
      <x:c r="C1035" s="313" t="s">
        <x:v>33</x:v>
      </x:c>
      <x:c r="D1035" s="314">
        <x:v>2</x:v>
      </x:c>
      <x:c r="E1035" s="320">
        <x:v>1800</x:v>
      </x:c>
      <x:c r="F1035" s="320">
        <x:v>3600</x:v>
      </x:c>
      <x:c r="G1035" s="320">
        <x:v>2000</x:v>
      </x:c>
      <x:c r="H1035" s="313" t="s">
        <x:v>65</x:v>
      </x:c>
      <x:c r="I1035" s="313" t="s">
        <x:v>28</x:v>
      </x:c>
      <x:c r="J1035" s="316" t="n">
        <x:f>IFERROR(G1035/F1035,0)</x:f>
        <x:v>0.5555555555555556</x:v>
      </x:c>
      <x:c r="K1035" s="312" t="str">
        <x:f>IF(B1035="Bilinmeyen Personel","Kontrol","OK")</x:f>
        <x:v>OK</x:v>
      </x:c>
    </x:row>
    <x:row r="1036" ht="15.75">
      <x:c r="A1036" s="313" t="n">
        <x:f t="shared" si="16">ROW()-ROW($A$2)+1</x:f>
        <x:v>1035</x:v>
      </x:c>
      <x:c r="B1036" s="313" t="s">
        <x:v>50</x:v>
      </x:c>
      <x:c r="C1036" s="313" t="s">
        <x:v>34</x:v>
      </x:c>
      <x:c r="D1036" s="314">
        <x:v>1</x:v>
      </x:c>
      <x:c r="E1036" s="320">
        <x:v>1090</x:v>
      </x:c>
      <x:c r="F1036" s="320">
        <x:v>1090</x:v>
      </x:c>
      <x:c r="G1036" s="320">
        <x:v>290</x:v>
      </x:c>
      <x:c r="H1036" s="313" t="s">
        <x:v>65</x:v>
      </x:c>
      <x:c r="I1036" s="313" t="s">
        <x:v>41</x:v>
      </x:c>
      <x:c r="J1036" s="316" t="n">
        <x:f>IFERROR(G1036/F1036,0)</x:f>
        <x:v>0.26605504587155965</x:v>
      </x:c>
      <x:c r="K1036" s="312" t="str">
        <x:f>IF(B1036="Bilinmeyen Personel","Kontrol","OK")</x:f>
        <x:v>OK</x:v>
      </x:c>
    </x:row>
    <x:row r="1037" ht="15.75">
      <x:c r="A1037" s="313" t="n">
        <x:f t="shared" si="16">ROW()-ROW($A$2)+1</x:f>
        <x:v>1036</x:v>
      </x:c>
      <x:c r="B1037" s="313" t="s">
        <x:v>9</x:v>
      </x:c>
      <x:c r="C1037" s="313" t="s">
        <x:v>24</x:v>
      </x:c>
      <x:c r="D1037" s="314">
        <x:v>1</x:v>
      </x:c>
      <x:c r="E1037" s="320">
        <x:v>7600</x:v>
      </x:c>
      <x:c r="F1037" s="320">
        <x:v>7600</x:v>
      </x:c>
      <x:c r="G1037" s="320">
        <x:v>1600</x:v>
      </x:c>
      <x:c r="H1037" s="313" t="s">
        <x:v>65</x:v>
      </x:c>
      <x:c r="I1037" s="313" t="s">
        <x:v>46</x:v>
      </x:c>
      <x:c r="J1037" s="316" t="n">
        <x:f>IFERROR(G1037/F1037,0)</x:f>
        <x:v>0.21052631578947367</x:v>
      </x:c>
      <x:c r="K1037" s="312" t="str">
        <x:f>IF(B1037="Bilinmeyen Personel","Kontrol","OK")</x:f>
        <x:v>OK</x:v>
      </x:c>
    </x:row>
    <x:row r="1038" ht="15.75">
      <x:c r="A1038" s="313" t="n">
        <x:f t="shared" si="16">ROW()-ROW($A$2)+1</x:f>
        <x:v>1037</x:v>
      </x:c>
      <x:c r="B1038" s="313" t="s">
        <x:v>38</x:v>
      </x:c>
      <x:c r="C1038" s="313" t="s">
        <x:v>24</x:v>
      </x:c>
      <x:c r="D1038" s="314">
        <x:v>3</x:v>
      </x:c>
      <x:c r="E1038" s="320">
        <x:v>7600</x:v>
      </x:c>
      <x:c r="F1038" s="320">
        <x:v>22800</x:v>
      </x:c>
      <x:c r="G1038" s="320">
        <x:v>4800</x:v>
      </x:c>
      <x:c r="H1038" s="313" t="s">
        <x:v>65</x:v>
      </x:c>
      <x:c r="I1038" s="313" t="s">
        <x:v>12</x:v>
      </x:c>
      <x:c r="J1038" s="316" t="n">
        <x:f>IFERROR(G1038/F1038,0)</x:f>
        <x:v>0.21052631578947367</x:v>
      </x:c>
      <x:c r="K1038" s="312" t="str">
        <x:f>IF(B1038="Bilinmeyen Personel","Kontrol","OK")</x:f>
        <x:v>OK</x:v>
      </x:c>
    </x:row>
    <x:row r="1039" ht="15.75">
      <x:c r="A1039" s="313" t="n">
        <x:f t="shared" si="16">ROW()-ROW($A$2)+1</x:f>
        <x:v>1038</x:v>
      </x:c>
      <x:c r="B1039" s="313" t="s">
        <x:v>16</x:v>
      </x:c>
      <x:c r="C1039" s="313" t="s">
        <x:v>58</x:v>
      </x:c>
      <x:c r="D1039" s="314">
        <x:v>1</x:v>
      </x:c>
      <x:c r="E1039" s="320">
        <x:v>3700</x:v>
      </x:c>
      <x:c r="F1039" s="320">
        <x:v>3700</x:v>
      </x:c>
      <x:c r="G1039" s="320">
        <x:v>700</x:v>
      </x:c>
      <x:c r="H1039" s="313" t="s">
        <x:v>65</x:v>
      </x:c>
      <x:c r="I1039" s="313" t="s">
        <x:v>18</x:v>
      </x:c>
      <x:c r="J1039" s="316" t="n">
        <x:f>IFERROR(G1039/F1039,0)</x:f>
        <x:v>0.1891891891891892</x:v>
      </x:c>
      <x:c r="K1039" s="312" t="str">
        <x:f>IF(B1039="Bilinmeyen Personel","Kontrol","OK")</x:f>
        <x:v>OK</x:v>
      </x:c>
    </x:row>
    <x:row r="1040" ht="15.75">
      <x:c r="A1040" s="313" t="n">
        <x:f t="shared" si="16">ROW()-ROW($A$2)+1</x:f>
        <x:v>1039</x:v>
      </x:c>
      <x:c r="B1040" s="313" t="s">
        <x:v>23</x:v>
      </x:c>
      <x:c r="C1040" s="313" t="s">
        <x:v>26</x:v>
      </x:c>
      <x:c r="D1040" s="314">
        <x:v>3</x:v>
      </x:c>
      <x:c r="E1040" s="320">
        <x:v>7250</x:v>
      </x:c>
      <x:c r="F1040" s="320">
        <x:v>21750</x:v>
      </x:c>
      <x:c r="G1040" s="320">
        <x:v>6750</x:v>
      </x:c>
      <x:c r="H1040" s="313" t="s">
        <x:v>65</x:v>
      </x:c>
      <x:c r="I1040" s="313" t="s">
        <x:v>44</x:v>
      </x:c>
      <x:c r="J1040" s="316" t="n">
        <x:f>IFERROR(G1040/F1040,0)</x:f>
        <x:v>0.3103448275862069</x:v>
      </x:c>
      <x:c r="K1040" s="312" t="str">
        <x:f>IF(B1040="Bilinmeyen Personel","Kontrol","OK")</x:f>
        <x:v>OK</x:v>
      </x:c>
    </x:row>
    <x:row r="1041" ht="15.75">
      <x:c r="A1041" s="313" t="n">
        <x:f t="shared" si="16">ROW()-ROW($A$2)+1</x:f>
        <x:v>1040</x:v>
      </x:c>
      <x:c r="B1041" s="313" t="s">
        <x:v>13</x:v>
      </x:c>
      <x:c r="C1041" s="313" t="s">
        <x:v>24</x:v>
      </x:c>
      <x:c r="D1041" s="314">
        <x:v>3</x:v>
      </x:c>
      <x:c r="E1041" s="320">
        <x:v>7600</x:v>
      </x:c>
      <x:c r="F1041" s="320">
        <x:v>22800</x:v>
      </x:c>
      <x:c r="G1041" s="320">
        <x:v>4800</x:v>
      </x:c>
      <x:c r="H1041" s="313" t="s">
        <x:v>65</x:v>
      </x:c>
      <x:c r="I1041" s="313" t="s">
        <x:v>28</x:v>
      </x:c>
      <x:c r="J1041" s="316" t="n">
        <x:f>IFERROR(G1041/F1041,0)</x:f>
        <x:v>0.21052631578947367</x:v>
      </x:c>
      <x:c r="K1041" s="312" t="str">
        <x:f>IF(B1041="Bilinmeyen Personel","Kontrol","OK")</x:f>
        <x:v>OK</x:v>
      </x:c>
    </x:row>
    <x:row r="1042" ht="15.75">
      <x:c r="A1042" s="313" t="n">
        <x:f t="shared" si="16">ROW()-ROW($A$2)+1</x:f>
        <x:v>1041</x:v>
      </x:c>
      <x:c r="B1042" s="313" t="s">
        <x:v>48</x:v>
      </x:c>
      <x:c r="C1042" s="313" t="s">
        <x:v>45</x:v>
      </x:c>
      <x:c r="D1042" s="314">
        <x:v>1</x:v>
      </x:c>
      <x:c r="E1042" s="320">
        <x:v>4200</x:v>
      </x:c>
      <x:c r="F1042" s="320">
        <x:v>4200</x:v>
      </x:c>
      <x:c r="G1042" s="320">
        <x:v>1200</x:v>
      </x:c>
      <x:c r="H1042" s="313" t="s">
        <x:v>65</x:v>
      </x:c>
      <x:c r="I1042" s="313" t="s">
        <x:v>25</x:v>
      </x:c>
      <x:c r="J1042" s="316" t="n">
        <x:f>IFERROR(G1042/F1042,0)</x:f>
        <x:v>0.2857142857142857</x:v>
      </x:c>
      <x:c r="K1042" s="312" t="str">
        <x:f>IF(B1042="Bilinmeyen Personel","Kontrol","OK")</x:f>
        <x:v>OK</x:v>
      </x:c>
    </x:row>
    <x:row r="1043" ht="15.75">
      <x:c r="A1043" s="313" t="n">
        <x:f t="shared" si="16">ROW()-ROW($A$2)+1</x:f>
        <x:v>1042</x:v>
      </x:c>
      <x:c r="B1043" s="313" t="s">
        <x:v>32</x:v>
      </x:c>
      <x:c r="C1043" s="313" t="s">
        <x:v>52</x:v>
      </x:c>
      <x:c r="D1043" s="314">
        <x:v>3</x:v>
      </x:c>
      <x:c r="E1043" s="320">
        <x:v>1250</x:v>
      </x:c>
      <x:c r="F1043" s="320">
        <x:v>3750</x:v>
      </x:c>
      <x:c r="G1043" s="320">
        <x:v>1350</x:v>
      </x:c>
      <x:c r="H1043" s="313" t="s">
        <x:v>65</x:v>
      </x:c>
      <x:c r="I1043" s="313" t="s">
        <x:v>25</x:v>
      </x:c>
      <x:c r="J1043" s="316" t="n">
        <x:f>IFERROR(G1043/F1043,0)</x:f>
        <x:v>0.36</x:v>
      </x:c>
      <x:c r="K1043" s="312" t="str">
        <x:f>IF(B1043="Bilinmeyen Personel","Kontrol","OK")</x:f>
        <x:v>OK</x:v>
      </x:c>
    </x:row>
    <x:row r="1044" ht="15.75">
      <x:c r="A1044" s="313" t="n">
        <x:f t="shared" si="16">ROW()-ROW($A$2)+1</x:f>
        <x:v>1043</x:v>
      </x:c>
      <x:c r="B1044" s="313" t="s">
        <x:v>38</x:v>
      </x:c>
      <x:c r="C1044" s="313" t="s">
        <x:v>34</x:v>
      </x:c>
      <x:c r="D1044" s="314">
        <x:v>1</x:v>
      </x:c>
      <x:c r="E1044" s="320">
        <x:v>1090</x:v>
      </x:c>
      <x:c r="F1044" s="320">
        <x:v>1090</x:v>
      </x:c>
      <x:c r="G1044" s="320">
        <x:v>290</x:v>
      </x:c>
      <x:c r="H1044" s="313" t="s">
        <x:v>65</x:v>
      </x:c>
      <x:c r="I1044" s="313" t="s">
        <x:v>25</x:v>
      </x:c>
      <x:c r="J1044" s="316" t="n">
        <x:f>IFERROR(G1044/F1044,0)</x:f>
        <x:v>0.26605504587155965</x:v>
      </x:c>
      <x:c r="K1044" s="312" t="str">
        <x:f>IF(B1044="Bilinmeyen Personel","Kontrol","OK")</x:f>
        <x:v>OK</x:v>
      </x:c>
    </x:row>
    <x:row r="1045" ht="15.75">
      <x:c r="A1045" s="313" t="n">
        <x:f t="shared" si="16">ROW()-ROW($A$2)+1</x:f>
        <x:v>1044</x:v>
      </x:c>
      <x:c r="B1045" s="313" t="s">
        <x:v>19</x:v>
      </x:c>
      <x:c r="C1045" s="313" t="s">
        <x:v>22</x:v>
      </x:c>
      <x:c r="D1045" s="314">
        <x:v>1</x:v>
      </x:c>
      <x:c r="E1045" s="320">
        <x:v>2180</x:v>
      </x:c>
      <x:c r="F1045" s="320">
        <x:v>2180</x:v>
      </x:c>
      <x:c r="G1045" s="320">
        <x:v>680</x:v>
      </x:c>
      <x:c r="H1045" s="313" t="s">
        <x:v>65</x:v>
      </x:c>
      <x:c r="I1045" s="313" t="s">
        <x:v>31</x:v>
      </x:c>
      <x:c r="J1045" s="316" t="n">
        <x:f>IFERROR(G1045/F1045,0)</x:f>
        <x:v>0.3119266055045872</x:v>
      </x:c>
      <x:c r="K1045" s="312" t="str">
        <x:f>IF(B1045="Bilinmeyen Personel","Kontrol","OK")</x:f>
        <x:v>OK</x:v>
      </x:c>
    </x:row>
    <x:row r="1046" ht="15.75">
      <x:c r="A1046" s="313" t="n">
        <x:f t="shared" si="16">ROW()-ROW($A$2)+1</x:f>
        <x:v>1045</x:v>
      </x:c>
      <x:c r="B1046" s="313" t="s">
        <x:v>50</x:v>
      </x:c>
      <x:c r="C1046" s="313" t="s">
        <x:v>58</x:v>
      </x:c>
      <x:c r="D1046" s="314">
        <x:v>2</x:v>
      </x:c>
      <x:c r="E1046" s="320">
        <x:v>3700</x:v>
      </x:c>
      <x:c r="F1046" s="320">
        <x:v>7400</x:v>
      </x:c>
      <x:c r="G1046" s="320">
        <x:v>1400</x:v>
      </x:c>
      <x:c r="H1046" s="313" t="s">
        <x:v>65</x:v>
      </x:c>
      <x:c r="I1046" s="313" t="s">
        <x:v>18</x:v>
      </x:c>
      <x:c r="J1046" s="316" t="n">
        <x:f>IFERROR(G1046/F1046,0)</x:f>
        <x:v>0.1891891891891892</x:v>
      </x:c>
      <x:c r="K1046" s="312" t="str">
        <x:f>IF(B1046="Bilinmeyen Personel","Kontrol","OK")</x:f>
        <x:v>OK</x:v>
      </x:c>
    </x:row>
    <x:row r="1047" ht="15.75">
      <x:c r="A1047" s="313" t="n">
        <x:f t="shared" si="16">ROW()-ROW($A$2)+1</x:f>
        <x:v>1046</x:v>
      </x:c>
      <x:c r="B1047" s="313" t="s">
        <x:v>40</x:v>
      </x:c>
      <x:c r="C1047" s="313" t="s">
        <x:v>10</x:v>
      </x:c>
      <x:c r="D1047" s="314">
        <x:v>2</x:v>
      </x:c>
      <x:c r="E1047" s="320">
        <x:v>6000</x:v>
      </x:c>
      <x:c r="F1047" s="320">
        <x:v>12000</x:v>
      </x:c>
      <x:c r="G1047" s="320">
        <x:v>4000</x:v>
      </x:c>
      <x:c r="H1047" s="313" t="s">
        <x:v>65</x:v>
      </x:c>
      <x:c r="I1047" s="313" t="s">
        <x:v>42</x:v>
      </x:c>
      <x:c r="J1047" s="316" t="n">
        <x:f>IFERROR(G1047/F1047,0)</x:f>
        <x:v>0.3333333333333333</x:v>
      </x:c>
      <x:c r="K1047" s="312" t="str">
        <x:f>IF(B1047="Bilinmeyen Personel","Kontrol","OK")</x:f>
        <x:v>OK</x:v>
      </x:c>
    </x:row>
    <x:row r="1048" ht="15.75">
      <x:c r="A1048" s="313" t="n">
        <x:f t="shared" si="16">ROW()-ROW($A$2)+1</x:f>
        <x:v>1047</x:v>
      </x:c>
      <x:c r="B1048" s="313" t="s">
        <x:v>48</x:v>
      </x:c>
      <x:c r="C1048" s="313" t="s">
        <x:v>52</x:v>
      </x:c>
      <x:c r="D1048" s="314">
        <x:v>2</x:v>
      </x:c>
      <x:c r="E1048" s="320">
        <x:v>1250</x:v>
      </x:c>
      <x:c r="F1048" s="320">
        <x:v>2500</x:v>
      </x:c>
      <x:c r="G1048" s="320">
        <x:v>900</x:v>
      </x:c>
      <x:c r="H1048" s="313" t="s">
        <x:v>65</x:v>
      </x:c>
      <x:c r="I1048" s="313" t="s">
        <x:v>41</x:v>
      </x:c>
      <x:c r="J1048" s="316" t="n">
        <x:f>IFERROR(G1048/F1048,0)</x:f>
        <x:v>0.36</x:v>
      </x:c>
      <x:c r="K1048" s="312" t="str">
        <x:f>IF(B1048="Bilinmeyen Personel","Kontrol","OK")</x:f>
        <x:v>OK</x:v>
      </x:c>
    </x:row>
    <x:row r="1049" ht="15.75">
      <x:c r="A1049" s="313" t="n">
        <x:f t="shared" si="16">ROW()-ROW($A$2)+1</x:f>
        <x:v>1048</x:v>
      </x:c>
      <x:c r="B1049" s="313" t="s">
        <x:v>50</x:v>
      </x:c>
      <x:c r="C1049" s="313" t="s">
        <x:v>24</x:v>
      </x:c>
      <x:c r="D1049" s="314">
        <x:v>1</x:v>
      </x:c>
      <x:c r="E1049" s="320">
        <x:v>7600</x:v>
      </x:c>
      <x:c r="F1049" s="320">
        <x:v>7600</x:v>
      </x:c>
      <x:c r="G1049" s="320">
        <x:v>1600</x:v>
      </x:c>
      <x:c r="H1049" s="313" t="s">
        <x:v>65</x:v>
      </x:c>
      <x:c r="I1049" s="313" t="s">
        <x:v>54</x:v>
      </x:c>
      <x:c r="J1049" s="316" t="n">
        <x:f>IFERROR(G1049/F1049,0)</x:f>
        <x:v>0.21052631578947367</x:v>
      </x:c>
      <x:c r="K1049" s="312" t="str">
        <x:f>IF(B1049="Bilinmeyen Personel","Kontrol","OK")</x:f>
        <x:v>OK</x:v>
      </x:c>
    </x:row>
    <x:row r="1050" ht="15.75">
      <x:c r="A1050" s="313" t="n">
        <x:f t="shared" si="16">ROW()-ROW($A$2)+1</x:f>
        <x:v>1049</x:v>
      </x:c>
      <x:c r="B1050" s="313" t="s">
        <x:v>9</x:v>
      </x:c>
      <x:c r="C1050" s="313" t="s">
        <x:v>14</x:v>
      </x:c>
      <x:c r="D1050" s="314">
        <x:v>2</x:v>
      </x:c>
      <x:c r="E1050" s="320">
        <x:v>1400</x:v>
      </x:c>
      <x:c r="F1050" s="320">
        <x:v>2800</x:v>
      </x:c>
      <x:c r="G1050" s="320">
        <x:v>1200</x:v>
      </x:c>
      <x:c r="H1050" s="313" t="s">
        <x:v>65</x:v>
      </x:c>
      <x:c r="I1050" s="313" t="s">
        <x:v>18</x:v>
      </x:c>
      <x:c r="J1050" s="316" t="n">
        <x:f>IFERROR(G1050/F1050,0)</x:f>
        <x:v>0.42857142857142855</x:v>
      </x:c>
      <x:c r="K1050" s="312" t="str">
        <x:f>IF(B1050="Bilinmeyen Personel","Kontrol","OK")</x:f>
        <x:v>OK</x:v>
      </x:c>
    </x:row>
    <x:row r="1051" ht="15.75">
      <x:c r="A1051" s="313" t="n">
        <x:f t="shared" si="16">ROW()-ROW($A$2)+1</x:f>
        <x:v>1050</x:v>
      </x:c>
      <x:c r="B1051" s="313" t="s">
        <x:v>23</x:v>
      </x:c>
      <x:c r="C1051" s="313" t="s">
        <x:v>22</x:v>
      </x:c>
      <x:c r="D1051" s="314">
        <x:v>2</x:v>
      </x:c>
      <x:c r="E1051" s="320">
        <x:v>2180</x:v>
      </x:c>
      <x:c r="F1051" s="320">
        <x:v>4360</x:v>
      </x:c>
      <x:c r="G1051" s="320">
        <x:v>1360</x:v>
      </x:c>
      <x:c r="H1051" s="313" t="s">
        <x:v>65</x:v>
      </x:c>
      <x:c r="I1051" s="313" t="s">
        <x:v>44</x:v>
      </x:c>
      <x:c r="J1051" s="316" t="n">
        <x:f>IFERROR(G1051/F1051,0)</x:f>
        <x:v>0.3119266055045872</x:v>
      </x:c>
      <x:c r="K1051" s="312" t="str">
        <x:f>IF(B1051="Bilinmeyen Personel","Kontrol","OK")</x:f>
        <x:v>OK</x:v>
      </x:c>
    </x:row>
    <x:row r="1052" ht="15.75">
      <x:c r="A1052" s="313" t="n">
        <x:f t="shared" si="16">ROW()-ROW($A$2)+1</x:f>
        <x:v>1051</x:v>
      </x:c>
      <x:c r="B1052" s="313" t="s">
        <x:v>9</x:v>
      </x:c>
      <x:c r="C1052" s="313" t="s">
        <x:v>33</x:v>
      </x:c>
      <x:c r="D1052" s="314">
        <x:v>3</x:v>
      </x:c>
      <x:c r="E1052" s="320">
        <x:v>1800</x:v>
      </x:c>
      <x:c r="F1052" s="320">
        <x:v>5400</x:v>
      </x:c>
      <x:c r="G1052" s="320">
        <x:v>3000</x:v>
      </x:c>
      <x:c r="H1052" s="313" t="s">
        <x:v>65</x:v>
      </x:c>
      <x:c r="I1052" s="313" t="s">
        <x:v>37</x:v>
      </x:c>
      <x:c r="J1052" s="316" t="n">
        <x:f>IFERROR(G1052/F1052,0)</x:f>
        <x:v>0.5555555555555556</x:v>
      </x:c>
      <x:c r="K1052" s="312" t="str">
        <x:f>IF(B1052="Bilinmeyen Personel","Kontrol","OK")</x:f>
        <x:v>OK</x:v>
      </x:c>
    </x:row>
    <x:row r="1053" ht="15.75">
      <x:c r="A1053" s="313" t="n">
        <x:f t="shared" si="16">ROW()-ROW($A$2)+1</x:f>
        <x:v>1052</x:v>
      </x:c>
      <x:c r="B1053" s="313" t="s">
        <x:v>16</x:v>
      </x:c>
      <x:c r="C1053" s="313" t="s">
        <x:v>57</x:v>
      </x:c>
      <x:c r="D1053" s="314">
        <x:v>1</x:v>
      </x:c>
      <x:c r="E1053" s="320">
        <x:v>1500</x:v>
      </x:c>
      <x:c r="F1053" s="320">
        <x:v>1500</x:v>
      </x:c>
      <x:c r="G1053" s="320">
        <x:v>700</x:v>
      </x:c>
      <x:c r="H1053" s="313" t="s">
        <x:v>65</x:v>
      </x:c>
      <x:c r="I1053" s="313" t="s">
        <x:v>18</x:v>
      </x:c>
      <x:c r="J1053" s="316" t="n">
        <x:f>IFERROR(G1053/F1053,0)</x:f>
        <x:v>0.4666666666666667</x:v>
      </x:c>
      <x:c r="K1053" s="312" t="str">
        <x:f>IF(B1053="Bilinmeyen Personel","Kontrol","OK")</x:f>
        <x:v>OK</x:v>
      </x:c>
    </x:row>
    <x:row r="1054" ht="15.75">
      <x:c r="A1054" s="313" t="n">
        <x:f t="shared" si="16">ROW()-ROW($A$2)+1</x:f>
        <x:v>1053</x:v>
      </x:c>
      <x:c r="B1054" s="313" t="s">
        <x:v>32</x:v>
      </x:c>
      <x:c r="C1054" s="313" t="s">
        <x:v>17</x:v>
      </x:c>
      <x:c r="D1054" s="314">
        <x:v>3</x:v>
      </x:c>
      <x:c r="E1054" s="320">
        <x:v>8450</x:v>
      </x:c>
      <x:c r="F1054" s="320">
        <x:v>25350</x:v>
      </x:c>
      <x:c r="G1054" s="320">
        <x:v>7350</x:v>
      </x:c>
      <x:c r="H1054" s="313" t="s">
        <x:v>65</x:v>
      </x:c>
      <x:c r="I1054" s="313" t="s">
        <x:v>44</x:v>
      </x:c>
      <x:c r="J1054" s="316" t="n">
        <x:f>IFERROR(G1054/F1054,0)</x:f>
        <x:v>0.28994082840236685</x:v>
      </x:c>
      <x:c r="K1054" s="312" t="str">
        <x:f>IF(B1054="Bilinmeyen Personel","Kontrol","OK")</x:f>
        <x:v>OK</x:v>
      </x:c>
    </x:row>
    <x:row r="1055" ht="15.75">
      <x:c r="A1055" s="313" t="n">
        <x:f t="shared" si="16">ROW()-ROW($A$2)+1</x:f>
        <x:v>1054</x:v>
      </x:c>
      <x:c r="B1055" s="313" t="s">
        <x:v>40</x:v>
      </x:c>
      <x:c r="C1055" s="313" t="s">
        <x:v>57</x:v>
      </x:c>
      <x:c r="D1055" s="314">
        <x:v>3</x:v>
      </x:c>
      <x:c r="E1055" s="320">
        <x:v>1500</x:v>
      </x:c>
      <x:c r="F1055" s="320">
        <x:v>4500</x:v>
      </x:c>
      <x:c r="G1055" s="320">
        <x:v>2100</x:v>
      </x:c>
      <x:c r="H1055" s="313" t="s">
        <x:v>65</x:v>
      </x:c>
      <x:c r="I1055" s="313" t="s">
        <x:v>28</x:v>
      </x:c>
      <x:c r="J1055" s="316" t="n">
        <x:f>IFERROR(G1055/F1055,0)</x:f>
        <x:v>0.4666666666666667</x:v>
      </x:c>
      <x:c r="K1055" s="312" t="str">
        <x:f>IF(B1055="Bilinmeyen Personel","Kontrol","OK")</x:f>
        <x:v>OK</x:v>
      </x:c>
    </x:row>
    <x:row r="1056" ht="15.75">
      <x:c r="A1056" s="313" t="n">
        <x:f t="shared" si="16">ROW()-ROW($A$2)+1</x:f>
        <x:v>1055</x:v>
      </x:c>
      <x:c r="B1056" s="313" t="s">
        <x:v>29</x:v>
      </x:c>
      <x:c r="C1056" s="313" t="s">
        <x:v>10</x:v>
      </x:c>
      <x:c r="D1056" s="314">
        <x:v>3</x:v>
      </x:c>
      <x:c r="E1056" s="320">
        <x:v>6000</x:v>
      </x:c>
      <x:c r="F1056" s="320">
        <x:v>18000</x:v>
      </x:c>
      <x:c r="G1056" s="320">
        <x:v>6000</x:v>
      </x:c>
      <x:c r="H1056" s="313" t="s">
        <x:v>65</x:v>
      </x:c>
      <x:c r="I1056" s="313" t="s">
        <x:v>12</x:v>
      </x:c>
      <x:c r="J1056" s="316" t="n">
        <x:f>IFERROR(G1056/F1056,0)</x:f>
        <x:v>0.3333333333333333</x:v>
      </x:c>
      <x:c r="K1056" s="312" t="str">
        <x:f>IF(B1056="Bilinmeyen Personel","Kontrol","OK")</x:f>
        <x:v>OK</x:v>
      </x:c>
    </x:row>
    <x:row r="1057" ht="15.75">
      <x:c r="A1057" s="313" t="n">
        <x:f t="shared" si="16">ROW()-ROW($A$2)+1</x:f>
        <x:v>1056</x:v>
      </x:c>
      <x:c r="B1057" s="313" t="s">
        <x:v>50</x:v>
      </x:c>
      <x:c r="C1057" s="313" t="s">
        <x:v>53</x:v>
      </x:c>
      <x:c r="D1057" s="314">
        <x:v>1</x:v>
      </x:c>
      <x:c r="E1057" s="320">
        <x:v>1200</x:v>
      </x:c>
      <x:c r="F1057" s="320">
        <x:v>1200</x:v>
      </x:c>
      <x:c r="G1057" s="320">
        <x:v>400</x:v>
      </x:c>
      <x:c r="H1057" s="313" t="s">
        <x:v>65</x:v>
      </x:c>
      <x:c r="I1057" s="313" t="s">
        <x:v>15</x:v>
      </x:c>
      <x:c r="J1057" s="316" t="n">
        <x:f>IFERROR(G1057/F1057,0)</x:f>
        <x:v>0.3333333333333333</x:v>
      </x:c>
      <x:c r="K1057" s="312" t="str">
        <x:f>IF(B1057="Bilinmeyen Personel","Kontrol","OK")</x:f>
        <x:v>OK</x:v>
      </x:c>
    </x:row>
    <x:row r="1058" ht="15.75">
      <x:c r="A1058" s="313" t="n">
        <x:f t="shared" si="16">ROW()-ROW($A$2)+1</x:f>
        <x:v>1057</x:v>
      </x:c>
      <x:c r="B1058" s="313" t="s">
        <x:v>9</x:v>
      </x:c>
      <x:c r="C1058" s="313" t="s">
        <x:v>45</x:v>
      </x:c>
      <x:c r="D1058" s="314">
        <x:v>3</x:v>
      </x:c>
      <x:c r="E1058" s="320">
        <x:v>4200</x:v>
      </x:c>
      <x:c r="F1058" s="320">
        <x:v>12600</x:v>
      </x:c>
      <x:c r="G1058" s="320">
        <x:v>3600</x:v>
      </x:c>
      <x:c r="H1058" s="313" t="s">
        <x:v>65</x:v>
      </x:c>
      <x:c r="I1058" s="313" t="s">
        <x:v>21</x:v>
      </x:c>
      <x:c r="J1058" s="316" t="n">
        <x:f>IFERROR(G1058/F1058,0)</x:f>
        <x:v>0.2857142857142857</x:v>
      </x:c>
      <x:c r="K1058" s="312" t="str">
        <x:f>IF(B1058="Bilinmeyen Personel","Kontrol","OK")</x:f>
        <x:v>OK</x:v>
      </x:c>
    </x:row>
    <x:row r="1059" ht="15.75">
      <x:c r="A1059" s="313" t="n">
        <x:f t="shared" si="16">ROW()-ROW($A$2)+1</x:f>
        <x:v>1058</x:v>
      </x:c>
      <x:c r="B1059" s="313" t="s">
        <x:v>48</x:v>
      </x:c>
      <x:c r="C1059" s="313" t="s">
        <x:v>24</x:v>
      </x:c>
      <x:c r="D1059" s="314">
        <x:v>3</x:v>
      </x:c>
      <x:c r="E1059" s="320">
        <x:v>7600</x:v>
      </x:c>
      <x:c r="F1059" s="320">
        <x:v>22800</x:v>
      </x:c>
      <x:c r="G1059" s="320">
        <x:v>4800</x:v>
      </x:c>
      <x:c r="H1059" s="313" t="s">
        <x:v>65</x:v>
      </x:c>
      <x:c r="I1059" s="313" t="s">
        <x:v>28</x:v>
      </x:c>
      <x:c r="J1059" s="316" t="n">
        <x:f>IFERROR(G1059/F1059,0)</x:f>
        <x:v>0.21052631578947367</x:v>
      </x:c>
      <x:c r="K1059" s="312" t="str">
        <x:f>IF(B1059="Bilinmeyen Personel","Kontrol","OK")</x:f>
        <x:v>OK</x:v>
      </x:c>
    </x:row>
    <x:row r="1060" ht="15.75">
      <x:c r="A1060" s="313" t="n">
        <x:f t="shared" si="16">ROW()-ROW($A$2)+1</x:f>
        <x:v>1059</x:v>
      </x:c>
      <x:c r="B1060" s="313" t="s">
        <x:v>29</x:v>
      </x:c>
      <x:c r="C1060" s="313" t="s">
        <x:v>26</x:v>
      </x:c>
      <x:c r="D1060" s="314">
        <x:v>2</x:v>
      </x:c>
      <x:c r="E1060" s="320">
        <x:v>7250</x:v>
      </x:c>
      <x:c r="F1060" s="320">
        <x:v>14500</x:v>
      </x:c>
      <x:c r="G1060" s="320">
        <x:v>4500</x:v>
      </x:c>
      <x:c r="H1060" s="313" t="s">
        <x:v>65</x:v>
      </x:c>
      <x:c r="I1060" s="313" t="s">
        <x:v>31</x:v>
      </x:c>
      <x:c r="J1060" s="316" t="n">
        <x:f>IFERROR(G1060/F1060,0)</x:f>
        <x:v>0.3103448275862069</x:v>
      </x:c>
      <x:c r="K1060" s="312" t="str">
        <x:f>IF(B1060="Bilinmeyen Personel","Kontrol","OK")</x:f>
        <x:v>OK</x:v>
      </x:c>
    </x:row>
    <x:row r="1061" ht="15.75">
      <x:c r="A1061" s="313" t="n">
        <x:f t="shared" si="16">ROW()-ROW($A$2)+1</x:f>
        <x:v>1060</x:v>
      </x:c>
      <x:c r="B1061" s="313" t="s">
        <x:v>13</x:v>
      </x:c>
      <x:c r="C1061" s="313" t="s">
        <x:v>55</x:v>
      </x:c>
      <x:c r="D1061" s="314">
        <x:v>2</x:v>
      </x:c>
      <x:c r="E1061" s="320">
        <x:v>7530</x:v>
      </x:c>
      <x:c r="F1061" s="320">
        <x:v>15060</x:v>
      </x:c>
      <x:c r="G1061" s="320">
        <x:v>3060</x:v>
      </x:c>
      <x:c r="H1061" s="313" t="s">
        <x:v>65</x:v>
      </x:c>
      <x:c r="I1061" s="313" t="s">
        <x:v>46</x:v>
      </x:c>
      <x:c r="J1061" s="316" t="n">
        <x:f>IFERROR(G1061/F1061,0)</x:f>
        <x:v>0.20318725099601595</x:v>
      </x:c>
      <x:c r="K1061" s="312" t="str">
        <x:f>IF(B1061="Bilinmeyen Personel","Kontrol","OK")</x:f>
        <x:v>OK</x:v>
      </x:c>
    </x:row>
    <x:row r="1062" ht="15.75">
      <x:c r="A1062" s="313" t="n">
        <x:f t="shared" si="16">ROW()-ROW($A$2)+1</x:f>
        <x:v>1061</x:v>
      </x:c>
      <x:c r="B1062" s="313" t="s">
        <x:v>16</x:v>
      </x:c>
      <x:c r="C1062" s="313" t="s">
        <x:v>26</x:v>
      </x:c>
      <x:c r="D1062" s="314">
        <x:v>2</x:v>
      </x:c>
      <x:c r="E1062" s="320">
        <x:v>7250</x:v>
      </x:c>
      <x:c r="F1062" s="320">
        <x:v>14500</x:v>
      </x:c>
      <x:c r="G1062" s="320">
        <x:v>4500</x:v>
      </x:c>
      <x:c r="H1062" s="313" t="s">
        <x:v>66</x:v>
      </x:c>
      <x:c r="I1062" s="313" t="s">
        <x:v>12</x:v>
      </x:c>
      <x:c r="J1062" s="316" t="n">
        <x:f>IFERROR(G1062/F1062,0)</x:f>
        <x:v>0.3103448275862069</x:v>
      </x:c>
      <x:c r="K1062" s="312" t="str">
        <x:f>IF(B1062="Bilinmeyen Personel","Kontrol","OK")</x:f>
        <x:v>OK</x:v>
      </x:c>
    </x:row>
    <x:row r="1063" ht="15.75">
      <x:c r="A1063" s="313" t="n">
        <x:f t="shared" si="16">ROW()-ROW($A$2)+1</x:f>
        <x:v>1062</x:v>
      </x:c>
      <x:c r="B1063" s="313" t="s">
        <x:v>13</x:v>
      </x:c>
      <x:c r="C1063" s="313" t="s">
        <x:v>10</x:v>
      </x:c>
      <x:c r="D1063" s="314">
        <x:v>1</x:v>
      </x:c>
      <x:c r="E1063" s="320">
        <x:v>6000</x:v>
      </x:c>
      <x:c r="F1063" s="320">
        <x:v>6000</x:v>
      </x:c>
      <x:c r="G1063" s="320">
        <x:v>2000</x:v>
      </x:c>
      <x:c r="H1063" s="313" t="s">
        <x:v>66</x:v>
      </x:c>
      <x:c r="I1063" s="313" t="s">
        <x:v>44</x:v>
      </x:c>
      <x:c r="J1063" s="316" t="n">
        <x:f>IFERROR(G1063/F1063,0)</x:f>
        <x:v>0.3333333333333333</x:v>
      </x:c>
      <x:c r="K1063" s="312" t="str">
        <x:f>IF(B1063="Bilinmeyen Personel","Kontrol","OK")</x:f>
        <x:v>OK</x:v>
      </x:c>
    </x:row>
    <x:row r="1064" ht="15.75">
      <x:c r="A1064" s="313" t="n">
        <x:f t="shared" si="16">ROW()-ROW($A$2)+1</x:f>
        <x:v>1063</x:v>
      </x:c>
      <x:c r="B1064" s="313" t="s">
        <x:v>29</x:v>
      </x:c>
      <x:c r="C1064" s="313" t="s">
        <x:v>53</x:v>
      </x:c>
      <x:c r="D1064" s="314">
        <x:v>3</x:v>
      </x:c>
      <x:c r="E1064" s="320">
        <x:v>1200</x:v>
      </x:c>
      <x:c r="F1064" s="320">
        <x:v>3600</x:v>
      </x:c>
      <x:c r="G1064" s="320">
        <x:v>1200</x:v>
      </x:c>
      <x:c r="H1064" s="313" t="s">
        <x:v>66</x:v>
      </x:c>
      <x:c r="I1064" s="313" t="s">
        <x:v>21</x:v>
      </x:c>
      <x:c r="J1064" s="316" t="n">
        <x:f>IFERROR(G1064/F1064,0)</x:f>
        <x:v>0.3333333333333333</x:v>
      </x:c>
      <x:c r="K1064" s="312" t="str">
        <x:f>IF(B1064="Bilinmeyen Personel","Kontrol","OK")</x:f>
        <x:v>OK</x:v>
      </x:c>
    </x:row>
    <x:row r="1065" ht="15.75">
      <x:c r="A1065" s="313" t="n">
        <x:f t="shared" si="16">ROW()-ROW($A$2)+1</x:f>
        <x:v>1064</x:v>
      </x:c>
      <x:c r="B1065" s="313" t="s">
        <x:v>50</x:v>
      </x:c>
      <x:c r="C1065" s="313" t="s">
        <x:v>56</x:v>
      </x:c>
      <x:c r="D1065" s="314">
        <x:v>2</x:v>
      </x:c>
      <x:c r="E1065" s="320">
        <x:v>5300</x:v>
      </x:c>
      <x:c r="F1065" s="320">
        <x:v>10600</x:v>
      </x:c>
      <x:c r="G1065" s="320">
        <x:v>2600</x:v>
      </x:c>
      <x:c r="H1065" s="313" t="s">
        <x:v>66</x:v>
      </x:c>
      <x:c r="I1065" s="313" t="s">
        <x:v>15</x:v>
      </x:c>
      <x:c r="J1065" s="316" t="n">
        <x:f>IFERROR(G1065/F1065,0)</x:f>
        <x:v>0.24528301886792453</x:v>
      </x:c>
      <x:c r="K1065" s="312" t="str">
        <x:f>IF(B1065="Bilinmeyen Personel","Kontrol","OK")</x:f>
        <x:v>OK</x:v>
      </x:c>
    </x:row>
    <x:row r="1066" ht="15.75">
      <x:c r="A1066" s="313" t="n">
        <x:f t="shared" si="16">ROW()-ROW($A$2)+1</x:f>
        <x:v>1065</x:v>
      </x:c>
      <x:c r="B1066" s="313" t="s">
        <x:v>38</x:v>
      </x:c>
      <x:c r="C1066" s="313" t="s">
        <x:v>17</x:v>
      </x:c>
      <x:c r="D1066" s="314">
        <x:v>2</x:v>
      </x:c>
      <x:c r="E1066" s="320">
        <x:v>8450</x:v>
      </x:c>
      <x:c r="F1066" s="320">
        <x:v>16900</x:v>
      </x:c>
      <x:c r="G1066" s="320">
        <x:v>4900</x:v>
      </x:c>
      <x:c r="H1066" s="313" t="s">
        <x:v>66</x:v>
      </x:c>
      <x:c r="I1066" s="313" t="s">
        <x:v>31</x:v>
      </x:c>
      <x:c r="J1066" s="316" t="n">
        <x:f>IFERROR(G1066/F1066,0)</x:f>
        <x:v>0.28994082840236685</x:v>
      </x:c>
      <x:c r="K1066" s="312" t="str">
        <x:f>IF(B1066="Bilinmeyen Personel","Kontrol","OK")</x:f>
        <x:v>OK</x:v>
      </x:c>
    </x:row>
    <x:row r="1067" ht="15.75">
      <x:c r="A1067" s="313" t="n">
        <x:f t="shared" si="16">ROW()-ROW($A$2)+1</x:f>
        <x:v>1066</x:v>
      </x:c>
      <x:c r="B1067" s="313" t="s">
        <x:v>23</x:v>
      </x:c>
      <x:c r="C1067" s="313" t="s">
        <x:v>20</x:v>
      </x:c>
      <x:c r="D1067" s="314">
        <x:v>1</x:v>
      </x:c>
      <x:c r="E1067" s="320">
        <x:v>1350</x:v>
      </x:c>
      <x:c r="F1067" s="320">
        <x:v>1350</x:v>
      </x:c>
      <x:c r="G1067" s="320">
        <x:v>550</x:v>
      </x:c>
      <x:c r="H1067" s="313" t="s">
        <x:v>66</x:v>
      </x:c>
      <x:c r="I1067" s="313" t="s">
        <x:v>54</x:v>
      </x:c>
      <x:c r="J1067" s="316" t="n">
        <x:f>IFERROR(G1067/F1067,0)</x:f>
        <x:v>0.4074074074074074</x:v>
      </x:c>
      <x:c r="K1067" s="312" t="str">
        <x:f>IF(B1067="Bilinmeyen Personel","Kontrol","OK")</x:f>
        <x:v>OK</x:v>
      </x:c>
    </x:row>
    <x:row r="1068" ht="15.75">
      <x:c r="A1068" s="313" t="n">
        <x:f t="shared" si="16">ROW()-ROW($A$2)+1</x:f>
        <x:v>1067</x:v>
      </x:c>
      <x:c r="B1068" s="313" t="s">
        <x:v>32</x:v>
      </x:c>
      <x:c r="C1068" s="313" t="s">
        <x:v>34</x:v>
      </x:c>
      <x:c r="D1068" s="314">
        <x:v>1</x:v>
      </x:c>
      <x:c r="E1068" s="320">
        <x:v>1090</x:v>
      </x:c>
      <x:c r="F1068" s="320">
        <x:v>1090</x:v>
      </x:c>
      <x:c r="G1068" s="320">
        <x:v>290</x:v>
      </x:c>
      <x:c r="H1068" s="313" t="s">
        <x:v>66</x:v>
      </x:c>
      <x:c r="I1068" s="313" t="s">
        <x:v>37</x:v>
      </x:c>
      <x:c r="J1068" s="316" t="n">
        <x:f>IFERROR(G1068/F1068,0)</x:f>
        <x:v>0.26605504587155965</x:v>
      </x:c>
      <x:c r="K1068" s="312" t="str">
        <x:f>IF(B1068="Bilinmeyen Personel","Kontrol","OK")</x:f>
        <x:v>OK</x:v>
      </x:c>
    </x:row>
    <x:row r="1069" ht="15.75">
      <x:c r="A1069" s="313" t="n">
        <x:f t="shared" si="16">ROW()-ROW($A$2)+1</x:f>
        <x:v>1068</x:v>
      </x:c>
      <x:c r="B1069" s="313" t="s">
        <x:v>23</x:v>
      </x:c>
      <x:c r="C1069" s="313" t="s">
        <x:v>22</x:v>
      </x:c>
      <x:c r="D1069" s="314">
        <x:v>1</x:v>
      </x:c>
      <x:c r="E1069" s="320">
        <x:v>2180</x:v>
      </x:c>
      <x:c r="F1069" s="320">
        <x:v>2180</x:v>
      </x:c>
      <x:c r="G1069" s="320">
        <x:v>680</x:v>
      </x:c>
      <x:c r="H1069" s="313" t="s">
        <x:v>66</x:v>
      </x:c>
      <x:c r="I1069" s="313" t="s">
        <x:v>41</x:v>
      </x:c>
      <x:c r="J1069" s="316" t="n">
        <x:f>IFERROR(G1069/F1069,0)</x:f>
        <x:v>0.3119266055045872</x:v>
      </x:c>
      <x:c r="K1069" s="312" t="str">
        <x:f>IF(B1069="Bilinmeyen Personel","Kontrol","OK")</x:f>
        <x:v>OK</x:v>
      </x:c>
    </x:row>
    <x:row r="1070" ht="15.75">
      <x:c r="A1070" s="313" t="n">
        <x:f t="shared" si="16">ROW()-ROW($A$2)+1</x:f>
        <x:v>1069</x:v>
      </x:c>
      <x:c r="B1070" s="313" t="s">
        <x:v>9</x:v>
      </x:c>
      <x:c r="C1070" s="313" t="s">
        <x:v>10</x:v>
      </x:c>
      <x:c r="D1070" s="314">
        <x:v>2</x:v>
      </x:c>
      <x:c r="E1070" s="320">
        <x:v>6000</x:v>
      </x:c>
      <x:c r="F1070" s="320">
        <x:v>12000</x:v>
      </x:c>
      <x:c r="G1070" s="320">
        <x:v>4000</x:v>
      </x:c>
      <x:c r="H1070" s="313" t="s">
        <x:v>66</x:v>
      </x:c>
      <x:c r="I1070" s="313" t="s">
        <x:v>44</x:v>
      </x:c>
      <x:c r="J1070" s="316" t="n">
        <x:f>IFERROR(G1070/F1070,0)</x:f>
        <x:v>0.3333333333333333</x:v>
      </x:c>
      <x:c r="K1070" s="312" t="str">
        <x:f>IF(B1070="Bilinmeyen Personel","Kontrol","OK")</x:f>
        <x:v>OK</x:v>
      </x:c>
    </x:row>
    <x:row r="1071" ht="15.75">
      <x:c r="A1071" s="313" t="n">
        <x:f t="shared" si="16">ROW()-ROW($A$2)+1</x:f>
        <x:v>1070</x:v>
      </x:c>
      <x:c r="B1071" s="313" t="s">
        <x:v>13</x:v>
      </x:c>
      <x:c r="C1071" s="313" t="s">
        <x:v>14</x:v>
      </x:c>
      <x:c r="D1071" s="314">
        <x:v>2</x:v>
      </x:c>
      <x:c r="E1071" s="320">
        <x:v>1400</x:v>
      </x:c>
      <x:c r="F1071" s="320">
        <x:v>2800</x:v>
      </x:c>
      <x:c r="G1071" s="320">
        <x:v>1200</x:v>
      </x:c>
      <x:c r="H1071" s="313" t="s">
        <x:v>66</x:v>
      </x:c>
      <x:c r="I1071" s="313" t="s">
        <x:v>37</x:v>
      </x:c>
      <x:c r="J1071" s="316" t="n">
        <x:f>IFERROR(G1071/F1071,0)</x:f>
        <x:v>0.42857142857142855</x:v>
      </x:c>
      <x:c r="K1071" s="312" t="str">
        <x:f>IF(B1071="Bilinmeyen Personel","Kontrol","OK")</x:f>
        <x:v>OK</x:v>
      </x:c>
    </x:row>
    <x:row r="1072" ht="15.75">
      <x:c r="A1072" s="313" t="n">
        <x:f t="shared" si="16">ROW()-ROW($A$2)+1</x:f>
        <x:v>1071</x:v>
      </x:c>
      <x:c r="B1072" s="313" t="s">
        <x:v>16</x:v>
      </x:c>
      <x:c r="C1072" s="313" t="s">
        <x:v>17</x:v>
      </x:c>
      <x:c r="D1072" s="314">
        <x:v>2</x:v>
      </x:c>
      <x:c r="E1072" s="320">
        <x:v>8450</x:v>
      </x:c>
      <x:c r="F1072" s="320">
        <x:v>16900</x:v>
      </x:c>
      <x:c r="G1072" s="320">
        <x:v>4900</x:v>
      </x:c>
      <x:c r="H1072" s="313" t="s">
        <x:v>66</x:v>
      </x:c>
      <x:c r="I1072" s="313" t="s">
        <x:v>12</x:v>
      </x:c>
      <x:c r="J1072" s="316" t="n">
        <x:f>IFERROR(G1072/F1072,0)</x:f>
        <x:v>0.28994082840236685</x:v>
      </x:c>
      <x:c r="K1072" s="312" t="str">
        <x:f>IF(B1072="Bilinmeyen Personel","Kontrol","OK")</x:f>
        <x:v>OK</x:v>
      </x:c>
    </x:row>
    <x:row r="1073" ht="15.75">
      <x:c r="A1073" s="313" t="n">
        <x:f t="shared" si="16">ROW()-ROW($A$2)+1</x:f>
        <x:v>1072</x:v>
      </x:c>
      <x:c r="B1073" s="313" t="s">
        <x:v>19</x:v>
      </x:c>
      <x:c r="C1073" s="313" t="s">
        <x:v>20</x:v>
      </x:c>
      <x:c r="D1073" s="314">
        <x:v>3</x:v>
      </x:c>
      <x:c r="E1073" s="320">
        <x:v>1350</x:v>
      </x:c>
      <x:c r="F1073" s="320">
        <x:v>4050</x:v>
      </x:c>
      <x:c r="G1073" s="320">
        <x:v>1650</x:v>
      </x:c>
      <x:c r="H1073" s="313" t="s">
        <x:v>66</x:v>
      </x:c>
      <x:c r="I1073" s="313" t="s">
        <x:v>21</x:v>
      </x:c>
      <x:c r="J1073" s="316" t="n">
        <x:f>IFERROR(G1073/F1073,0)</x:f>
        <x:v>0.4074074074074074</x:v>
      </x:c>
      <x:c r="K1073" s="312" t="str">
        <x:f>IF(B1073="Bilinmeyen Personel","Kontrol","OK")</x:f>
        <x:v>OK</x:v>
      </x:c>
    </x:row>
    <x:row r="1074" ht="15.75">
      <x:c r="A1074" s="313" t="n">
        <x:f t="shared" si="16">ROW()-ROW($A$2)+1</x:f>
        <x:v>1073</x:v>
      </x:c>
      <x:c r="B1074" s="313" t="s">
        <x:v>9</x:v>
      </x:c>
      <x:c r="C1074" s="313" t="s">
        <x:v>22</x:v>
      </x:c>
      <x:c r="D1074" s="314">
        <x:v>2</x:v>
      </x:c>
      <x:c r="E1074" s="320">
        <x:v>2180</x:v>
      </x:c>
      <x:c r="F1074" s="320">
        <x:v>4360</x:v>
      </x:c>
      <x:c r="G1074" s="320">
        <x:v>1360</x:v>
      </x:c>
      <x:c r="H1074" s="313" t="s">
        <x:v>66</x:v>
      </x:c>
      <x:c r="I1074" s="313" t="s">
        <x:v>25</x:v>
      </x:c>
      <x:c r="J1074" s="316" t="n">
        <x:f>IFERROR(G1074/F1074,0)</x:f>
        <x:v>0.3119266055045872</x:v>
      </x:c>
      <x:c r="K1074" s="312" t="str">
        <x:f>IF(B1074="Bilinmeyen Personel","Kontrol","OK")</x:f>
        <x:v>OK</x:v>
      </x:c>
    </x:row>
    <x:row r="1075" ht="15.75">
      <x:c r="A1075" s="313" t="n">
        <x:f t="shared" si="16">ROW()-ROW($A$2)+1</x:f>
        <x:v>1074</x:v>
      </x:c>
      <x:c r="B1075" s="313" t="s">
        <x:v>23</x:v>
      </x:c>
      <x:c r="C1075" s="313" t="s">
        <x:v>24</x:v>
      </x:c>
      <x:c r="D1075" s="314">
        <x:v>2</x:v>
      </x:c>
      <x:c r="E1075" s="320">
        <x:v>7600</x:v>
      </x:c>
      <x:c r="F1075" s="320">
        <x:v>15200</x:v>
      </x:c>
      <x:c r="G1075" s="320">
        <x:v>3200</x:v>
      </x:c>
      <x:c r="H1075" s="313" t="s">
        <x:v>66</x:v>
      </x:c>
      <x:c r="I1075" s="313" t="s">
        <x:v>46</x:v>
      </x:c>
      <x:c r="J1075" s="316" t="n">
        <x:f>IFERROR(G1075/F1075,0)</x:f>
        <x:v>0.21052631578947367</x:v>
      </x:c>
      <x:c r="K1075" s="312" t="str">
        <x:f>IF(B1075="Bilinmeyen Personel","Kontrol","OK")</x:f>
        <x:v>OK</x:v>
      </x:c>
    </x:row>
    <x:row r="1076" ht="15.75">
      <x:c r="A1076" s="313" t="n">
        <x:f t="shared" si="16">ROW()-ROW($A$2)+1</x:f>
        <x:v>1075</x:v>
      </x:c>
      <x:c r="B1076" s="313" t="s">
        <x:v>13</x:v>
      </x:c>
      <x:c r="C1076" s="313" t="s">
        <x:v>26</x:v>
      </x:c>
      <x:c r="D1076" s="314">
        <x:v>2</x:v>
      </x:c>
      <x:c r="E1076" s="320">
        <x:v>7250</x:v>
      </x:c>
      <x:c r="F1076" s="320">
        <x:v>14500</x:v>
      </x:c>
      <x:c r="G1076" s="320">
        <x:v>4500</x:v>
      </x:c>
      <x:c r="H1076" s="313" t="s">
        <x:v>66</x:v>
      </x:c>
      <x:c r="I1076" s="313" t="s">
        <x:v>46</x:v>
      </x:c>
      <x:c r="J1076" s="316" t="n">
        <x:f>IFERROR(G1076/F1076,0)</x:f>
        <x:v>0.3103448275862069</x:v>
      </x:c>
      <x:c r="K1076" s="312" t="str">
        <x:f>IF(B1076="Bilinmeyen Personel","Kontrol","OK")</x:f>
        <x:v>OK</x:v>
      </x:c>
    </x:row>
    <x:row r="1077" ht="15.75">
      <x:c r="A1077" s="313" t="n">
        <x:f t="shared" si="16">ROW()-ROW($A$2)+1</x:f>
        <x:v>1076</x:v>
      </x:c>
      <x:c r="B1077" s="313" t="s">
        <x:v>19</x:v>
      </x:c>
      <x:c r="C1077" s="313" t="s">
        <x:v>27</x:v>
      </x:c>
      <x:c r="D1077" s="314">
        <x:v>3</x:v>
      </x:c>
      <x:c r="E1077" s="320">
        <x:v>1100</x:v>
      </x:c>
      <x:c r="F1077" s="320">
        <x:v>3300</x:v>
      </x:c>
      <x:c r="G1077" s="320">
        <x:v>900</x:v>
      </x:c>
      <x:c r="H1077" s="313" t="s">
        <x:v>66</x:v>
      </x:c>
      <x:c r="I1077" s="313" t="s">
        <x:v>15</x:v>
      </x:c>
      <x:c r="J1077" s="316" t="n">
        <x:f>IFERROR(G1077/F1077,0)</x:f>
        <x:v>0.2727272727272727</x:v>
      </x:c>
      <x:c r="K1077" s="312" t="str">
        <x:f>IF(B1077="Bilinmeyen Personel","Kontrol","OK")</x:f>
        <x:v>OK</x:v>
      </x:c>
    </x:row>
    <x:row r="1078" ht="15.75">
      <x:c r="A1078" s="313" t="n">
        <x:f t="shared" si="16">ROW()-ROW($A$2)+1</x:f>
        <x:v>1077</x:v>
      </x:c>
      <x:c r="B1078" s="313" t="s">
        <x:v>29</x:v>
      </x:c>
      <x:c r="C1078" s="313" t="s">
        <x:v>10</x:v>
      </x:c>
      <x:c r="D1078" s="314">
        <x:v>2</x:v>
      </x:c>
      <x:c r="E1078" s="320">
        <x:v>6000</x:v>
      </x:c>
      <x:c r="F1078" s="320">
        <x:v>12000</x:v>
      </x:c>
      <x:c r="G1078" s="320">
        <x:v>4000</x:v>
      </x:c>
      <x:c r="H1078" s="313" t="s">
        <x:v>66</x:v>
      </x:c>
      <x:c r="I1078" s="313" t="s">
        <x:v>12</x:v>
      </x:c>
      <x:c r="J1078" s="316" t="n">
        <x:f>IFERROR(G1078/F1078,0)</x:f>
        <x:v>0.3333333333333333</x:v>
      </x:c>
      <x:c r="K1078" s="312" t="str">
        <x:f>IF(B1078="Bilinmeyen Personel","Kontrol","OK")</x:f>
        <x:v>OK</x:v>
      </x:c>
    </x:row>
    <x:row r="1079" ht="15.75">
      <x:c r="A1079" s="313" t="n">
        <x:f t="shared" si="16">ROW()-ROW($A$2)+1</x:f>
        <x:v>1078</x:v>
      </x:c>
      <x:c r="B1079" s="313" t="s">
        <x:v>9</x:v>
      </x:c>
      <x:c r="C1079" s="313" t="s">
        <x:v>30</x:v>
      </x:c>
      <x:c r="D1079" s="314">
        <x:v>1</x:v>
      </x:c>
      <x:c r="E1079" s="320">
        <x:v>1200</x:v>
      </x:c>
      <x:c r="F1079" s="320">
        <x:v>1200</x:v>
      </x:c>
      <x:c r="G1079" s="320">
        <x:v>400</x:v>
      </x:c>
      <x:c r="H1079" s="313" t="s">
        <x:v>66</x:v>
      </x:c>
      <x:c r="I1079" s="313" t="s">
        <x:v>21</x:v>
      </x:c>
      <x:c r="J1079" s="316" t="n">
        <x:f>IFERROR(G1079/F1079,0)</x:f>
        <x:v>0.3333333333333333</x:v>
      </x:c>
      <x:c r="K1079" s="312" t="str">
        <x:f>IF(B1079="Bilinmeyen Personel","Kontrol","OK")</x:f>
        <x:v>OK</x:v>
      </x:c>
    </x:row>
    <x:row r="1080" ht="15.75">
      <x:c r="A1080" s="313" t="n">
        <x:f t="shared" si="16">ROW()-ROW($A$2)+1</x:f>
        <x:v>1079</x:v>
      </x:c>
      <x:c r="B1080" s="313" t="s">
        <x:v>32</x:v>
      </x:c>
      <x:c r="C1080" s="313" t="s">
        <x:v>33</x:v>
      </x:c>
      <x:c r="D1080" s="314">
        <x:v>2</x:v>
      </x:c>
      <x:c r="E1080" s="320">
        <x:v>1800</x:v>
      </x:c>
      <x:c r="F1080" s="320">
        <x:v>3600</x:v>
      </x:c>
      <x:c r="G1080" s="320">
        <x:v>2000</x:v>
      </x:c>
      <x:c r="H1080" s="313" t="s">
        <x:v>66</x:v>
      </x:c>
      <x:c r="I1080" s="313" t="s">
        <x:v>31</x:v>
      </x:c>
      <x:c r="J1080" s="316" t="n">
        <x:f>IFERROR(G1080/F1080,0)</x:f>
        <x:v>0.5555555555555556</x:v>
      </x:c>
      <x:c r="K1080" s="312" t="str">
        <x:f>IF(B1080="Bilinmeyen Personel","Kontrol","OK")</x:f>
        <x:v>OK</x:v>
      </x:c>
    </x:row>
    <x:row r="1081" ht="15.75">
      <x:c r="A1081" s="313" t="n">
        <x:f t="shared" si="16">ROW()-ROW($A$2)+1</x:f>
        <x:v>1080</x:v>
      </x:c>
      <x:c r="B1081" s="313" t="s">
        <x:v>32</x:v>
      </x:c>
      <x:c r="C1081" s="313" t="s">
        <x:v>34</x:v>
      </x:c>
      <x:c r="D1081" s="314">
        <x:v>2</x:v>
      </x:c>
      <x:c r="E1081" s="320">
        <x:v>1090</x:v>
      </x:c>
      <x:c r="F1081" s="320">
        <x:v>2180</x:v>
      </x:c>
      <x:c r="G1081" s="320">
        <x:v>580</x:v>
      </x:c>
      <x:c r="H1081" s="313" t="s">
        <x:v>66</x:v>
      </x:c>
      <x:c r="I1081" s="313" t="s">
        <x:v>21</x:v>
      </x:c>
      <x:c r="J1081" s="316" t="n">
        <x:f>IFERROR(G1081/F1081,0)</x:f>
        <x:v>0.26605504587155965</x:v>
      </x:c>
      <x:c r="K1081" s="312" t="str">
        <x:f>IF(B1081="Bilinmeyen Personel","Kontrol","OK")</x:f>
        <x:v>OK</x:v>
      </x:c>
    </x:row>
    <x:row r="1082" ht="15.75">
      <x:c r="A1082" s="313" t="n">
        <x:f t="shared" si="16">ROW()-ROW($A$2)+1</x:f>
        <x:v>1081</x:v>
      </x:c>
      <x:c r="B1082" s="313" t="s">
        <x:v>29</x:v>
      </x:c>
      <x:c r="C1082" s="313" t="s">
        <x:v>22</x:v>
      </x:c>
      <x:c r="D1082" s="314">
        <x:v>3</x:v>
      </x:c>
      <x:c r="E1082" s="320">
        <x:v>2180</x:v>
      </x:c>
      <x:c r="F1082" s="320">
        <x:v>6540</x:v>
      </x:c>
      <x:c r="G1082" s="320">
        <x:v>2040</x:v>
      </x:c>
      <x:c r="H1082" s="313" t="s">
        <x:v>66</x:v>
      </x:c>
      <x:c r="I1082" s="313" t="s">
        <x:v>21</x:v>
      </x:c>
      <x:c r="J1082" s="316" t="n">
        <x:f>IFERROR(G1082/F1082,0)</x:f>
        <x:v>0.3119266055045872</x:v>
      </x:c>
      <x:c r="K1082" s="312" t="str">
        <x:f>IF(B1082="Bilinmeyen Personel","Kontrol","OK")</x:f>
        <x:v>OK</x:v>
      </x:c>
    </x:row>
    <x:row r="1083" ht="15.75">
      <x:c r="A1083" s="313" t="n">
        <x:f t="shared" si="16">ROW()-ROW($A$2)+1</x:f>
        <x:v>1082</x:v>
      </x:c>
      <x:c r="B1083" s="313" t="s">
        <x:v>35</x:v>
      </x:c>
      <x:c r="C1083" s="313" t="s">
        <x:v>33</x:v>
      </x:c>
      <x:c r="D1083" s="314">
        <x:v>3</x:v>
      </x:c>
      <x:c r="E1083" s="320">
        <x:v>1800</x:v>
      </x:c>
      <x:c r="F1083" s="320">
        <x:v>5400</x:v>
      </x:c>
      <x:c r="G1083" s="320">
        <x:v>3000</x:v>
      </x:c>
      <x:c r="H1083" s="313" t="s">
        <x:v>66</x:v>
      </x:c>
      <x:c r="I1083" s="313" t="s">
        <x:v>21</x:v>
      </x:c>
      <x:c r="J1083" s="316" t="n">
        <x:f>IFERROR(G1083/F1083,0)</x:f>
        <x:v>0.5555555555555556</x:v>
      </x:c>
      <x:c r="K1083" s="312" t="str">
        <x:f>IF(B1083="Bilinmeyen Personel","Kontrol","OK")</x:f>
        <x:v>OK</x:v>
      </x:c>
    </x:row>
    <x:row r="1084" ht="15.75">
      <x:c r="A1084" s="313" t="n">
        <x:f t="shared" si="16">ROW()-ROW($A$2)+1</x:f>
        <x:v>1083</x:v>
      </x:c>
      <x:c r="B1084" s="313" t="s">
        <x:v>23</x:v>
      </x:c>
      <x:c r="C1084" s="313" t="s">
        <x:v>36</x:v>
      </x:c>
      <x:c r="D1084" s="314">
        <x:v>3</x:v>
      </x:c>
      <x:c r="E1084" s="320">
        <x:v>8000</x:v>
      </x:c>
      <x:c r="F1084" s="320">
        <x:v>24000</x:v>
      </x:c>
      <x:c r="G1084" s="320">
        <x:v>6000</x:v>
      </x:c>
      <x:c r="H1084" s="313" t="s">
        <x:v>66</x:v>
      </x:c>
      <x:c r="I1084" s="313" t="s">
        <x:v>37</x:v>
      </x:c>
      <x:c r="J1084" s="316" t="n">
        <x:f>IFERROR(G1084/F1084,0)</x:f>
        <x:v>0.25</x:v>
      </x:c>
      <x:c r="K1084" s="312" t="str">
        <x:f>IF(B1084="Bilinmeyen Personel","Kontrol","OK")</x:f>
        <x:v>OK</x:v>
      </x:c>
    </x:row>
    <x:row r="1085" ht="15.75">
      <x:c r="A1085" s="313" t="n">
        <x:f t="shared" si="16">ROW()-ROW($A$2)+1</x:f>
        <x:v>1084</x:v>
      </x:c>
      <x:c r="B1085" s="313" t="s">
        <x:v>29</x:v>
      </x:c>
      <x:c r="C1085" s="313" t="s">
        <x:v>14</x:v>
      </x:c>
      <x:c r="D1085" s="314">
        <x:v>1</x:v>
      </x:c>
      <x:c r="E1085" s="320">
        <x:v>1400</x:v>
      </x:c>
      <x:c r="F1085" s="320">
        <x:v>1400</x:v>
      </x:c>
      <x:c r="G1085" s="320">
        <x:v>600</x:v>
      </x:c>
      <x:c r="H1085" s="313" t="s">
        <x:v>66</x:v>
      </x:c>
      <x:c r="I1085" s="313" t="s">
        <x:v>28</x:v>
      </x:c>
      <x:c r="J1085" s="316" t="n">
        <x:f>IFERROR(G1085/F1085,0)</x:f>
        <x:v>0.42857142857142855</x:v>
      </x:c>
      <x:c r="K1085" s="312" t="str">
        <x:f>IF(B1085="Bilinmeyen Personel","Kontrol","OK")</x:f>
        <x:v>OK</x:v>
      </x:c>
    </x:row>
    <x:row r="1086" ht="15.75">
      <x:c r="A1086" s="313" t="n">
        <x:f t="shared" si="16">ROW()-ROW($A$2)+1</x:f>
        <x:v>1085</x:v>
      </x:c>
      <x:c r="B1086" s="313" t="s">
        <x:v>38</x:v>
      </x:c>
      <x:c r="C1086" s="313" t="s">
        <x:v>39</x:v>
      </x:c>
      <x:c r="D1086" s="314">
        <x:v>1</x:v>
      </x:c>
      <x:c r="E1086" s="320">
        <x:v>10590</x:v>
      </x:c>
      <x:c r="F1086" s="320">
        <x:v>10590</x:v>
      </x:c>
      <x:c r="G1086" s="320">
        <x:v>4590</x:v>
      </x:c>
      <x:c r="H1086" s="313" t="s">
        <x:v>66</x:v>
      </x:c>
      <x:c r="I1086" s="313" t="s">
        <x:v>25</x:v>
      </x:c>
      <x:c r="J1086" s="316" t="n">
        <x:f>IFERROR(G1086/F1086,0)</x:f>
        <x:v>0.43342776203966005</x:v>
      </x:c>
      <x:c r="K1086" s="312" t="str">
        <x:f>IF(B1086="Bilinmeyen Personel","Kontrol","OK")</x:f>
        <x:v>OK</x:v>
      </x:c>
    </x:row>
    <x:row r="1087" ht="15.75">
      <x:c r="A1087" s="313" t="n">
        <x:f t="shared" si="16">ROW()-ROW($A$2)+1</x:f>
        <x:v>1086</x:v>
      </x:c>
      <x:c r="B1087" s="313" t="s">
        <x:v>40</x:v>
      </x:c>
      <x:c r="C1087" s="313" t="s">
        <x:v>20</x:v>
      </x:c>
      <x:c r="D1087" s="314">
        <x:v>2</x:v>
      </x:c>
      <x:c r="E1087" s="320">
        <x:v>1350</x:v>
      </x:c>
      <x:c r="F1087" s="320">
        <x:v>2700</x:v>
      </x:c>
      <x:c r="G1087" s="320">
        <x:v>1100</x:v>
      </x:c>
      <x:c r="H1087" s="313" t="s">
        <x:v>66</x:v>
      </x:c>
      <x:c r="I1087" s="313" t="s">
        <x:v>37</x:v>
      </x:c>
      <x:c r="J1087" s="316" t="n">
        <x:f>IFERROR(G1087/F1087,0)</x:f>
        <x:v>0.4074074074074074</x:v>
      </x:c>
      <x:c r="K1087" s="312" t="str">
        <x:f>IF(B1087="Bilinmeyen Personel","Kontrol","OK")</x:f>
        <x:v>OK</x:v>
      </x:c>
    </x:row>
    <x:row r="1088" ht="15.75">
      <x:c r="A1088" s="313" t="n">
        <x:f t="shared" si="16">ROW()-ROW($A$2)+1</x:f>
        <x:v>1087</x:v>
      </x:c>
      <x:c r="B1088" s="313" t="s">
        <x:v>32</x:v>
      </x:c>
      <x:c r="C1088" s="313" t="s">
        <x:v>14</x:v>
      </x:c>
      <x:c r="D1088" s="314">
        <x:v>2</x:v>
      </x:c>
      <x:c r="E1088" s="320">
        <x:v>1400</x:v>
      </x:c>
      <x:c r="F1088" s="320">
        <x:v>2800</x:v>
      </x:c>
      <x:c r="G1088" s="320">
        <x:v>1200</x:v>
      </x:c>
      <x:c r="H1088" s="313" t="s">
        <x:v>66</x:v>
      </x:c>
      <x:c r="I1088" s="313" t="s">
        <x:v>15</x:v>
      </x:c>
      <x:c r="J1088" s="316" t="n">
        <x:f>IFERROR(G1088/F1088,0)</x:f>
        <x:v>0.42857142857142855</x:v>
      </x:c>
      <x:c r="K1088" s="312" t="str">
        <x:f>IF(B1088="Bilinmeyen Personel","Kontrol","OK")</x:f>
        <x:v>OK</x:v>
      </x:c>
    </x:row>
    <x:row r="1089" ht="15.75">
      <x:c r="A1089" s="313" t="n">
        <x:f t="shared" si="16">ROW()-ROW($A$2)+1</x:f>
        <x:v>1088</x:v>
      </x:c>
      <x:c r="B1089" s="313" t="s">
        <x:v>19</x:v>
      </x:c>
      <x:c r="C1089" s="313" t="s">
        <x:v>10</x:v>
      </x:c>
      <x:c r="D1089" s="314">
        <x:v>1</x:v>
      </x:c>
      <x:c r="E1089" s="320">
        <x:v>6000</x:v>
      </x:c>
      <x:c r="F1089" s="320">
        <x:v>6000</x:v>
      </x:c>
      <x:c r="G1089" s="320">
        <x:v>2000</x:v>
      </x:c>
      <x:c r="H1089" s="313" t="s">
        <x:v>66</x:v>
      </x:c>
      <x:c r="I1089" s="313" t="s">
        <x:v>31</x:v>
      </x:c>
      <x:c r="J1089" s="316" t="n">
        <x:f>IFERROR(G1089/F1089,0)</x:f>
        <x:v>0.3333333333333333</x:v>
      </x:c>
      <x:c r="K1089" s="312" t="str">
        <x:f>IF(B1089="Bilinmeyen Personel","Kontrol","OK")</x:f>
        <x:v>OK</x:v>
      </x:c>
    </x:row>
    <x:row r="1090" ht="15.75">
      <x:c r="A1090" s="313" t="n">
        <x:f t="shared" si="16">ROW()-ROW($A$2)+1</x:f>
        <x:v>1089</x:v>
      </x:c>
      <x:c r="B1090" s="313" t="s">
        <x:v>38</x:v>
      </x:c>
      <x:c r="C1090" s="313" t="s">
        <x:v>27</x:v>
      </x:c>
      <x:c r="D1090" s="314">
        <x:v>2</x:v>
      </x:c>
      <x:c r="E1090" s="320">
        <x:v>1100</x:v>
      </x:c>
      <x:c r="F1090" s="320">
        <x:v>2200</x:v>
      </x:c>
      <x:c r="G1090" s="320">
        <x:v>600</x:v>
      </x:c>
      <x:c r="H1090" s="313" t="s">
        <x:v>66</x:v>
      </x:c>
      <x:c r="I1090" s="313" t="s">
        <x:v>54</x:v>
      </x:c>
      <x:c r="J1090" s="316" t="n">
        <x:f>IFERROR(G1090/F1090,0)</x:f>
        <x:v>0.2727272727272727</x:v>
      </x:c>
      <x:c r="K1090" s="312" t="str">
        <x:f>IF(B1090="Bilinmeyen Personel","Kontrol","OK")</x:f>
        <x:v>OK</x:v>
      </x:c>
    </x:row>
    <x:row r="1091" ht="15.75">
      <x:c r="A1091" s="313" t="n">
        <x:f t="shared" ref="A1091:A1154" si="17">ROW()-ROW($A$2)+1</x:f>
        <x:v>1090</x:v>
      </x:c>
      <x:c r="B1091" s="313" t="s">
        <x:v>16</x:v>
      </x:c>
      <x:c r="C1091" s="313" t="s">
        <x:v>10</x:v>
      </x:c>
      <x:c r="D1091" s="314">
        <x:v>2</x:v>
      </x:c>
      <x:c r="E1091" s="320">
        <x:v>6000</x:v>
      </x:c>
      <x:c r="F1091" s="320">
        <x:v>12000</x:v>
      </x:c>
      <x:c r="G1091" s="320">
        <x:v>4000</x:v>
      </x:c>
      <x:c r="H1091" s="313" t="s">
        <x:v>66</x:v>
      </x:c>
      <x:c r="I1091" s="313" t="s">
        <x:v>21</x:v>
      </x:c>
      <x:c r="J1091" s="316" t="n">
        <x:f>IFERROR(G1091/F1091,0)</x:f>
        <x:v>0.3333333333333333</x:v>
      </x:c>
      <x:c r="K1091" s="312" t="str">
        <x:f>IF(B1091="Bilinmeyen Personel","Kontrol","OK")</x:f>
        <x:v>OK</x:v>
      </x:c>
    </x:row>
    <x:row r="1092" ht="15.75">
      <x:c r="A1092" s="313" t="n">
        <x:f t="shared" si="17">ROW()-ROW($A$2)+1</x:f>
        <x:v>1091</x:v>
      </x:c>
      <x:c r="B1092" s="313" t="s">
        <x:v>40</x:v>
      </x:c>
      <x:c r="C1092" s="313" t="s">
        <x:v>43</x:v>
      </x:c>
      <x:c r="D1092" s="314">
        <x:v>1</x:v>
      </x:c>
      <x:c r="E1092" s="320">
        <x:v>1490</x:v>
      </x:c>
      <x:c r="F1092" s="320">
        <x:v>1490</x:v>
      </x:c>
      <x:c r="G1092" s="320">
        <x:v>690</x:v>
      </x:c>
      <x:c r="H1092" s="313" t="s">
        <x:v>66</x:v>
      </x:c>
      <x:c r="I1092" s="313" t="s">
        <x:v>31</x:v>
      </x:c>
      <x:c r="J1092" s="316" t="n">
        <x:f>IFERROR(G1092/F1092,0)</x:f>
        <x:v>0.46308724832214765</x:v>
      </x:c>
      <x:c r="K1092" s="312" t="str">
        <x:f>IF(B1092="Bilinmeyen Personel","Kontrol","OK")</x:f>
        <x:v>OK</x:v>
      </x:c>
    </x:row>
    <x:row r="1093" ht="15.75">
      <x:c r="A1093" s="313" t="n">
        <x:f t="shared" si="17">ROW()-ROW($A$2)+1</x:f>
        <x:v>1092</x:v>
      </x:c>
      <x:c r="B1093" s="313" t="s">
        <x:v>38</x:v>
      </x:c>
      <x:c r="C1093" s="313" t="s">
        <x:v>39</x:v>
      </x:c>
      <x:c r="D1093" s="314">
        <x:v>2</x:v>
      </x:c>
      <x:c r="E1093" s="320">
        <x:v>10590</x:v>
      </x:c>
      <x:c r="F1093" s="320">
        <x:v>21180</x:v>
      </x:c>
      <x:c r="G1093" s="320">
        <x:v>9180</x:v>
      </x:c>
      <x:c r="H1093" s="313" t="s">
        <x:v>66</x:v>
      </x:c>
      <x:c r="I1093" s="313" t="s">
        <x:v>15</x:v>
      </x:c>
      <x:c r="J1093" s="316" t="n">
        <x:f>IFERROR(G1093/F1093,0)</x:f>
        <x:v>0.43342776203966005</x:v>
      </x:c>
      <x:c r="K1093" s="312" t="str">
        <x:f>IF(B1093="Bilinmeyen Personel","Kontrol","OK")</x:f>
        <x:v>OK</x:v>
      </x:c>
    </x:row>
    <x:row r="1094" ht="15.75">
      <x:c r="A1094" s="313" t="n">
        <x:f t="shared" si="17">ROW()-ROW($A$2)+1</x:f>
        <x:v>1093</x:v>
      </x:c>
      <x:c r="B1094" s="313" t="s">
        <x:v>16</x:v>
      </x:c>
      <x:c r="C1094" s="313" t="s">
        <x:v>36</x:v>
      </x:c>
      <x:c r="D1094" s="314">
        <x:v>3</x:v>
      </x:c>
      <x:c r="E1094" s="320">
        <x:v>8000</x:v>
      </x:c>
      <x:c r="F1094" s="320">
        <x:v>24000</x:v>
      </x:c>
      <x:c r="G1094" s="320">
        <x:v>6000</x:v>
      </x:c>
      <x:c r="H1094" s="313" t="s">
        <x:v>66</x:v>
      </x:c>
      <x:c r="I1094" s="313" t="s">
        <x:v>44</x:v>
      </x:c>
      <x:c r="J1094" s="316" t="n">
        <x:f>IFERROR(G1094/F1094,0)</x:f>
        <x:v>0.25</x:v>
      </x:c>
      <x:c r="K1094" s="312" t="str">
        <x:f>IF(B1094="Bilinmeyen Personel","Kontrol","OK")</x:f>
        <x:v>OK</x:v>
      </x:c>
    </x:row>
    <x:row r="1095" ht="15.75">
      <x:c r="A1095" s="313" t="n">
        <x:f t="shared" si="17">ROW()-ROW($A$2)+1</x:f>
        <x:v>1094</x:v>
      </x:c>
      <x:c r="B1095" s="313" t="s">
        <x:v>32</x:v>
      </x:c>
      <x:c r="C1095" s="313" t="s">
        <x:v>27</x:v>
      </x:c>
      <x:c r="D1095" s="314">
        <x:v>1</x:v>
      </x:c>
      <x:c r="E1095" s="320">
        <x:v>1100</x:v>
      </x:c>
      <x:c r="F1095" s="320">
        <x:v>1100</x:v>
      </x:c>
      <x:c r="G1095" s="320">
        <x:v>300</x:v>
      </x:c>
      <x:c r="H1095" s="313" t="s">
        <x:v>66</x:v>
      </x:c>
      <x:c r="I1095" s="313" t="s">
        <x:v>46</x:v>
      </x:c>
      <x:c r="J1095" s="316" t="n">
        <x:f>IFERROR(G1095/F1095,0)</x:f>
        <x:v>0.2727272727272727</x:v>
      </x:c>
      <x:c r="K1095" s="312" t="str">
        <x:f>IF(B1095="Bilinmeyen Personel","Kontrol","OK")</x:f>
        <x:v>OK</x:v>
      </x:c>
    </x:row>
    <x:row r="1096" ht="15.75">
      <x:c r="A1096" s="313" t="n">
        <x:f t="shared" si="17">ROW()-ROW($A$2)+1</x:f>
        <x:v>1095</x:v>
      </x:c>
      <x:c r="B1096" s="313" t="s">
        <x:v>40</x:v>
      </x:c>
      <x:c r="C1096" s="313" t="s">
        <x:v>30</x:v>
      </x:c>
      <x:c r="D1096" s="314">
        <x:v>1</x:v>
      </x:c>
      <x:c r="E1096" s="320">
        <x:v>1200</x:v>
      </x:c>
      <x:c r="F1096" s="320">
        <x:v>1200</x:v>
      </x:c>
      <x:c r="G1096" s="320">
        <x:v>400</x:v>
      </x:c>
      <x:c r="H1096" s="313" t="s">
        <x:v>66</x:v>
      </x:c>
      <x:c r="I1096" s="313" t="s">
        <x:v>46</x:v>
      </x:c>
      <x:c r="J1096" s="316" t="n">
        <x:f>IFERROR(G1096/F1096,0)</x:f>
        <x:v>0.3333333333333333</x:v>
      </x:c>
      <x:c r="K1096" s="312" t="str">
        <x:f>IF(B1096="Bilinmeyen Personel","Kontrol","OK")</x:f>
        <x:v>OK</x:v>
      </x:c>
    </x:row>
    <x:row r="1097" ht="15.75">
      <x:c r="A1097" s="313" t="n">
        <x:f t="shared" si="17">ROW()-ROW($A$2)+1</x:f>
        <x:v>1096</x:v>
      </x:c>
      <x:c r="B1097" s="313" t="s">
        <x:v>23</x:v>
      </x:c>
      <x:c r="C1097" s="313" t="s">
        <x:v>45</x:v>
      </x:c>
      <x:c r="D1097" s="314">
        <x:v>2</x:v>
      </x:c>
      <x:c r="E1097" s="320">
        <x:v>4200</x:v>
      </x:c>
      <x:c r="F1097" s="320">
        <x:v>8400</x:v>
      </x:c>
      <x:c r="G1097" s="320">
        <x:v>2400</x:v>
      </x:c>
      <x:c r="H1097" s="313" t="s">
        <x:v>66</x:v>
      </x:c>
      <x:c r="I1097" s="313" t="s">
        <x:v>25</x:v>
      </x:c>
      <x:c r="J1097" s="316" t="n">
        <x:f>IFERROR(G1097/F1097,0)</x:f>
        <x:v>0.2857142857142857</x:v>
      </x:c>
      <x:c r="K1097" s="312" t="str">
        <x:f>IF(B1097="Bilinmeyen Personel","Kontrol","OK")</x:f>
        <x:v>OK</x:v>
      </x:c>
    </x:row>
    <x:row r="1098" ht="15.75">
      <x:c r="A1098" s="313" t="n">
        <x:f t="shared" si="17">ROW()-ROW($A$2)+1</x:f>
        <x:v>1097</x:v>
      </x:c>
      <x:c r="B1098" s="313" t="s">
        <x:v>13</x:v>
      </x:c>
      <x:c r="C1098" s="313" t="s">
        <x:v>47</x:v>
      </x:c>
      <x:c r="D1098" s="314">
        <x:v>3</x:v>
      </x:c>
      <x:c r="E1098" s="320">
        <x:v>5775</x:v>
      </x:c>
      <x:c r="F1098" s="320">
        <x:v>17325</x:v>
      </x:c>
      <x:c r="G1098" s="320">
        <x:v>5325</x:v>
      </x:c>
      <x:c r="H1098" s="313" t="s">
        <x:v>66</x:v>
      </x:c>
      <x:c r="I1098" s="313" t="s">
        <x:v>42</x:v>
      </x:c>
      <x:c r="J1098" s="316" t="n">
        <x:f>IFERROR(G1098/F1098,0)</x:f>
        <x:v>0.30735930735930733</x:v>
      </x:c>
      <x:c r="K1098" s="312" t="str">
        <x:f>IF(B1098="Bilinmeyen Personel","Kontrol","OK")</x:f>
        <x:v>OK</x:v>
      </x:c>
    </x:row>
    <x:row r="1099" ht="15.75">
      <x:c r="A1099" s="313" t="n">
        <x:f t="shared" si="17">ROW()-ROW($A$2)+1</x:f>
        <x:v>1098</x:v>
      </x:c>
      <x:c r="B1099" s="313" t="s">
        <x:v>48</x:v>
      </x:c>
      <x:c r="C1099" s="313" t="s">
        <x:v>24</x:v>
      </x:c>
      <x:c r="D1099" s="314">
        <x:v>3</x:v>
      </x:c>
      <x:c r="E1099" s="320">
        <x:v>7600</x:v>
      </x:c>
      <x:c r="F1099" s="320">
        <x:v>22800</x:v>
      </x:c>
      <x:c r="G1099" s="320">
        <x:v>4800</x:v>
      </x:c>
      <x:c r="H1099" s="313" t="s">
        <x:v>66</x:v>
      </x:c>
      <x:c r="I1099" s="313" t="s">
        <x:v>44</x:v>
      </x:c>
      <x:c r="J1099" s="316" t="n">
        <x:f>IFERROR(G1099/F1099,0)</x:f>
        <x:v>0.21052631578947367</x:v>
      </x:c>
      <x:c r="K1099" s="312" t="str">
        <x:f>IF(B1099="Bilinmeyen Personel","Kontrol","OK")</x:f>
        <x:v>OK</x:v>
      </x:c>
    </x:row>
    <x:row r="1100" ht="15.75">
      <x:c r="A1100" s="313" t="n">
        <x:f t="shared" si="17">ROW()-ROW($A$2)+1</x:f>
        <x:v>1099</x:v>
      </x:c>
      <x:c r="B1100" s="313" t="s">
        <x:v>13</x:v>
      </x:c>
      <x:c r="C1100" s="313" t="s">
        <x:v>26</x:v>
      </x:c>
      <x:c r="D1100" s="314">
        <x:v>3</x:v>
      </x:c>
      <x:c r="E1100" s="320">
        <x:v>7250</x:v>
      </x:c>
      <x:c r="F1100" s="320">
        <x:v>21750</x:v>
      </x:c>
      <x:c r="G1100" s="320">
        <x:v>6750</x:v>
      </x:c>
      <x:c r="H1100" s="313" t="s">
        <x:v>66</x:v>
      </x:c>
      <x:c r="I1100" s="313" t="s">
        <x:v>54</x:v>
      </x:c>
      <x:c r="J1100" s="316" t="n">
        <x:f>IFERROR(G1100/F1100,0)</x:f>
        <x:v>0.3103448275862069</x:v>
      </x:c>
      <x:c r="K1100" s="312" t="str">
        <x:f>IF(B1100="Bilinmeyen Personel","Kontrol","OK")</x:f>
        <x:v>OK</x:v>
      </x:c>
    </x:row>
    <x:row r="1101" ht="15.75">
      <x:c r="A1101" s="313" t="n">
        <x:f t="shared" si="17">ROW()-ROW($A$2)+1</x:f>
        <x:v>1100</x:v>
      </x:c>
      <x:c r="B1101" s="313" t="s">
        <x:v>9</x:v>
      </x:c>
      <x:c r="C1101" s="313" t="s">
        <x:v>26</x:v>
      </x:c>
      <x:c r="D1101" s="314">
        <x:v>3</x:v>
      </x:c>
      <x:c r="E1101" s="320">
        <x:v>7250</x:v>
      </x:c>
      <x:c r="F1101" s="320">
        <x:v>21750</x:v>
      </x:c>
      <x:c r="G1101" s="320">
        <x:v>6750</x:v>
      </x:c>
      <x:c r="H1101" s="313" t="s">
        <x:v>66</x:v>
      </x:c>
      <x:c r="I1101" s="313" t="s">
        <x:v>46</x:v>
      </x:c>
      <x:c r="J1101" s="316" t="n">
        <x:f>IFERROR(G1101/F1101,0)</x:f>
        <x:v>0.3103448275862069</x:v>
      </x:c>
      <x:c r="K1101" s="312" t="str">
        <x:f>IF(B1101="Bilinmeyen Personel","Kontrol","OK")</x:f>
        <x:v>OK</x:v>
      </x:c>
    </x:row>
    <x:row r="1102" ht="15.75">
      <x:c r="A1102" s="313" t="n">
        <x:f t="shared" si="17">ROW()-ROW($A$2)+1</x:f>
        <x:v>1101</x:v>
      </x:c>
      <x:c r="B1102" s="313" t="s">
        <x:v>38</x:v>
      </x:c>
      <x:c r="C1102" s="313" t="s">
        <x:v>26</x:v>
      </x:c>
      <x:c r="D1102" s="314">
        <x:v>3</x:v>
      </x:c>
      <x:c r="E1102" s="320">
        <x:v>7250</x:v>
      </x:c>
      <x:c r="F1102" s="320">
        <x:v>21750</x:v>
      </x:c>
      <x:c r="G1102" s="320">
        <x:v>6750</x:v>
      </x:c>
      <x:c r="H1102" s="313" t="s">
        <x:v>66</x:v>
      </x:c>
      <x:c r="I1102" s="313" t="s">
        <x:v>15</x:v>
      </x:c>
      <x:c r="J1102" s="316" t="n">
        <x:f>IFERROR(G1102/F1102,0)</x:f>
        <x:v>0.3103448275862069</x:v>
      </x:c>
      <x:c r="K1102" s="312" t="str">
        <x:f>IF(B1102="Bilinmeyen Personel","Kontrol","OK")</x:f>
        <x:v>OK</x:v>
      </x:c>
    </x:row>
    <x:row r="1103" ht="15.75">
      <x:c r="A1103" s="313" t="n">
        <x:f t="shared" si="17">ROW()-ROW($A$2)+1</x:f>
        <x:v>1102</x:v>
      </x:c>
      <x:c r="B1103" s="313" t="s">
        <x:v>29</x:v>
      </x:c>
      <x:c r="C1103" s="313" t="s">
        <x:v>20</x:v>
      </x:c>
      <x:c r="D1103" s="314">
        <x:v>1</x:v>
      </x:c>
      <x:c r="E1103" s="320">
        <x:v>1350</x:v>
      </x:c>
      <x:c r="F1103" s="320">
        <x:v>1350</x:v>
      </x:c>
      <x:c r="G1103" s="320">
        <x:v>550</x:v>
      </x:c>
      <x:c r="H1103" s="313" t="s">
        <x:v>66</x:v>
      </x:c>
      <x:c r="I1103" s="313" t="s">
        <x:v>41</x:v>
      </x:c>
      <x:c r="J1103" s="316" t="n">
        <x:f>IFERROR(G1103/F1103,0)</x:f>
        <x:v>0.4074074074074074</x:v>
      </x:c>
      <x:c r="K1103" s="312" t="str">
        <x:f>IF(B1103="Bilinmeyen Personel","Kontrol","OK")</x:f>
        <x:v>OK</x:v>
      </x:c>
    </x:row>
    <x:row r="1104" ht="15.75">
      <x:c r="A1104" s="313" t="n">
        <x:f t="shared" si="17">ROW()-ROW($A$2)+1</x:f>
        <x:v>1103</x:v>
      </x:c>
      <x:c r="B1104" s="313" t="s">
        <x:v>13</x:v>
      </x:c>
      <x:c r="C1104" s="313" t="s">
        <x:v>26</x:v>
      </x:c>
      <x:c r="D1104" s="314">
        <x:v>2</x:v>
      </x:c>
      <x:c r="E1104" s="320">
        <x:v>7250</x:v>
      </x:c>
      <x:c r="F1104" s="320">
        <x:v>14500</x:v>
      </x:c>
      <x:c r="G1104" s="320">
        <x:v>4500</x:v>
      </x:c>
      <x:c r="H1104" s="313" t="s">
        <x:v>66</x:v>
      </x:c>
      <x:c r="I1104" s="313" t="s">
        <x:v>41</x:v>
      </x:c>
      <x:c r="J1104" s="316" t="n">
        <x:f>IFERROR(G1104/F1104,0)</x:f>
        <x:v>0.3103448275862069</x:v>
      </x:c>
      <x:c r="K1104" s="312" t="str">
        <x:f>IF(B1104="Bilinmeyen Personel","Kontrol","OK")</x:f>
        <x:v>OK</x:v>
      </x:c>
    </x:row>
    <x:row r="1105" ht="15.75">
      <x:c r="A1105" s="313" t="n">
        <x:f t="shared" si="17">ROW()-ROW($A$2)+1</x:f>
        <x:v>1104</x:v>
      </x:c>
      <x:c r="B1105" s="313" t="s">
        <x:v>32</x:v>
      </x:c>
      <x:c r="C1105" s="313" t="s">
        <x:v>24</x:v>
      </x:c>
      <x:c r="D1105" s="314">
        <x:v>1</x:v>
      </x:c>
      <x:c r="E1105" s="320">
        <x:v>7600</x:v>
      </x:c>
      <x:c r="F1105" s="320">
        <x:v>7600</x:v>
      </x:c>
      <x:c r="G1105" s="320">
        <x:v>1600</x:v>
      </x:c>
      <x:c r="H1105" s="313" t="s">
        <x:v>66</x:v>
      </x:c>
      <x:c r="I1105" s="313" t="s">
        <x:v>31</x:v>
      </x:c>
      <x:c r="J1105" s="316" t="n">
        <x:f>IFERROR(G1105/F1105,0)</x:f>
        <x:v>0.21052631578947367</x:v>
      </x:c>
      <x:c r="K1105" s="312" t="str">
        <x:f>IF(B1105="Bilinmeyen Personel","Kontrol","OK")</x:f>
        <x:v>OK</x:v>
      </x:c>
    </x:row>
    <x:row r="1106" ht="15.75">
      <x:c r="A1106" s="313" t="n">
        <x:f t="shared" si="17">ROW()-ROW($A$2)+1</x:f>
        <x:v>1105</x:v>
      </x:c>
      <x:c r="B1106" s="313" t="s">
        <x:v>50</x:v>
      </x:c>
      <x:c r="C1106" s="313" t="s">
        <x:v>24</x:v>
      </x:c>
      <x:c r="D1106" s="314">
        <x:v>3</x:v>
      </x:c>
      <x:c r="E1106" s="320">
        <x:v>7600</x:v>
      </x:c>
      <x:c r="F1106" s="320">
        <x:v>22800</x:v>
      </x:c>
      <x:c r="G1106" s="320">
        <x:v>4800</x:v>
      </x:c>
      <x:c r="H1106" s="313" t="s">
        <x:v>66</x:v>
      </x:c>
      <x:c r="I1106" s="313" t="s">
        <x:v>21</x:v>
      </x:c>
      <x:c r="J1106" s="316" t="n">
        <x:f>IFERROR(G1106/F1106,0)</x:f>
        <x:v>0.21052631578947367</x:v>
      </x:c>
      <x:c r="K1106" s="312" t="str">
        <x:f>IF(B1106="Bilinmeyen Personel","Kontrol","OK")</x:f>
        <x:v>OK</x:v>
      </x:c>
    </x:row>
    <x:row r="1107" ht="15.75">
      <x:c r="A1107" s="313" t="n">
        <x:f t="shared" si="17">ROW()-ROW($A$2)+1</x:f>
        <x:v>1106</x:v>
      </x:c>
      <x:c r="B1107" s="313" t="s">
        <x:v>13</x:v>
      </x:c>
      <x:c r="C1107" s="313" t="s">
        <x:v>43</x:v>
      </x:c>
      <x:c r="D1107" s="314">
        <x:v>3</x:v>
      </x:c>
      <x:c r="E1107" s="320">
        <x:v>1490</x:v>
      </x:c>
      <x:c r="F1107" s="320">
        <x:v>4470</x:v>
      </x:c>
      <x:c r="G1107" s="320">
        <x:v>2070</x:v>
      </x:c>
      <x:c r="H1107" s="313" t="s">
        <x:v>66</x:v>
      </x:c>
      <x:c r="I1107" s="313" t="s">
        <x:v>25</x:v>
      </x:c>
      <x:c r="J1107" s="316" t="n">
        <x:f>IFERROR(G1107/F1107,0)</x:f>
        <x:v>0.46308724832214765</x:v>
      </x:c>
      <x:c r="K1107" s="312" t="str">
        <x:f>IF(B1107="Bilinmeyen Personel","Kontrol","OK")</x:f>
        <x:v>OK</x:v>
      </x:c>
    </x:row>
    <x:row r="1108" ht="15.75">
      <x:c r="A1108" s="313" t="n">
        <x:f t="shared" si="17">ROW()-ROW($A$2)+1</x:f>
        <x:v>1107</x:v>
      </x:c>
      <x:c r="B1108" s="313" t="s">
        <x:v>29</x:v>
      </x:c>
      <x:c r="C1108" s="313" t="s">
        <x:v>51</x:v>
      </x:c>
      <x:c r="D1108" s="314">
        <x:v>2</x:v>
      </x:c>
      <x:c r="E1108" s="320">
        <x:v>2900</x:v>
      </x:c>
      <x:c r="F1108" s="320">
        <x:v>5800</x:v>
      </x:c>
      <x:c r="G1108" s="320">
        <x:v>1800</x:v>
      </x:c>
      <x:c r="H1108" s="313" t="s">
        <x:v>66</x:v>
      </x:c>
      <x:c r="I1108" s="313" t="s">
        <x:v>28</x:v>
      </x:c>
      <x:c r="J1108" s="316" t="n">
        <x:f>IFERROR(G1108/F1108,0)</x:f>
        <x:v>0.3103448275862069</x:v>
      </x:c>
      <x:c r="K1108" s="312" t="str">
        <x:f>IF(B1108="Bilinmeyen Personel","Kontrol","OK")</x:f>
        <x:v>OK</x:v>
      </x:c>
    </x:row>
    <x:row r="1109" ht="15.75">
      <x:c r="A1109" s="313" t="n">
        <x:f t="shared" si="17">ROW()-ROW($A$2)+1</x:f>
        <x:v>1108</x:v>
      </x:c>
      <x:c r="B1109" s="313" t="s">
        <x:v>40</x:v>
      </x:c>
      <x:c r="C1109" s="313" t="s">
        <x:v>43</x:v>
      </x:c>
      <x:c r="D1109" s="314">
        <x:v>1</x:v>
      </x:c>
      <x:c r="E1109" s="320">
        <x:v>1490</x:v>
      </x:c>
      <x:c r="F1109" s="320">
        <x:v>1490</x:v>
      </x:c>
      <x:c r="G1109" s="320">
        <x:v>690</x:v>
      </x:c>
      <x:c r="H1109" s="313" t="s">
        <x:v>66</x:v>
      </x:c>
      <x:c r="I1109" s="313" t="s">
        <x:v>46</x:v>
      </x:c>
      <x:c r="J1109" s="316" t="n">
        <x:f>IFERROR(G1109/F1109,0)</x:f>
        <x:v>0.46308724832214765</x:v>
      </x:c>
      <x:c r="K1109" s="312" t="str">
        <x:f>IF(B1109="Bilinmeyen Personel","Kontrol","OK")</x:f>
        <x:v>OK</x:v>
      </x:c>
    </x:row>
    <x:row r="1110" ht="15.75">
      <x:c r="A1110" s="313" t="n">
        <x:f t="shared" si="17">ROW()-ROW($A$2)+1</x:f>
        <x:v>1109</x:v>
      </x:c>
      <x:c r="B1110" s="313" t="s">
        <x:v>40</x:v>
      </x:c>
      <x:c r="C1110" s="313" t="s">
        <x:v>34</x:v>
      </x:c>
      <x:c r="D1110" s="314">
        <x:v>2</x:v>
      </x:c>
      <x:c r="E1110" s="320">
        <x:v>1090</x:v>
      </x:c>
      <x:c r="F1110" s="320">
        <x:v>2180</x:v>
      </x:c>
      <x:c r="G1110" s="320">
        <x:v>580</x:v>
      </x:c>
      <x:c r="H1110" s="313" t="s">
        <x:v>66</x:v>
      </x:c>
      <x:c r="I1110" s="313" t="s">
        <x:v>25</x:v>
      </x:c>
      <x:c r="J1110" s="316" t="n">
        <x:f>IFERROR(G1110/F1110,0)</x:f>
        <x:v>0.26605504587155965</x:v>
      </x:c>
      <x:c r="K1110" s="312" t="str">
        <x:f>IF(B1110="Bilinmeyen Personel","Kontrol","OK")</x:f>
        <x:v>OK</x:v>
      </x:c>
    </x:row>
    <x:row r="1111" ht="15.75">
      <x:c r="A1111" s="313" t="n">
        <x:f t="shared" si="17">ROW()-ROW($A$2)+1</x:f>
        <x:v>1110</x:v>
      </x:c>
      <x:c r="B1111" s="313" t="s">
        <x:v>29</x:v>
      </x:c>
      <x:c r="C1111" s="313" t="s">
        <x:v>30</x:v>
      </x:c>
      <x:c r="D1111" s="314">
        <x:v>2</x:v>
      </x:c>
      <x:c r="E1111" s="320">
        <x:v>1200</x:v>
      </x:c>
      <x:c r="F1111" s="320">
        <x:v>2400</x:v>
      </x:c>
      <x:c r="G1111" s="320">
        <x:v>800</x:v>
      </x:c>
      <x:c r="H1111" s="313" t="s">
        <x:v>66</x:v>
      </x:c>
      <x:c r="I1111" s="313" t="s">
        <x:v>46</x:v>
      </x:c>
      <x:c r="J1111" s="316" t="n">
        <x:f>IFERROR(G1111/F1111,0)</x:f>
        <x:v>0.3333333333333333</x:v>
      </x:c>
      <x:c r="K1111" s="312" t="str">
        <x:f>IF(B1111="Bilinmeyen Personel","Kontrol","OK")</x:f>
        <x:v>OK</x:v>
      </x:c>
    </x:row>
    <x:row r="1112" ht="15.75">
      <x:c r="A1112" s="313" t="n">
        <x:f t="shared" si="17">ROW()-ROW($A$2)+1</x:f>
        <x:v>1111</x:v>
      </x:c>
      <x:c r="B1112" s="313" t="s">
        <x:v>38</x:v>
      </x:c>
      <x:c r="C1112" s="313" t="s">
        <x:v>39</x:v>
      </x:c>
      <x:c r="D1112" s="314">
        <x:v>2</x:v>
      </x:c>
      <x:c r="E1112" s="320">
        <x:v>10590</x:v>
      </x:c>
      <x:c r="F1112" s="320">
        <x:v>21180</x:v>
      </x:c>
      <x:c r="G1112" s="320">
        <x:v>9180</x:v>
      </x:c>
      <x:c r="H1112" s="313" t="s">
        <x:v>66</x:v>
      </x:c>
      <x:c r="I1112" s="313" t="s">
        <x:v>28</x:v>
      </x:c>
      <x:c r="J1112" s="316" t="n">
        <x:f>IFERROR(G1112/F1112,0)</x:f>
        <x:v>0.43342776203966005</x:v>
      </x:c>
      <x:c r="K1112" s="312" t="str">
        <x:f>IF(B1112="Bilinmeyen Personel","Kontrol","OK")</x:f>
        <x:v>OK</x:v>
      </x:c>
    </x:row>
    <x:row r="1113" ht="15.75">
      <x:c r="A1113" s="313" t="n">
        <x:f t="shared" si="17">ROW()-ROW($A$2)+1</x:f>
        <x:v>1112</x:v>
      </x:c>
      <x:c r="B1113" s="313" t="s">
        <x:v>32</x:v>
      </x:c>
      <x:c r="C1113" s="313" t="s">
        <x:v>45</x:v>
      </x:c>
      <x:c r="D1113" s="314">
        <x:v>3</x:v>
      </x:c>
      <x:c r="E1113" s="320">
        <x:v>4200</x:v>
      </x:c>
      <x:c r="F1113" s="320">
        <x:v>12600</x:v>
      </x:c>
      <x:c r="G1113" s="320">
        <x:v>3600</x:v>
      </x:c>
      <x:c r="H1113" s="313" t="s">
        <x:v>66</x:v>
      </x:c>
      <x:c r="I1113" s="313" t="s">
        <x:v>37</x:v>
      </x:c>
      <x:c r="J1113" s="316" t="n">
        <x:f>IFERROR(G1113/F1113,0)</x:f>
        <x:v>0.2857142857142857</x:v>
      </x:c>
      <x:c r="K1113" s="312" t="str">
        <x:f>IF(B1113="Bilinmeyen Personel","Kontrol","OK")</x:f>
        <x:v>OK</x:v>
      </x:c>
    </x:row>
    <x:row r="1114" ht="15.75">
      <x:c r="A1114" s="313" t="n">
        <x:f t="shared" si="17">ROW()-ROW($A$2)+1</x:f>
        <x:v>1113</x:v>
      </x:c>
      <x:c r="B1114" s="313" t="s">
        <x:v>19</x:v>
      </x:c>
      <x:c r="C1114" s="313" t="s">
        <x:v>45</x:v>
      </x:c>
      <x:c r="D1114" s="314">
        <x:v>3</x:v>
      </x:c>
      <x:c r="E1114" s="320">
        <x:v>4200</x:v>
      </x:c>
      <x:c r="F1114" s="320">
        <x:v>12600</x:v>
      </x:c>
      <x:c r="G1114" s="320">
        <x:v>3600</x:v>
      </x:c>
      <x:c r="H1114" s="313" t="s">
        <x:v>66</x:v>
      </x:c>
      <x:c r="I1114" s="313" t="s">
        <x:v>41</x:v>
      </x:c>
      <x:c r="J1114" s="316" t="n">
        <x:f>IFERROR(G1114/F1114,0)</x:f>
        <x:v>0.2857142857142857</x:v>
      </x:c>
      <x:c r="K1114" s="312" t="str">
        <x:f>IF(B1114="Bilinmeyen Personel","Kontrol","OK")</x:f>
        <x:v>OK</x:v>
      </x:c>
    </x:row>
    <x:row r="1115" ht="15.75">
      <x:c r="A1115" s="313" t="n">
        <x:f t="shared" si="17">ROW()-ROW($A$2)+1</x:f>
        <x:v>1114</x:v>
      </x:c>
      <x:c r="B1115" s="313" t="s">
        <x:v>35</x:v>
      </x:c>
      <x:c r="C1115" s="313" t="s">
        <x:v>39</x:v>
      </x:c>
      <x:c r="D1115" s="314">
        <x:v>2</x:v>
      </x:c>
      <x:c r="E1115" s="320">
        <x:v>10590</x:v>
      </x:c>
      <x:c r="F1115" s="320">
        <x:v>21180</x:v>
      </x:c>
      <x:c r="G1115" s="320">
        <x:v>9180</x:v>
      </x:c>
      <x:c r="H1115" s="313" t="s">
        <x:v>66</x:v>
      </x:c>
      <x:c r="I1115" s="313" t="s">
        <x:v>12</x:v>
      </x:c>
      <x:c r="J1115" s="316" t="n">
        <x:f>IFERROR(G1115/F1115,0)</x:f>
        <x:v>0.43342776203966005</x:v>
      </x:c>
      <x:c r="K1115" s="312" t="str">
        <x:f>IF(B1115="Bilinmeyen Personel","Kontrol","OK")</x:f>
        <x:v>OK</x:v>
      </x:c>
    </x:row>
    <x:row r="1116" ht="15.75">
      <x:c r="A1116" s="313" t="n">
        <x:f t="shared" si="17">ROW()-ROW($A$2)+1</x:f>
        <x:v>1115</x:v>
      </x:c>
      <x:c r="B1116" s="313" t="s">
        <x:v>50</x:v>
      </x:c>
      <x:c r="C1116" s="313" t="s">
        <x:v>52</x:v>
      </x:c>
      <x:c r="D1116" s="314">
        <x:v>1</x:v>
      </x:c>
      <x:c r="E1116" s="320">
        <x:v>1250</x:v>
      </x:c>
      <x:c r="F1116" s="320">
        <x:v>1250</x:v>
      </x:c>
      <x:c r="G1116" s="320">
        <x:v>450</x:v>
      </x:c>
      <x:c r="H1116" s="313" t="s">
        <x:v>66</x:v>
      </x:c>
      <x:c r="I1116" s="313" t="s">
        <x:v>25</x:v>
      </x:c>
      <x:c r="J1116" s="316" t="n">
        <x:f>IFERROR(G1116/F1116,0)</x:f>
        <x:v>0.36</x:v>
      </x:c>
      <x:c r="K1116" s="312" t="str">
        <x:f>IF(B1116="Bilinmeyen Personel","Kontrol","OK")</x:f>
        <x:v>OK</x:v>
      </x:c>
    </x:row>
    <x:row r="1117" ht="15.75">
      <x:c r="A1117" s="313" t="n">
        <x:f t="shared" si="17">ROW()-ROW($A$2)+1</x:f>
        <x:v>1116</x:v>
      </x:c>
      <x:c r="B1117" s="313" t="s">
        <x:v>9</x:v>
      </x:c>
      <x:c r="C1117" s="313" t="s">
        <x:v>43</x:v>
      </x:c>
      <x:c r="D1117" s="314">
        <x:v>3</x:v>
      </x:c>
      <x:c r="E1117" s="320">
        <x:v>1490</x:v>
      </x:c>
      <x:c r="F1117" s="320">
        <x:v>4470</x:v>
      </x:c>
      <x:c r="G1117" s="320">
        <x:v>2070</x:v>
      </x:c>
      <x:c r="H1117" s="313" t="s">
        <x:v>66</x:v>
      </x:c>
      <x:c r="I1117" s="313" t="s">
        <x:v>21</x:v>
      </x:c>
      <x:c r="J1117" s="316" t="n">
        <x:f>IFERROR(G1117/F1117,0)</x:f>
        <x:v>0.46308724832214765</x:v>
      </x:c>
      <x:c r="K1117" s="312" t="str">
        <x:f>IF(B1117="Bilinmeyen Personel","Kontrol","OK")</x:f>
        <x:v>OK</x:v>
      </x:c>
    </x:row>
    <x:row r="1118" ht="15.75">
      <x:c r="A1118" s="313" t="n">
        <x:f t="shared" si="17">ROW()-ROW($A$2)+1</x:f>
        <x:v>1117</x:v>
      </x:c>
      <x:c r="B1118" s="313" t="s">
        <x:v>32</x:v>
      </x:c>
      <x:c r="C1118" s="313" t="s">
        <x:v>30</x:v>
      </x:c>
      <x:c r="D1118" s="314">
        <x:v>2</x:v>
      </x:c>
      <x:c r="E1118" s="320">
        <x:v>1200</x:v>
      </x:c>
      <x:c r="F1118" s="320">
        <x:v>2400</x:v>
      </x:c>
      <x:c r="G1118" s="320">
        <x:v>800</x:v>
      </x:c>
      <x:c r="H1118" s="313" t="s">
        <x:v>66</x:v>
      </x:c>
      <x:c r="I1118" s="313" t="s">
        <x:v>12</x:v>
      </x:c>
      <x:c r="J1118" s="316" t="n">
        <x:f>IFERROR(G1118/F1118,0)</x:f>
        <x:v>0.3333333333333333</x:v>
      </x:c>
      <x:c r="K1118" s="312" t="str">
        <x:f>IF(B1118="Bilinmeyen Personel","Kontrol","OK")</x:f>
        <x:v>OK</x:v>
      </x:c>
    </x:row>
    <x:row r="1119" ht="15.75">
      <x:c r="A1119" s="313" t="n">
        <x:f t="shared" si="17">ROW()-ROW($A$2)+1</x:f>
        <x:v>1118</x:v>
      </x:c>
      <x:c r="B1119" s="313" t="s">
        <x:v>16</x:v>
      </x:c>
      <x:c r="C1119" s="313" t="s">
        <x:v>22</x:v>
      </x:c>
      <x:c r="D1119" s="314">
        <x:v>3</x:v>
      </x:c>
      <x:c r="E1119" s="320">
        <x:v>2180</x:v>
      </x:c>
      <x:c r="F1119" s="320">
        <x:v>6540</x:v>
      </x:c>
      <x:c r="G1119" s="320">
        <x:v>2040</x:v>
      </x:c>
      <x:c r="H1119" s="313" t="s">
        <x:v>66</x:v>
      </x:c>
      <x:c r="I1119" s="313" t="s">
        <x:v>46</x:v>
      </x:c>
      <x:c r="J1119" s="316" t="n">
        <x:f>IFERROR(G1119/F1119,0)</x:f>
        <x:v>0.3119266055045872</x:v>
      </x:c>
      <x:c r="K1119" s="312" t="str">
        <x:f>IF(B1119="Bilinmeyen Personel","Kontrol","OK")</x:f>
        <x:v>OK</x:v>
      </x:c>
    </x:row>
    <x:row r="1120" ht="15.75">
      <x:c r="A1120" s="313" t="n">
        <x:f t="shared" si="17">ROW()-ROW($A$2)+1</x:f>
        <x:v>1119</x:v>
      </x:c>
      <x:c r="B1120" s="313" t="s">
        <x:v>40</x:v>
      </x:c>
      <x:c r="C1120" s="313" t="s">
        <x:v>53</x:v>
      </x:c>
      <x:c r="D1120" s="314">
        <x:v>3</x:v>
      </x:c>
      <x:c r="E1120" s="320">
        <x:v>1200</x:v>
      </x:c>
      <x:c r="F1120" s="320">
        <x:v>3600</x:v>
      </x:c>
      <x:c r="G1120" s="320">
        <x:v>1200</x:v>
      </x:c>
      <x:c r="H1120" s="313" t="s">
        <x:v>66</x:v>
      </x:c>
      <x:c r="I1120" s="313" t="s">
        <x:v>21</x:v>
      </x:c>
      <x:c r="J1120" s="316" t="n">
        <x:f>IFERROR(G1120/F1120,0)</x:f>
        <x:v>0.3333333333333333</x:v>
      </x:c>
      <x:c r="K1120" s="312" t="str">
        <x:f>IF(B1120="Bilinmeyen Personel","Kontrol","OK")</x:f>
        <x:v>OK</x:v>
      </x:c>
    </x:row>
    <x:row r="1121" ht="15.75">
      <x:c r="A1121" s="313" t="n">
        <x:f t="shared" si="17">ROW()-ROW($A$2)+1</x:f>
        <x:v>1120</x:v>
      </x:c>
      <x:c r="B1121" s="313" t="s">
        <x:v>9</x:v>
      </x:c>
      <x:c r="C1121" s="313" t="s">
        <x:v>33</x:v>
      </x:c>
      <x:c r="D1121" s="314">
        <x:v>1</x:v>
      </x:c>
      <x:c r="E1121" s="320">
        <x:v>1800</x:v>
      </x:c>
      <x:c r="F1121" s="320">
        <x:v>1800</x:v>
      </x:c>
      <x:c r="G1121" s="320">
        <x:v>1000</x:v>
      </x:c>
      <x:c r="H1121" s="313" t="s">
        <x:v>66</x:v>
      </x:c>
      <x:c r="I1121" s="313" t="s">
        <x:v>42</x:v>
      </x:c>
      <x:c r="J1121" s="316" t="n">
        <x:f>IFERROR(G1121/F1121,0)</x:f>
        <x:v>0.5555555555555556</x:v>
      </x:c>
      <x:c r="K1121" s="312" t="str">
        <x:f>IF(B1121="Bilinmeyen Personel","Kontrol","OK")</x:f>
        <x:v>OK</x:v>
      </x:c>
    </x:row>
    <x:row r="1122" ht="15.75">
      <x:c r="A1122" s="313" t="n">
        <x:f t="shared" si="17">ROW()-ROW($A$2)+1</x:f>
        <x:v>1121</x:v>
      </x:c>
      <x:c r="B1122" s="313" t="s">
        <x:v>16</x:v>
      </x:c>
      <x:c r="C1122" s="313" t="s">
        <x:v>24</x:v>
      </x:c>
      <x:c r="D1122" s="314">
        <x:v>1</x:v>
      </x:c>
      <x:c r="E1122" s="320">
        <x:v>7600</x:v>
      </x:c>
      <x:c r="F1122" s="320">
        <x:v>7600</x:v>
      </x:c>
      <x:c r="G1122" s="320">
        <x:v>1600</x:v>
      </x:c>
      <x:c r="H1122" s="313" t="s">
        <x:v>66</x:v>
      </x:c>
      <x:c r="I1122" s="313" t="s">
        <x:v>44</x:v>
      </x:c>
      <x:c r="J1122" s="316" t="n">
        <x:f>IFERROR(G1122/F1122,0)</x:f>
        <x:v>0.21052631578947367</x:v>
      </x:c>
      <x:c r="K1122" s="312" t="str">
        <x:f>IF(B1122="Bilinmeyen Personel","Kontrol","OK")</x:f>
        <x:v>OK</x:v>
      </x:c>
    </x:row>
    <x:row r="1123" ht="15.75">
      <x:c r="A1123" s="313" t="n">
        <x:f t="shared" si="17">ROW()-ROW($A$2)+1</x:f>
        <x:v>1122</x:v>
      </x:c>
      <x:c r="B1123" s="313" t="s">
        <x:v>35</x:v>
      </x:c>
      <x:c r="C1123" s="313" t="s">
        <x:v>55</x:v>
      </x:c>
      <x:c r="D1123" s="314">
        <x:v>1</x:v>
      </x:c>
      <x:c r="E1123" s="320">
        <x:v>7530</x:v>
      </x:c>
      <x:c r="F1123" s="320">
        <x:v>7530</x:v>
      </x:c>
      <x:c r="G1123" s="320">
        <x:v>1530</x:v>
      </x:c>
      <x:c r="H1123" s="313" t="s">
        <x:v>66</x:v>
      </x:c>
      <x:c r="I1123" s="313" t="s">
        <x:v>44</x:v>
      </x:c>
      <x:c r="J1123" s="316" t="n">
        <x:f>IFERROR(G1123/F1123,0)</x:f>
        <x:v>0.20318725099601595</x:v>
      </x:c>
      <x:c r="K1123" s="312" t="str">
        <x:f>IF(B1123="Bilinmeyen Personel","Kontrol","OK")</x:f>
        <x:v>OK</x:v>
      </x:c>
    </x:row>
    <x:row r="1124" ht="15.75">
      <x:c r="A1124" s="313" t="n">
        <x:f t="shared" si="17">ROW()-ROW($A$2)+1</x:f>
        <x:v>1123</x:v>
      </x:c>
      <x:c r="B1124" s="313" t="s">
        <x:v>50</x:v>
      </x:c>
      <x:c r="C1124" s="313" t="s">
        <x:v>43</x:v>
      </x:c>
      <x:c r="D1124" s="314">
        <x:v>2</x:v>
      </x:c>
      <x:c r="E1124" s="320">
        <x:v>1490</x:v>
      </x:c>
      <x:c r="F1124" s="320">
        <x:v>2980</x:v>
      </x:c>
      <x:c r="G1124" s="320">
        <x:v>1380</x:v>
      </x:c>
      <x:c r="H1124" s="313" t="s">
        <x:v>66</x:v>
      </x:c>
      <x:c r="I1124" s="313" t="s">
        <x:v>44</x:v>
      </x:c>
      <x:c r="J1124" s="316" t="n">
        <x:f>IFERROR(G1124/F1124,0)</x:f>
        <x:v>0.46308724832214765</x:v>
      </x:c>
      <x:c r="K1124" s="312" t="str">
        <x:f>IF(B1124="Bilinmeyen Personel","Kontrol","OK")</x:f>
        <x:v>OK</x:v>
      </x:c>
    </x:row>
    <x:row r="1125" ht="15.75">
      <x:c r="A1125" s="313" t="n">
        <x:f t="shared" si="17">ROW()-ROW($A$2)+1</x:f>
        <x:v>1124</x:v>
      </x:c>
      <x:c r="B1125" s="313" t="s">
        <x:v>9</x:v>
      </x:c>
      <x:c r="C1125" s="313" t="s">
        <x:v>56</x:v>
      </x:c>
      <x:c r="D1125" s="314">
        <x:v>1</x:v>
      </x:c>
      <x:c r="E1125" s="320">
        <x:v>5300</x:v>
      </x:c>
      <x:c r="F1125" s="320">
        <x:v>5300</x:v>
      </x:c>
      <x:c r="G1125" s="320">
        <x:v>1300</x:v>
      </x:c>
      <x:c r="H1125" s="313" t="s">
        <x:v>66</x:v>
      </x:c>
      <x:c r="I1125" s="313" t="s">
        <x:v>28</x:v>
      </x:c>
      <x:c r="J1125" s="316" t="n">
        <x:f>IFERROR(G1125/F1125,0)</x:f>
        <x:v>0.24528301886792453</x:v>
      </x:c>
      <x:c r="K1125" s="312" t="str">
        <x:f>IF(B1125="Bilinmeyen Personel","Kontrol","OK")</x:f>
        <x:v>OK</x:v>
      </x:c>
    </x:row>
    <x:row r="1126" ht="15.75">
      <x:c r="A1126" s="313" t="n">
        <x:f t="shared" si="17">ROW()-ROW($A$2)+1</x:f>
        <x:v>1125</x:v>
      </x:c>
      <x:c r="B1126" s="313" t="s">
        <x:v>23</x:v>
      </x:c>
      <x:c r="C1126" s="313" t="s">
        <x:v>30</x:v>
      </x:c>
      <x:c r="D1126" s="314">
        <x:v>2</x:v>
      </x:c>
      <x:c r="E1126" s="320">
        <x:v>1200</x:v>
      </x:c>
      <x:c r="F1126" s="320">
        <x:v>2400</x:v>
      </x:c>
      <x:c r="G1126" s="320">
        <x:v>800</x:v>
      </x:c>
      <x:c r="H1126" s="313" t="s">
        <x:v>66</x:v>
      </x:c>
      <x:c r="I1126" s="313" t="s">
        <x:v>42</x:v>
      </x:c>
      <x:c r="J1126" s="316" t="n">
        <x:f>IFERROR(G1126/F1126,0)</x:f>
        <x:v>0.3333333333333333</x:v>
      </x:c>
      <x:c r="K1126" s="312" t="str">
        <x:f>IF(B1126="Bilinmeyen Personel","Kontrol","OK")</x:f>
        <x:v>OK</x:v>
      </x:c>
    </x:row>
    <x:row r="1127" ht="15.75">
      <x:c r="A1127" s="313" t="n">
        <x:f t="shared" si="17">ROW()-ROW($A$2)+1</x:f>
        <x:v>1126</x:v>
      </x:c>
      <x:c r="B1127" s="313" t="s">
        <x:v>40</x:v>
      </x:c>
      <x:c r="C1127" s="313" t="s">
        <x:v>34</x:v>
      </x:c>
      <x:c r="D1127" s="314">
        <x:v>1</x:v>
      </x:c>
      <x:c r="E1127" s="320">
        <x:v>1090</x:v>
      </x:c>
      <x:c r="F1127" s="320">
        <x:v>1090</x:v>
      </x:c>
      <x:c r="G1127" s="320">
        <x:v>290</x:v>
      </x:c>
      <x:c r="H1127" s="313" t="s">
        <x:v>66</x:v>
      </x:c>
      <x:c r="I1127" s="313" t="s">
        <x:v>44</x:v>
      </x:c>
      <x:c r="J1127" s="316" t="n">
        <x:f>IFERROR(G1127/F1127,0)</x:f>
        <x:v>0.26605504587155965</x:v>
      </x:c>
      <x:c r="K1127" s="312" t="str">
        <x:f>IF(B1127="Bilinmeyen Personel","Kontrol","OK")</x:f>
        <x:v>OK</x:v>
      </x:c>
    </x:row>
    <x:row r="1128" ht="15.75">
      <x:c r="A1128" s="313" t="n">
        <x:f t="shared" si="17">ROW()-ROW($A$2)+1</x:f>
        <x:v>1127</x:v>
      </x:c>
      <x:c r="B1128" s="313" t="s">
        <x:v>23</x:v>
      </x:c>
      <x:c r="C1128" s="313" t="s">
        <x:v>26</x:v>
      </x:c>
      <x:c r="D1128" s="314">
        <x:v>1</x:v>
      </x:c>
      <x:c r="E1128" s="320">
        <x:v>7250</x:v>
      </x:c>
      <x:c r="F1128" s="320">
        <x:v>7250</x:v>
      </x:c>
      <x:c r="G1128" s="320">
        <x:v>2250</x:v>
      </x:c>
      <x:c r="H1128" s="313" t="s">
        <x:v>66</x:v>
      </x:c>
      <x:c r="I1128" s="313" t="s">
        <x:v>37</x:v>
      </x:c>
      <x:c r="J1128" s="316" t="n">
        <x:f>IFERROR(G1128/F1128,0)</x:f>
        <x:v>0.3103448275862069</x:v>
      </x:c>
      <x:c r="K1128" s="312" t="str">
        <x:f>IF(B1128="Bilinmeyen Personel","Kontrol","OK")</x:f>
        <x:v>OK</x:v>
      </x:c>
    </x:row>
    <x:row r="1129" ht="15.75">
      <x:c r="A1129" s="313" t="n">
        <x:f t="shared" si="17">ROW()-ROW($A$2)+1</x:f>
        <x:v>1128</x:v>
      </x:c>
      <x:c r="B1129" s="313" t="s">
        <x:v>48</x:v>
      </x:c>
      <x:c r="C1129" s="313" t="s">
        <x:v>14</x:v>
      </x:c>
      <x:c r="D1129" s="314">
        <x:v>3</x:v>
      </x:c>
      <x:c r="E1129" s="320">
        <x:v>1400</x:v>
      </x:c>
      <x:c r="F1129" s="320">
        <x:v>4200</x:v>
      </x:c>
      <x:c r="G1129" s="320">
        <x:v>1800</x:v>
      </x:c>
      <x:c r="H1129" s="313" t="s">
        <x:v>66</x:v>
      </x:c>
      <x:c r="I1129" s="313" t="s">
        <x:v>37</x:v>
      </x:c>
      <x:c r="J1129" s="316" t="n">
        <x:f>IFERROR(G1129/F1129,0)</x:f>
        <x:v>0.42857142857142855</x:v>
      </x:c>
      <x:c r="K1129" s="312" t="str">
        <x:f>IF(B1129="Bilinmeyen Personel","Kontrol","OK")</x:f>
        <x:v>OK</x:v>
      </x:c>
    </x:row>
    <x:row r="1130" ht="15.75">
      <x:c r="A1130" s="313" t="n">
        <x:f t="shared" si="17">ROW()-ROW($A$2)+1</x:f>
        <x:v>1129</x:v>
      </x:c>
      <x:c r="B1130" s="313" t="s">
        <x:v>16</x:v>
      </x:c>
      <x:c r="C1130" s="313" t="s">
        <x:v>57</x:v>
      </x:c>
      <x:c r="D1130" s="314">
        <x:v>1</x:v>
      </x:c>
      <x:c r="E1130" s="320">
        <x:v>1500</x:v>
      </x:c>
      <x:c r="F1130" s="320">
        <x:v>1500</x:v>
      </x:c>
      <x:c r="G1130" s="320">
        <x:v>700</x:v>
      </x:c>
      <x:c r="H1130" s="313" t="s">
        <x:v>66</x:v>
      </x:c>
      <x:c r="I1130" s="313" t="s">
        <x:v>44</x:v>
      </x:c>
      <x:c r="J1130" s="316" t="n">
        <x:f>IFERROR(G1130/F1130,0)</x:f>
        <x:v>0.4666666666666667</x:v>
      </x:c>
      <x:c r="K1130" s="312" t="str">
        <x:f>IF(B1130="Bilinmeyen Personel","Kontrol","OK")</x:f>
        <x:v>OK</x:v>
      </x:c>
    </x:row>
    <x:row r="1131" ht="15.75">
      <x:c r="A1131" s="313" t="n">
        <x:f t="shared" si="17">ROW()-ROW($A$2)+1</x:f>
        <x:v>1130</x:v>
      </x:c>
      <x:c r="B1131" s="313" t="s">
        <x:v>35</x:v>
      </x:c>
      <x:c r="C1131" s="313" t="s">
        <x:v>20</x:v>
      </x:c>
      <x:c r="D1131" s="314">
        <x:v>1</x:v>
      </x:c>
      <x:c r="E1131" s="320">
        <x:v>1350</x:v>
      </x:c>
      <x:c r="F1131" s="320">
        <x:v>1350</x:v>
      </x:c>
      <x:c r="G1131" s="320">
        <x:v>550</x:v>
      </x:c>
      <x:c r="H1131" s="313" t="s">
        <x:v>66</x:v>
      </x:c>
      <x:c r="I1131" s="313" t="s">
        <x:v>21</x:v>
      </x:c>
      <x:c r="J1131" s="316" t="n">
        <x:f>IFERROR(G1131/F1131,0)</x:f>
        <x:v>0.4074074074074074</x:v>
      </x:c>
      <x:c r="K1131" s="312" t="str">
        <x:f>IF(B1131="Bilinmeyen Personel","Kontrol","OK")</x:f>
        <x:v>OK</x:v>
      </x:c>
    </x:row>
    <x:row r="1132" ht="15.75">
      <x:c r="A1132" s="313" t="n">
        <x:f t="shared" si="17">ROW()-ROW($A$2)+1</x:f>
        <x:v>1131</x:v>
      </x:c>
      <x:c r="B1132" s="313" t="s">
        <x:v>35</x:v>
      </x:c>
      <x:c r="C1132" s="313" t="s">
        <x:v>30</x:v>
      </x:c>
      <x:c r="D1132" s="314">
        <x:v>3</x:v>
      </x:c>
      <x:c r="E1132" s="320">
        <x:v>1200</x:v>
      </x:c>
      <x:c r="F1132" s="320">
        <x:v>3600</x:v>
      </x:c>
      <x:c r="G1132" s="320">
        <x:v>1200</x:v>
      </x:c>
      <x:c r="H1132" s="313" t="s">
        <x:v>66</x:v>
      </x:c>
      <x:c r="I1132" s="313" t="s">
        <x:v>42</x:v>
      </x:c>
      <x:c r="J1132" s="316" t="n">
        <x:f>IFERROR(G1132/F1132,0)</x:f>
        <x:v>0.3333333333333333</x:v>
      </x:c>
      <x:c r="K1132" s="312" t="str">
        <x:f>IF(B1132="Bilinmeyen Personel","Kontrol","OK")</x:f>
        <x:v>OK</x:v>
      </x:c>
    </x:row>
    <x:row r="1133" ht="15.75">
      <x:c r="A1133" s="313" t="n">
        <x:f t="shared" si="17">ROW()-ROW($A$2)+1</x:f>
        <x:v>1132</x:v>
      </x:c>
      <x:c r="B1133" s="313" t="s">
        <x:v>13</x:v>
      </x:c>
      <x:c r="C1133" s="313" t="s">
        <x:v>55</x:v>
      </x:c>
      <x:c r="D1133" s="314">
        <x:v>3</x:v>
      </x:c>
      <x:c r="E1133" s="320">
        <x:v>7530</x:v>
      </x:c>
      <x:c r="F1133" s="320">
        <x:v>22590</x:v>
      </x:c>
      <x:c r="G1133" s="320">
        <x:v>4590</x:v>
      </x:c>
      <x:c r="H1133" s="313" t="s">
        <x:v>66</x:v>
      </x:c>
      <x:c r="I1133" s="313" t="s">
        <x:v>44</x:v>
      </x:c>
      <x:c r="J1133" s="316" t="n">
        <x:f>IFERROR(G1133/F1133,0)</x:f>
        <x:v>0.20318725099601595</x:v>
      </x:c>
      <x:c r="K1133" s="312" t="str">
        <x:f>IF(B1133="Bilinmeyen Personel","Kontrol","OK")</x:f>
        <x:v>OK</x:v>
      </x:c>
    </x:row>
    <x:row r="1134" ht="15.75">
      <x:c r="A1134" s="313" t="n">
        <x:f t="shared" si="17">ROW()-ROW($A$2)+1</x:f>
        <x:v>1133</x:v>
      </x:c>
      <x:c r="B1134" s="313" t="s">
        <x:v>48</x:v>
      </x:c>
      <x:c r="C1134" s="313" t="s">
        <x:v>30</x:v>
      </x:c>
      <x:c r="D1134" s="314">
        <x:v>1</x:v>
      </x:c>
      <x:c r="E1134" s="320">
        <x:v>1200</x:v>
      </x:c>
      <x:c r="F1134" s="320">
        <x:v>1200</x:v>
      </x:c>
      <x:c r="G1134" s="320">
        <x:v>400</x:v>
      </x:c>
      <x:c r="H1134" s="313" t="s">
        <x:v>66</x:v>
      </x:c>
      <x:c r="I1134" s="313" t="s">
        <x:v>44</x:v>
      </x:c>
      <x:c r="J1134" s="316" t="n">
        <x:f>IFERROR(G1134/F1134,0)</x:f>
        <x:v>0.3333333333333333</x:v>
      </x:c>
      <x:c r="K1134" s="312" t="str">
        <x:f>IF(B1134="Bilinmeyen Personel","Kontrol","OK")</x:f>
        <x:v>OK</x:v>
      </x:c>
    </x:row>
    <x:row r="1135" ht="15.75">
      <x:c r="A1135" s="313" t="n">
        <x:f t="shared" si="17">ROW()-ROW($A$2)+1</x:f>
        <x:v>1134</x:v>
      </x:c>
      <x:c r="B1135" s="313" t="s">
        <x:v>38</x:v>
      </x:c>
      <x:c r="C1135" s="313" t="s">
        <x:v>33</x:v>
      </x:c>
      <x:c r="D1135" s="314">
        <x:v>3</x:v>
      </x:c>
      <x:c r="E1135" s="320">
        <x:v>1800</x:v>
      </x:c>
      <x:c r="F1135" s="320">
        <x:v>5400</x:v>
      </x:c>
      <x:c r="G1135" s="320">
        <x:v>3000</x:v>
      </x:c>
      <x:c r="H1135" s="313" t="s">
        <x:v>66</x:v>
      </x:c>
      <x:c r="I1135" s="313" t="s">
        <x:v>25</x:v>
      </x:c>
      <x:c r="J1135" s="316" t="n">
        <x:f>IFERROR(G1135/F1135,0)</x:f>
        <x:v>0.5555555555555556</x:v>
      </x:c>
      <x:c r="K1135" s="312" t="str">
        <x:f>IF(B1135="Bilinmeyen Personel","Kontrol","OK")</x:f>
        <x:v>OK</x:v>
      </x:c>
    </x:row>
    <x:row r="1136" ht="15.75">
      <x:c r="A1136" s="313" t="n">
        <x:f t="shared" si="17">ROW()-ROW($A$2)+1</x:f>
        <x:v>1135</x:v>
      </x:c>
      <x:c r="B1136" s="313" t="s">
        <x:v>9</x:v>
      </x:c>
      <x:c r="C1136" s="313" t="s">
        <x:v>26</x:v>
      </x:c>
      <x:c r="D1136" s="314">
        <x:v>1</x:v>
      </x:c>
      <x:c r="E1136" s="320">
        <x:v>7250</x:v>
      </x:c>
      <x:c r="F1136" s="320">
        <x:v>7250</x:v>
      </x:c>
      <x:c r="G1136" s="320">
        <x:v>2250</x:v>
      </x:c>
      <x:c r="H1136" s="313" t="s">
        <x:v>66</x:v>
      </x:c>
      <x:c r="I1136" s="313" t="s">
        <x:v>18</x:v>
      </x:c>
      <x:c r="J1136" s="316" t="n">
        <x:f>IFERROR(G1136/F1136,0)</x:f>
        <x:v>0.3103448275862069</x:v>
      </x:c>
      <x:c r="K1136" s="312" t="str">
        <x:f>IF(B1136="Bilinmeyen Personel","Kontrol","OK")</x:f>
        <x:v>OK</x:v>
      </x:c>
    </x:row>
    <x:row r="1137" ht="15.75">
      <x:c r="A1137" s="313" t="n">
        <x:f t="shared" si="17">ROW()-ROW($A$2)+1</x:f>
        <x:v>1136</x:v>
      </x:c>
      <x:c r="B1137" s="313" t="s">
        <x:v>40</x:v>
      </x:c>
      <x:c r="C1137" s="313" t="s">
        <x:v>43</x:v>
      </x:c>
      <x:c r="D1137" s="314">
        <x:v>3</x:v>
      </x:c>
      <x:c r="E1137" s="320">
        <x:v>1490</x:v>
      </x:c>
      <x:c r="F1137" s="320">
        <x:v>4470</x:v>
      </x:c>
      <x:c r="G1137" s="320">
        <x:v>2070</x:v>
      </x:c>
      <x:c r="H1137" s="313" t="s">
        <x:v>66</x:v>
      </x:c>
      <x:c r="I1137" s="313" t="s">
        <x:v>25</x:v>
      </x:c>
      <x:c r="J1137" s="316" t="n">
        <x:f>IFERROR(G1137/F1137,0)</x:f>
        <x:v>0.46308724832214765</x:v>
      </x:c>
      <x:c r="K1137" s="312" t="str">
        <x:f>IF(B1137="Bilinmeyen Personel","Kontrol","OK")</x:f>
        <x:v>OK</x:v>
      </x:c>
    </x:row>
    <x:row r="1138" ht="15.75">
      <x:c r="A1138" s="313" t="n">
        <x:f t="shared" si="17">ROW()-ROW($A$2)+1</x:f>
        <x:v>1137</x:v>
      </x:c>
      <x:c r="B1138" s="313" t="s">
        <x:v>40</x:v>
      </x:c>
      <x:c r="C1138" s="313" t="s">
        <x:v>53</x:v>
      </x:c>
      <x:c r="D1138" s="314">
        <x:v>1</x:v>
      </x:c>
      <x:c r="E1138" s="320">
        <x:v>1200</x:v>
      </x:c>
      <x:c r="F1138" s="320">
        <x:v>1200</x:v>
      </x:c>
      <x:c r="G1138" s="320">
        <x:v>400</x:v>
      </x:c>
      <x:c r="H1138" s="313" t="s">
        <x:v>66</x:v>
      </x:c>
      <x:c r="I1138" s="313" t="s">
        <x:v>15</x:v>
      </x:c>
      <x:c r="J1138" s="316" t="n">
        <x:f>IFERROR(G1138/F1138,0)</x:f>
        <x:v>0.3333333333333333</x:v>
      </x:c>
      <x:c r="K1138" s="312" t="str">
        <x:f>IF(B1138="Bilinmeyen Personel","Kontrol","OK")</x:f>
        <x:v>OK</x:v>
      </x:c>
    </x:row>
    <x:row r="1139" ht="15.75">
      <x:c r="A1139" s="313" t="n">
        <x:f t="shared" si="17">ROW()-ROW($A$2)+1</x:f>
        <x:v>1138</x:v>
      </x:c>
      <x:c r="B1139" s="313" t="s">
        <x:v>13</x:v>
      </x:c>
      <x:c r="C1139" s="313" t="s">
        <x:v>36</x:v>
      </x:c>
      <x:c r="D1139" s="314">
        <x:v>1</x:v>
      </x:c>
      <x:c r="E1139" s="320">
        <x:v>8000</x:v>
      </x:c>
      <x:c r="F1139" s="320">
        <x:v>8000</x:v>
      </x:c>
      <x:c r="G1139" s="320">
        <x:v>2000</x:v>
      </x:c>
      <x:c r="H1139" s="313" t="s">
        <x:v>66</x:v>
      </x:c>
      <x:c r="I1139" s="313" t="s">
        <x:v>41</x:v>
      </x:c>
      <x:c r="J1139" s="316" t="n">
        <x:f>IFERROR(G1139/F1139,0)</x:f>
        <x:v>0.25</x:v>
      </x:c>
      <x:c r="K1139" s="312" t="str">
        <x:f>IF(B1139="Bilinmeyen Personel","Kontrol","OK")</x:f>
        <x:v>OK</x:v>
      </x:c>
    </x:row>
    <x:row r="1140" ht="15.75">
      <x:c r="A1140" s="313" t="n">
        <x:f t="shared" si="17">ROW()-ROW($A$2)+1</x:f>
        <x:v>1139</x:v>
      </x:c>
      <x:c r="B1140" s="313" t="s">
        <x:v>32</x:v>
      </x:c>
      <x:c r="C1140" s="313" t="s">
        <x:v>14</x:v>
      </x:c>
      <x:c r="D1140" s="314">
        <x:v>1</x:v>
      </x:c>
      <x:c r="E1140" s="320">
        <x:v>1400</x:v>
      </x:c>
      <x:c r="F1140" s="320">
        <x:v>1400</x:v>
      </x:c>
      <x:c r="G1140" s="320">
        <x:v>600</x:v>
      </x:c>
      <x:c r="H1140" s="313" t="s">
        <x:v>66</x:v>
      </x:c>
      <x:c r="I1140" s="313" t="s">
        <x:v>28</x:v>
      </x:c>
      <x:c r="J1140" s="316" t="n">
        <x:f>IFERROR(G1140/F1140,0)</x:f>
        <x:v>0.42857142857142855</x:v>
      </x:c>
      <x:c r="K1140" s="312" t="str">
        <x:f>IF(B1140="Bilinmeyen Personel","Kontrol","OK")</x:f>
        <x:v>OK</x:v>
      </x:c>
    </x:row>
    <x:row r="1141" ht="15.75">
      <x:c r="A1141" s="313" t="n">
        <x:f t="shared" si="17">ROW()-ROW($A$2)+1</x:f>
        <x:v>1140</x:v>
      </x:c>
      <x:c r="B1141" s="313" t="s">
        <x:v>29</x:v>
      </x:c>
      <x:c r="C1141" s="313" t="s">
        <x:v>20</x:v>
      </x:c>
      <x:c r="D1141" s="314">
        <x:v>1</x:v>
      </x:c>
      <x:c r="E1141" s="320">
        <x:v>1350</x:v>
      </x:c>
      <x:c r="F1141" s="320">
        <x:v>1350</x:v>
      </x:c>
      <x:c r="G1141" s="320">
        <x:v>550</x:v>
      </x:c>
      <x:c r="H1141" s="313" t="s">
        <x:v>66</x:v>
      </x:c>
      <x:c r="I1141" s="313" t="s">
        <x:v>25</x:v>
      </x:c>
      <x:c r="J1141" s="316" t="n">
        <x:f>IFERROR(G1141/F1141,0)</x:f>
        <x:v>0.4074074074074074</x:v>
      </x:c>
      <x:c r="K1141" s="312" t="str">
        <x:f>IF(B1141="Bilinmeyen Personel","Kontrol","OK")</x:f>
        <x:v>OK</x:v>
      </x:c>
    </x:row>
    <x:row r="1142" ht="15.75">
      <x:c r="A1142" s="313" t="n">
        <x:f t="shared" si="17">ROW()-ROW($A$2)+1</x:f>
        <x:v>1141</x:v>
      </x:c>
      <x:c r="B1142" s="313" t="s">
        <x:v>38</x:v>
      </x:c>
      <x:c r="C1142" s="313" t="s">
        <x:v>53</x:v>
      </x:c>
      <x:c r="D1142" s="314">
        <x:v>1</x:v>
      </x:c>
      <x:c r="E1142" s="320">
        <x:v>1200</x:v>
      </x:c>
      <x:c r="F1142" s="320">
        <x:v>1200</x:v>
      </x:c>
      <x:c r="G1142" s="320">
        <x:v>400</x:v>
      </x:c>
      <x:c r="H1142" s="313" t="s">
        <x:v>66</x:v>
      </x:c>
      <x:c r="I1142" s="313" t="s">
        <x:v>42</x:v>
      </x:c>
      <x:c r="J1142" s="316" t="n">
        <x:f>IFERROR(G1142/F1142,0)</x:f>
        <x:v>0.3333333333333333</x:v>
      </x:c>
      <x:c r="K1142" s="312" t="str">
        <x:f>IF(B1142="Bilinmeyen Personel","Kontrol","OK")</x:f>
        <x:v>OK</x:v>
      </x:c>
    </x:row>
    <x:row r="1143" ht="15.75">
      <x:c r="A1143" s="313" t="n">
        <x:f t="shared" si="17">ROW()-ROW($A$2)+1</x:f>
        <x:v>1142</x:v>
      </x:c>
      <x:c r="B1143" s="313" t="s">
        <x:v>32</x:v>
      </x:c>
      <x:c r="C1143" s="313" t="s">
        <x:v>56</x:v>
      </x:c>
      <x:c r="D1143" s="314">
        <x:v>1</x:v>
      </x:c>
      <x:c r="E1143" s="320">
        <x:v>5300</x:v>
      </x:c>
      <x:c r="F1143" s="320">
        <x:v>5300</x:v>
      </x:c>
      <x:c r="G1143" s="320">
        <x:v>1300</x:v>
      </x:c>
      <x:c r="H1143" s="313" t="s">
        <x:v>66</x:v>
      </x:c>
      <x:c r="I1143" s="313" t="s">
        <x:v>25</x:v>
      </x:c>
      <x:c r="J1143" s="316" t="n">
        <x:f>IFERROR(G1143/F1143,0)</x:f>
        <x:v>0.24528301886792453</x:v>
      </x:c>
      <x:c r="K1143" s="312" t="str">
        <x:f>IF(B1143="Bilinmeyen Personel","Kontrol","OK")</x:f>
        <x:v>OK</x:v>
      </x:c>
    </x:row>
    <x:row r="1144" ht="15.75">
      <x:c r="A1144" s="313" t="n">
        <x:f t="shared" si="17">ROW()-ROW($A$2)+1</x:f>
        <x:v>1143</x:v>
      </x:c>
      <x:c r="B1144" s="313" t="s">
        <x:v>40</x:v>
      </x:c>
      <x:c r="C1144" s="313" t="s">
        <x:v>39</x:v>
      </x:c>
      <x:c r="D1144" s="314">
        <x:v>3</x:v>
      </x:c>
      <x:c r="E1144" s="320">
        <x:v>10590</x:v>
      </x:c>
      <x:c r="F1144" s="320">
        <x:v>31770</x:v>
      </x:c>
      <x:c r="G1144" s="320">
        <x:v>13770</x:v>
      </x:c>
      <x:c r="H1144" s="313" t="s">
        <x:v>66</x:v>
      </x:c>
      <x:c r="I1144" s="313" t="s">
        <x:v>28</x:v>
      </x:c>
      <x:c r="J1144" s="316" t="n">
        <x:f>IFERROR(G1144/F1144,0)</x:f>
        <x:v>0.43342776203966005</x:v>
      </x:c>
      <x:c r="K1144" s="312" t="str">
        <x:f>IF(B1144="Bilinmeyen Personel","Kontrol","OK")</x:f>
        <x:v>OK</x:v>
      </x:c>
    </x:row>
    <x:row r="1145" ht="15.75">
      <x:c r="A1145" s="313" t="n">
        <x:f t="shared" si="17">ROW()-ROW($A$2)+1</x:f>
        <x:v>1144</x:v>
      </x:c>
      <x:c r="B1145" s="313" t="s">
        <x:v>23</x:v>
      </x:c>
      <x:c r="C1145" s="313" t="s">
        <x:v>52</x:v>
      </x:c>
      <x:c r="D1145" s="314">
        <x:v>1</x:v>
      </x:c>
      <x:c r="E1145" s="320">
        <x:v>1250</x:v>
      </x:c>
      <x:c r="F1145" s="320">
        <x:v>1250</x:v>
      </x:c>
      <x:c r="G1145" s="320">
        <x:v>450</x:v>
      </x:c>
      <x:c r="H1145" s="313" t="s">
        <x:v>66</x:v>
      </x:c>
      <x:c r="I1145" s="313" t="s">
        <x:v>41</x:v>
      </x:c>
      <x:c r="J1145" s="316" t="n">
        <x:f>IFERROR(G1145/F1145,0)</x:f>
        <x:v>0.36</x:v>
      </x:c>
      <x:c r="K1145" s="312" t="str">
        <x:f>IF(B1145="Bilinmeyen Personel","Kontrol","OK")</x:f>
        <x:v>OK</x:v>
      </x:c>
    </x:row>
    <x:row r="1146" ht="15.75">
      <x:c r="A1146" s="313" t="n">
        <x:f t="shared" si="17">ROW()-ROW($A$2)+1</x:f>
        <x:v>1145</x:v>
      </x:c>
      <x:c r="B1146" s="313" t="s">
        <x:v>50</x:v>
      </x:c>
      <x:c r="C1146" s="313" t="s">
        <x:v>53</x:v>
      </x:c>
      <x:c r="D1146" s="314">
        <x:v>1</x:v>
      </x:c>
      <x:c r="E1146" s="320">
        <x:v>1200</x:v>
      </x:c>
      <x:c r="F1146" s="320">
        <x:v>1200</x:v>
      </x:c>
      <x:c r="G1146" s="320">
        <x:v>400</x:v>
      </x:c>
      <x:c r="H1146" s="313" t="s">
        <x:v>66</x:v>
      </x:c>
      <x:c r="I1146" s="313" t="s">
        <x:v>21</x:v>
      </x:c>
      <x:c r="J1146" s="316" t="n">
        <x:f>IFERROR(G1146/F1146,0)</x:f>
        <x:v>0.3333333333333333</x:v>
      </x:c>
      <x:c r="K1146" s="312" t="str">
        <x:f>IF(B1146="Bilinmeyen Personel","Kontrol","OK")</x:f>
        <x:v>OK</x:v>
      </x:c>
    </x:row>
    <x:row r="1147" ht="15.75">
      <x:c r="A1147" s="313" t="n">
        <x:f t="shared" si="17">ROW()-ROW($A$2)+1</x:f>
        <x:v>1146</x:v>
      </x:c>
      <x:c r="B1147" s="313" t="s">
        <x:v>23</x:v>
      </x:c>
      <x:c r="C1147" s="313" t="s">
        <x:v>14</x:v>
      </x:c>
      <x:c r="D1147" s="314">
        <x:v>3</x:v>
      </x:c>
      <x:c r="E1147" s="320">
        <x:v>1400</x:v>
      </x:c>
      <x:c r="F1147" s="320">
        <x:v>4200</x:v>
      </x:c>
      <x:c r="G1147" s="320">
        <x:v>1800</x:v>
      </x:c>
      <x:c r="H1147" s="313" t="s">
        <x:v>66</x:v>
      </x:c>
      <x:c r="I1147" s="313" t="s">
        <x:v>37</x:v>
      </x:c>
      <x:c r="J1147" s="316" t="n">
        <x:f>IFERROR(G1147/F1147,0)</x:f>
        <x:v>0.42857142857142855</x:v>
      </x:c>
      <x:c r="K1147" s="312" t="str">
        <x:f>IF(B1147="Bilinmeyen Personel","Kontrol","OK")</x:f>
        <x:v>OK</x:v>
      </x:c>
    </x:row>
    <x:row r="1148" ht="15.75">
      <x:c r="A1148" s="313" t="n">
        <x:f t="shared" si="17">ROW()-ROW($A$2)+1</x:f>
        <x:v>1147</x:v>
      </x:c>
      <x:c r="B1148" s="313" t="s">
        <x:v>50</x:v>
      </x:c>
      <x:c r="C1148" s="313" t="s">
        <x:v>55</x:v>
      </x:c>
      <x:c r="D1148" s="314">
        <x:v>2</x:v>
      </x:c>
      <x:c r="E1148" s="320">
        <x:v>7530</x:v>
      </x:c>
      <x:c r="F1148" s="320">
        <x:v>15060</x:v>
      </x:c>
      <x:c r="G1148" s="320">
        <x:v>3060</x:v>
      </x:c>
      <x:c r="H1148" s="313" t="s">
        <x:v>66</x:v>
      </x:c>
      <x:c r="I1148" s="313" t="s">
        <x:v>28</x:v>
      </x:c>
      <x:c r="J1148" s="316" t="n">
        <x:f>IFERROR(G1148/F1148,0)</x:f>
        <x:v>0.20318725099601595</x:v>
      </x:c>
      <x:c r="K1148" s="312" t="str">
        <x:f>IF(B1148="Bilinmeyen Personel","Kontrol","OK")</x:f>
        <x:v>OK</x:v>
      </x:c>
    </x:row>
    <x:row r="1149" ht="15.75">
      <x:c r="A1149" s="313" t="n">
        <x:f t="shared" si="17">ROW()-ROW($A$2)+1</x:f>
        <x:v>1148</x:v>
      </x:c>
      <x:c r="B1149" s="313" t="s">
        <x:v>32</x:v>
      </x:c>
      <x:c r="C1149" s="313" t="s">
        <x:v>24</x:v>
      </x:c>
      <x:c r="D1149" s="314">
        <x:v>1</x:v>
      </x:c>
      <x:c r="E1149" s="320">
        <x:v>7600</x:v>
      </x:c>
      <x:c r="F1149" s="320">
        <x:v>7600</x:v>
      </x:c>
      <x:c r="G1149" s="320">
        <x:v>1600</x:v>
      </x:c>
      <x:c r="H1149" s="313" t="s">
        <x:v>66</x:v>
      </x:c>
      <x:c r="I1149" s="313" t="s">
        <x:v>28</x:v>
      </x:c>
      <x:c r="J1149" s="316" t="n">
        <x:f>IFERROR(G1149/F1149,0)</x:f>
        <x:v>0.21052631578947367</x:v>
      </x:c>
      <x:c r="K1149" s="312" t="str">
        <x:f>IF(B1149="Bilinmeyen Personel","Kontrol","OK")</x:f>
        <x:v>OK</x:v>
      </x:c>
    </x:row>
    <x:row r="1150" ht="15.75">
      <x:c r="A1150" s="313" t="n">
        <x:f t="shared" si="17">ROW()-ROW($A$2)+1</x:f>
        <x:v>1149</x:v>
      </x:c>
      <x:c r="B1150" s="313" t="s">
        <x:v>50</x:v>
      </x:c>
      <x:c r="C1150" s="313" t="s">
        <x:v>57</x:v>
      </x:c>
      <x:c r="D1150" s="314">
        <x:v>1</x:v>
      </x:c>
      <x:c r="E1150" s="320">
        <x:v>1500</x:v>
      </x:c>
      <x:c r="F1150" s="320">
        <x:v>1500</x:v>
      </x:c>
      <x:c r="G1150" s="320">
        <x:v>700</x:v>
      </x:c>
      <x:c r="H1150" s="313" t="s">
        <x:v>66</x:v>
      </x:c>
      <x:c r="I1150" s="313" t="s">
        <x:v>54</x:v>
      </x:c>
      <x:c r="J1150" s="316" t="n">
        <x:f>IFERROR(G1150/F1150,0)</x:f>
        <x:v>0.4666666666666667</x:v>
      </x:c>
      <x:c r="K1150" s="312" t="str">
        <x:f>IF(B1150="Bilinmeyen Personel","Kontrol","OK")</x:f>
        <x:v>OK</x:v>
      </x:c>
    </x:row>
    <x:row r="1151" ht="15.75">
      <x:c r="A1151" s="313" t="n">
        <x:f t="shared" si="17">ROW()-ROW($A$2)+1</x:f>
        <x:v>1150</x:v>
      </x:c>
      <x:c r="B1151" s="313" t="s">
        <x:v>40</x:v>
      </x:c>
      <x:c r="C1151" s="313" t="s">
        <x:v>22</x:v>
      </x:c>
      <x:c r="D1151" s="314">
        <x:v>2</x:v>
      </x:c>
      <x:c r="E1151" s="320">
        <x:v>2180</x:v>
      </x:c>
      <x:c r="F1151" s="320">
        <x:v>4360</x:v>
      </x:c>
      <x:c r="G1151" s="320">
        <x:v>1360</x:v>
      </x:c>
      <x:c r="H1151" s="313" t="s">
        <x:v>66</x:v>
      </x:c>
      <x:c r="I1151" s="313" t="s">
        <x:v>37</x:v>
      </x:c>
      <x:c r="J1151" s="316" t="n">
        <x:f>IFERROR(G1151/F1151,0)</x:f>
        <x:v>0.3119266055045872</x:v>
      </x:c>
      <x:c r="K1151" s="312" t="str">
        <x:f>IF(B1151="Bilinmeyen Personel","Kontrol","OK")</x:f>
        <x:v>OK</x:v>
      </x:c>
    </x:row>
    <x:row r="1152" ht="15.75">
      <x:c r="A1152" s="313" t="n">
        <x:f t="shared" si="17">ROW()-ROW($A$2)+1</x:f>
        <x:v>1151</x:v>
      </x:c>
      <x:c r="B1152" s="313" t="s">
        <x:v>19</x:v>
      </x:c>
      <x:c r="C1152" s="313" t="s">
        <x:v>22</x:v>
      </x:c>
      <x:c r="D1152" s="314">
        <x:v>1</x:v>
      </x:c>
      <x:c r="E1152" s="320">
        <x:v>2180</x:v>
      </x:c>
      <x:c r="F1152" s="320">
        <x:v>2180</x:v>
      </x:c>
      <x:c r="G1152" s="320">
        <x:v>680</x:v>
      </x:c>
      <x:c r="H1152" s="313" t="s">
        <x:v>66</x:v>
      </x:c>
      <x:c r="I1152" s="313" t="s">
        <x:v>31</x:v>
      </x:c>
      <x:c r="J1152" s="316" t="n">
        <x:f>IFERROR(G1152/F1152,0)</x:f>
        <x:v>0.3119266055045872</x:v>
      </x:c>
      <x:c r="K1152" s="312" t="str">
        <x:f>IF(B1152="Bilinmeyen Personel","Kontrol","OK")</x:f>
        <x:v>OK</x:v>
      </x:c>
    </x:row>
    <x:row r="1153" ht="15.75">
      <x:c r="A1153" s="313" t="n">
        <x:f t="shared" si="17">ROW()-ROW($A$2)+1</x:f>
        <x:v>1152</x:v>
      </x:c>
      <x:c r="B1153" s="313" t="s">
        <x:v>40</x:v>
      </x:c>
      <x:c r="C1153" s="313" t="s">
        <x:v>47</x:v>
      </x:c>
      <x:c r="D1153" s="314">
        <x:v>1</x:v>
      </x:c>
      <x:c r="E1153" s="320">
        <x:v>5775</x:v>
      </x:c>
      <x:c r="F1153" s="320">
        <x:v>5775</x:v>
      </x:c>
      <x:c r="G1153" s="320">
        <x:v>1775</x:v>
      </x:c>
      <x:c r="H1153" s="313" t="s">
        <x:v>66</x:v>
      </x:c>
      <x:c r="I1153" s="313" t="s">
        <x:v>18</x:v>
      </x:c>
      <x:c r="J1153" s="316" t="n">
        <x:f>IFERROR(G1153/F1153,0)</x:f>
        <x:v>0.30735930735930733</x:v>
      </x:c>
      <x:c r="K1153" s="312" t="str">
        <x:f>IF(B1153="Bilinmeyen Personel","Kontrol","OK")</x:f>
        <x:v>OK</x:v>
      </x:c>
    </x:row>
    <x:row r="1154" ht="15.75">
      <x:c r="A1154" s="313" t="n">
        <x:f t="shared" si="17">ROW()-ROW($A$2)+1</x:f>
        <x:v>1153</x:v>
      </x:c>
      <x:c r="B1154" s="313" t="s">
        <x:v>40</x:v>
      </x:c>
      <x:c r="C1154" s="313" t="s">
        <x:v>27</x:v>
      </x:c>
      <x:c r="D1154" s="314">
        <x:v>3</x:v>
      </x:c>
      <x:c r="E1154" s="320">
        <x:v>1100</x:v>
      </x:c>
      <x:c r="F1154" s="320">
        <x:v>3300</x:v>
      </x:c>
      <x:c r="G1154" s="320">
        <x:v>900</x:v>
      </x:c>
      <x:c r="H1154" s="313" t="s">
        <x:v>66</x:v>
      </x:c>
      <x:c r="I1154" s="313" t="s">
        <x:v>25</x:v>
      </x:c>
      <x:c r="J1154" s="316" t="n">
        <x:f>IFERROR(G1154/F1154,0)</x:f>
        <x:v>0.2727272727272727</x:v>
      </x:c>
      <x:c r="K1154" s="312" t="str">
        <x:f>IF(B1154="Bilinmeyen Personel","Kontrol","OK")</x:f>
        <x:v>OK</x:v>
      </x:c>
    </x:row>
    <x:row r="1155" ht="15.75">
      <x:c r="A1155" s="313" t="n">
        <x:f t="shared" ref="A1155:A1218" si="18">ROW()-ROW($A$2)+1</x:f>
        <x:v>1154</x:v>
      </x:c>
      <x:c r="B1155" s="313" t="s">
        <x:v>48</x:v>
      </x:c>
      <x:c r="C1155" s="313" t="s">
        <x:v>47</x:v>
      </x:c>
      <x:c r="D1155" s="314">
        <x:v>1</x:v>
      </x:c>
      <x:c r="E1155" s="320">
        <x:v>5775</x:v>
      </x:c>
      <x:c r="F1155" s="320">
        <x:v>5775</x:v>
      </x:c>
      <x:c r="G1155" s="320">
        <x:v>1775</x:v>
      </x:c>
      <x:c r="H1155" s="313" t="s">
        <x:v>66</x:v>
      </x:c>
      <x:c r="I1155" s="313" t="s">
        <x:v>44</x:v>
      </x:c>
      <x:c r="J1155" s="316" t="n">
        <x:f>IFERROR(G1155/F1155,0)</x:f>
        <x:v>0.30735930735930733</x:v>
      </x:c>
      <x:c r="K1155" s="312" t="str">
        <x:f>IF(B1155="Bilinmeyen Personel","Kontrol","OK")</x:f>
        <x:v>OK</x:v>
      </x:c>
    </x:row>
    <x:row r="1156" ht="15.75">
      <x:c r="A1156" s="313" t="n">
        <x:f t="shared" si="18">ROW()-ROW($A$2)+1</x:f>
        <x:v>1155</x:v>
      </x:c>
      <x:c r="B1156" s="313" t="s">
        <x:v>35</x:v>
      </x:c>
      <x:c r="C1156" s="313" t="s">
        <x:v>20</x:v>
      </x:c>
      <x:c r="D1156" s="314">
        <x:v>1</x:v>
      </x:c>
      <x:c r="E1156" s="320">
        <x:v>1350</x:v>
      </x:c>
      <x:c r="F1156" s="320">
        <x:v>1350</x:v>
      </x:c>
      <x:c r="G1156" s="320">
        <x:v>550</x:v>
      </x:c>
      <x:c r="H1156" s="313" t="s">
        <x:v>66</x:v>
      </x:c>
      <x:c r="I1156" s="313" t="s">
        <x:v>54</x:v>
      </x:c>
      <x:c r="J1156" s="316" t="n">
        <x:f>IFERROR(G1156/F1156,0)</x:f>
        <x:v>0.4074074074074074</x:v>
      </x:c>
      <x:c r="K1156" s="312" t="str">
        <x:f>IF(B1156="Bilinmeyen Personel","Kontrol","OK")</x:f>
        <x:v>OK</x:v>
      </x:c>
    </x:row>
    <x:row r="1157" ht="15.75">
      <x:c r="A1157" s="313" t="n">
        <x:f t="shared" si="18">ROW()-ROW($A$2)+1</x:f>
        <x:v>1156</x:v>
      </x:c>
      <x:c r="B1157" s="313" t="s">
        <x:v>9</x:v>
      </x:c>
      <x:c r="C1157" s="313" t="s">
        <x:v>24</x:v>
      </x:c>
      <x:c r="D1157" s="314">
        <x:v>3</x:v>
      </x:c>
      <x:c r="E1157" s="320">
        <x:v>7600</x:v>
      </x:c>
      <x:c r="F1157" s="320">
        <x:v>22800</x:v>
      </x:c>
      <x:c r="G1157" s="320">
        <x:v>4800</x:v>
      </x:c>
      <x:c r="H1157" s="313" t="s">
        <x:v>66</x:v>
      </x:c>
      <x:c r="I1157" s="313" t="s">
        <x:v>42</x:v>
      </x:c>
      <x:c r="J1157" s="316" t="n">
        <x:f>IFERROR(G1157/F1157,0)</x:f>
        <x:v>0.21052631578947367</x:v>
      </x:c>
      <x:c r="K1157" s="312" t="str">
        <x:f>IF(B1157="Bilinmeyen Personel","Kontrol","OK")</x:f>
        <x:v>OK</x:v>
      </x:c>
    </x:row>
    <x:row r="1158" ht="15.75">
      <x:c r="A1158" s="313" t="n">
        <x:f t="shared" si="18">ROW()-ROW($A$2)+1</x:f>
        <x:v>1157</x:v>
      </x:c>
      <x:c r="B1158" s="313" t="s">
        <x:v>16</x:v>
      </x:c>
      <x:c r="C1158" s="313" t="s">
        <x:v>26</x:v>
      </x:c>
      <x:c r="D1158" s="314">
        <x:v>3</x:v>
      </x:c>
      <x:c r="E1158" s="320">
        <x:v>7250</x:v>
      </x:c>
      <x:c r="F1158" s="320">
        <x:v>21750</x:v>
      </x:c>
      <x:c r="G1158" s="320">
        <x:v>6750</x:v>
      </x:c>
      <x:c r="H1158" s="313" t="s">
        <x:v>66</x:v>
      </x:c>
      <x:c r="I1158" s="313" t="s">
        <x:v>28</x:v>
      </x:c>
      <x:c r="J1158" s="316" t="n">
        <x:f>IFERROR(G1158/F1158,0)</x:f>
        <x:v>0.3103448275862069</x:v>
      </x:c>
      <x:c r="K1158" s="312" t="str">
        <x:f>IF(B1158="Bilinmeyen Personel","Kontrol","OK")</x:f>
        <x:v>OK</x:v>
      </x:c>
    </x:row>
    <x:row r="1159" ht="15.75">
      <x:c r="A1159" s="313" t="n">
        <x:f t="shared" si="18">ROW()-ROW($A$2)+1</x:f>
        <x:v>1158</x:v>
      </x:c>
      <x:c r="B1159" s="313" t="s">
        <x:v>50</x:v>
      </x:c>
      <x:c r="C1159" s="313" t="s">
        <x:v>43</x:v>
      </x:c>
      <x:c r="D1159" s="314">
        <x:v>2</x:v>
      </x:c>
      <x:c r="E1159" s="320">
        <x:v>1490</x:v>
      </x:c>
      <x:c r="F1159" s="320">
        <x:v>2980</x:v>
      </x:c>
      <x:c r="G1159" s="320">
        <x:v>1380</x:v>
      </x:c>
      <x:c r="H1159" s="313" t="s">
        <x:v>66</x:v>
      </x:c>
      <x:c r="I1159" s="313" t="s">
        <x:v>15</x:v>
      </x:c>
      <x:c r="J1159" s="316" t="n">
        <x:f>IFERROR(G1159/F1159,0)</x:f>
        <x:v>0.46308724832214765</x:v>
      </x:c>
      <x:c r="K1159" s="312" t="str">
        <x:f>IF(B1159="Bilinmeyen Personel","Kontrol","OK")</x:f>
        <x:v>OK</x:v>
      </x:c>
    </x:row>
    <x:row r="1160" ht="15.75">
      <x:c r="A1160" s="313" t="n">
        <x:f t="shared" si="18">ROW()-ROW($A$2)+1</x:f>
        <x:v>1159</x:v>
      </x:c>
      <x:c r="B1160" s="313" t="s">
        <x:v>19</x:v>
      </x:c>
      <x:c r="C1160" s="313" t="s">
        <x:v>43</x:v>
      </x:c>
      <x:c r="D1160" s="314">
        <x:v>2</x:v>
      </x:c>
      <x:c r="E1160" s="320">
        <x:v>1490</x:v>
      </x:c>
      <x:c r="F1160" s="320">
        <x:v>2980</x:v>
      </x:c>
      <x:c r="G1160" s="320">
        <x:v>1380</x:v>
      </x:c>
      <x:c r="H1160" s="313" t="s">
        <x:v>66</x:v>
      </x:c>
      <x:c r="I1160" s="313" t="s">
        <x:v>12</x:v>
      </x:c>
      <x:c r="J1160" s="316" t="n">
        <x:f>IFERROR(G1160/F1160,0)</x:f>
        <x:v>0.46308724832214765</x:v>
      </x:c>
      <x:c r="K1160" s="312" t="str">
        <x:f>IF(B1160="Bilinmeyen Personel","Kontrol","OK")</x:f>
        <x:v>OK</x:v>
      </x:c>
    </x:row>
    <x:row r="1161" ht="15.75">
      <x:c r="A1161" s="313" t="n">
        <x:f t="shared" si="18">ROW()-ROW($A$2)+1</x:f>
        <x:v>1160</x:v>
      </x:c>
      <x:c r="B1161" s="313" t="s">
        <x:v>38</x:v>
      </x:c>
      <x:c r="C1161" s="313" t="s">
        <x:v>34</x:v>
      </x:c>
      <x:c r="D1161" s="314">
        <x:v>2</x:v>
      </x:c>
      <x:c r="E1161" s="320">
        <x:v>1090</x:v>
      </x:c>
      <x:c r="F1161" s="320">
        <x:v>2180</x:v>
      </x:c>
      <x:c r="G1161" s="320">
        <x:v>580</x:v>
      </x:c>
      <x:c r="H1161" s="313" t="s">
        <x:v>66</x:v>
      </x:c>
      <x:c r="I1161" s="313" t="s">
        <x:v>46</x:v>
      </x:c>
      <x:c r="J1161" s="316" t="n">
        <x:f>IFERROR(G1161/F1161,0)</x:f>
        <x:v>0.26605504587155965</x:v>
      </x:c>
      <x:c r="K1161" s="312" t="str">
        <x:f>IF(B1161="Bilinmeyen Personel","Kontrol","OK")</x:f>
        <x:v>OK</x:v>
      </x:c>
    </x:row>
    <x:row r="1162" ht="15.75">
      <x:c r="A1162" s="313" t="n">
        <x:f t="shared" si="18">ROW()-ROW($A$2)+1</x:f>
        <x:v>1161</x:v>
      </x:c>
      <x:c r="B1162" s="313" t="s">
        <x:v>38</x:v>
      </x:c>
      <x:c r="C1162" s="313" t="s">
        <x:v>30</x:v>
      </x:c>
      <x:c r="D1162" s="314">
        <x:v>3</x:v>
      </x:c>
      <x:c r="E1162" s="320">
        <x:v>1200</x:v>
      </x:c>
      <x:c r="F1162" s="320">
        <x:v>3600</x:v>
      </x:c>
      <x:c r="G1162" s="320">
        <x:v>1200</x:v>
      </x:c>
      <x:c r="H1162" s="313" t="s">
        <x:v>66</x:v>
      </x:c>
      <x:c r="I1162" s="313" t="s">
        <x:v>44</x:v>
      </x:c>
      <x:c r="J1162" s="316" t="n">
        <x:f>IFERROR(G1162/F1162,0)</x:f>
        <x:v>0.3333333333333333</x:v>
      </x:c>
      <x:c r="K1162" s="312" t="str">
        <x:f>IF(B1162="Bilinmeyen Personel","Kontrol","OK")</x:f>
        <x:v>OK</x:v>
      </x:c>
    </x:row>
    <x:row r="1163" ht="15.75">
      <x:c r="A1163" s="313" t="n">
        <x:f t="shared" si="18">ROW()-ROW($A$2)+1</x:f>
        <x:v>1162</x:v>
      </x:c>
      <x:c r="B1163" s="313" t="s">
        <x:v>50</x:v>
      </x:c>
      <x:c r="C1163" s="313" t="s">
        <x:v>34</x:v>
      </x:c>
      <x:c r="D1163" s="314">
        <x:v>2</x:v>
      </x:c>
      <x:c r="E1163" s="320">
        <x:v>1090</x:v>
      </x:c>
      <x:c r="F1163" s="320">
        <x:v>2180</x:v>
      </x:c>
      <x:c r="G1163" s="320">
        <x:v>580</x:v>
      </x:c>
      <x:c r="H1163" s="313" t="s">
        <x:v>66</x:v>
      </x:c>
      <x:c r="I1163" s="313" t="s">
        <x:v>42</x:v>
      </x:c>
      <x:c r="J1163" s="316" t="n">
        <x:f>IFERROR(G1163/F1163,0)</x:f>
        <x:v>0.26605504587155965</x:v>
      </x:c>
      <x:c r="K1163" s="312" t="str">
        <x:f>IF(B1163="Bilinmeyen Personel","Kontrol","OK")</x:f>
        <x:v>OK</x:v>
      </x:c>
    </x:row>
    <x:row r="1164" ht="15.75">
      <x:c r="A1164" s="313" t="n">
        <x:f t="shared" si="18">ROW()-ROW($A$2)+1</x:f>
        <x:v>1163</x:v>
      </x:c>
      <x:c r="B1164" s="313" t="s">
        <x:v>50</x:v>
      </x:c>
      <x:c r="C1164" s="313" t="s">
        <x:v>22</x:v>
      </x:c>
      <x:c r="D1164" s="314">
        <x:v>3</x:v>
      </x:c>
      <x:c r="E1164" s="320">
        <x:v>2180</x:v>
      </x:c>
      <x:c r="F1164" s="320">
        <x:v>6540</x:v>
      </x:c>
      <x:c r="G1164" s="320">
        <x:v>2040</x:v>
      </x:c>
      <x:c r="H1164" s="313" t="s">
        <x:v>66</x:v>
      </x:c>
      <x:c r="I1164" s="313" t="s">
        <x:v>46</x:v>
      </x:c>
      <x:c r="J1164" s="316" t="n">
        <x:f>IFERROR(G1164/F1164,0)</x:f>
        <x:v>0.3119266055045872</x:v>
      </x:c>
      <x:c r="K1164" s="312" t="str">
        <x:f>IF(B1164="Bilinmeyen Personel","Kontrol","OK")</x:f>
        <x:v>OK</x:v>
      </x:c>
    </x:row>
    <x:row r="1165" ht="15.75">
      <x:c r="A1165" s="313" t="n">
        <x:f t="shared" si="18">ROW()-ROW($A$2)+1</x:f>
        <x:v>1164</x:v>
      </x:c>
      <x:c r="B1165" s="313" t="s">
        <x:v>16</x:v>
      </x:c>
      <x:c r="C1165" s="313" t="s">
        <x:v>56</x:v>
      </x:c>
      <x:c r="D1165" s="314">
        <x:v>3</x:v>
      </x:c>
      <x:c r="E1165" s="320">
        <x:v>5300</x:v>
      </x:c>
      <x:c r="F1165" s="320">
        <x:v>15900</x:v>
      </x:c>
      <x:c r="G1165" s="320">
        <x:v>3900</x:v>
      </x:c>
      <x:c r="H1165" s="313" t="s">
        <x:v>66</x:v>
      </x:c>
      <x:c r="I1165" s="313" t="s">
        <x:v>44</x:v>
      </x:c>
      <x:c r="J1165" s="316" t="n">
        <x:f>IFERROR(G1165/F1165,0)</x:f>
        <x:v>0.24528301886792453</x:v>
      </x:c>
      <x:c r="K1165" s="312" t="str">
        <x:f>IF(B1165="Bilinmeyen Personel","Kontrol","OK")</x:f>
        <x:v>OK</x:v>
      </x:c>
    </x:row>
    <x:row r="1166" ht="15.75">
      <x:c r="A1166" s="313" t="n">
        <x:f t="shared" si="18">ROW()-ROW($A$2)+1</x:f>
        <x:v>1165</x:v>
      </x:c>
      <x:c r="B1166" s="313" t="s">
        <x:v>50</x:v>
      </x:c>
      <x:c r="C1166" s="313" t="s">
        <x:v>56</x:v>
      </x:c>
      <x:c r="D1166" s="314">
        <x:v>2</x:v>
      </x:c>
      <x:c r="E1166" s="320">
        <x:v>5300</x:v>
      </x:c>
      <x:c r="F1166" s="320">
        <x:v>10600</x:v>
      </x:c>
      <x:c r="G1166" s="320">
        <x:v>2600</x:v>
      </x:c>
      <x:c r="H1166" s="313" t="s">
        <x:v>66</x:v>
      </x:c>
      <x:c r="I1166" s="313" t="s">
        <x:v>44</x:v>
      </x:c>
      <x:c r="J1166" s="316" t="n">
        <x:f>IFERROR(G1166/F1166,0)</x:f>
        <x:v>0.24528301886792453</x:v>
      </x:c>
      <x:c r="K1166" s="312" t="str">
        <x:f>IF(B1166="Bilinmeyen Personel","Kontrol","OK")</x:f>
        <x:v>OK</x:v>
      </x:c>
    </x:row>
    <x:row r="1167" ht="15.75">
      <x:c r="A1167" s="313" t="n">
        <x:f t="shared" si="18">ROW()-ROW($A$2)+1</x:f>
        <x:v>1166</x:v>
      </x:c>
      <x:c r="B1167" s="313" t="s">
        <x:v>29</x:v>
      </x:c>
      <x:c r="C1167" s="313" t="s">
        <x:v>26</x:v>
      </x:c>
      <x:c r="D1167" s="314">
        <x:v>2</x:v>
      </x:c>
      <x:c r="E1167" s="320">
        <x:v>7250</x:v>
      </x:c>
      <x:c r="F1167" s="320">
        <x:v>14500</x:v>
      </x:c>
      <x:c r="G1167" s="320">
        <x:v>4500</x:v>
      </x:c>
      <x:c r="H1167" s="313" t="s">
        <x:v>66</x:v>
      </x:c>
      <x:c r="I1167" s="313" t="s">
        <x:v>31</x:v>
      </x:c>
      <x:c r="J1167" s="316" t="n">
        <x:f>IFERROR(G1167/F1167,0)</x:f>
        <x:v>0.3103448275862069</x:v>
      </x:c>
      <x:c r="K1167" s="312" t="str">
        <x:f>IF(B1167="Bilinmeyen Personel","Kontrol","OK")</x:f>
        <x:v>OK</x:v>
      </x:c>
    </x:row>
    <x:row r="1168" ht="15.75">
      <x:c r="A1168" s="313" t="n">
        <x:f t="shared" si="18">ROW()-ROW($A$2)+1</x:f>
        <x:v>1167</x:v>
      </x:c>
      <x:c r="B1168" s="313" t="s">
        <x:v>29</x:v>
      </x:c>
      <x:c r="C1168" s="313" t="s">
        <x:v>53</x:v>
      </x:c>
      <x:c r="D1168" s="314">
        <x:v>3</x:v>
      </x:c>
      <x:c r="E1168" s="320">
        <x:v>1200</x:v>
      </x:c>
      <x:c r="F1168" s="320">
        <x:v>3600</x:v>
      </x:c>
      <x:c r="G1168" s="320">
        <x:v>1200</x:v>
      </x:c>
      <x:c r="H1168" s="313" t="s">
        <x:v>66</x:v>
      </x:c>
      <x:c r="I1168" s="313" t="s">
        <x:v>42</x:v>
      </x:c>
      <x:c r="J1168" s="316" t="n">
        <x:f>IFERROR(G1168/F1168,0)</x:f>
        <x:v>0.3333333333333333</x:v>
      </x:c>
      <x:c r="K1168" s="312" t="str">
        <x:f>IF(B1168="Bilinmeyen Personel","Kontrol","OK")</x:f>
        <x:v>OK</x:v>
      </x:c>
    </x:row>
    <x:row r="1169" ht="15.75">
      <x:c r="A1169" s="313" t="n">
        <x:f t="shared" si="18">ROW()-ROW($A$2)+1</x:f>
        <x:v>1168</x:v>
      </x:c>
      <x:c r="B1169" s="313" t="s">
        <x:v>19</x:v>
      </x:c>
      <x:c r="C1169" s="313" t="s">
        <x:v>10</x:v>
      </x:c>
      <x:c r="D1169" s="314">
        <x:v>1</x:v>
      </x:c>
      <x:c r="E1169" s="320">
        <x:v>6000</x:v>
      </x:c>
      <x:c r="F1169" s="320">
        <x:v>6000</x:v>
      </x:c>
      <x:c r="G1169" s="320">
        <x:v>2000</x:v>
      </x:c>
      <x:c r="H1169" s="313" t="s">
        <x:v>66</x:v>
      </x:c>
      <x:c r="I1169" s="313" t="s">
        <x:v>25</x:v>
      </x:c>
      <x:c r="J1169" s="316" t="n">
        <x:f>IFERROR(G1169/F1169,0)</x:f>
        <x:v>0.3333333333333333</x:v>
      </x:c>
      <x:c r="K1169" s="312" t="str">
        <x:f>IF(B1169="Bilinmeyen Personel","Kontrol","OK")</x:f>
        <x:v>OK</x:v>
      </x:c>
    </x:row>
    <x:row r="1170" ht="15.75">
      <x:c r="A1170" s="313" t="n">
        <x:f t="shared" si="18">ROW()-ROW($A$2)+1</x:f>
        <x:v>1169</x:v>
      </x:c>
      <x:c r="B1170" s="313" t="s">
        <x:v>16</x:v>
      </x:c>
      <x:c r="C1170" s="313" t="s">
        <x:v>17</x:v>
      </x:c>
      <x:c r="D1170" s="314">
        <x:v>3</x:v>
      </x:c>
      <x:c r="E1170" s="320">
        <x:v>8450</x:v>
      </x:c>
      <x:c r="F1170" s="320">
        <x:v>25350</x:v>
      </x:c>
      <x:c r="G1170" s="320">
        <x:v>7350</x:v>
      </x:c>
      <x:c r="H1170" s="313" t="s">
        <x:v>66</x:v>
      </x:c>
      <x:c r="I1170" s="313" t="s">
        <x:v>42</x:v>
      </x:c>
      <x:c r="J1170" s="316" t="n">
        <x:f>IFERROR(G1170/F1170,0)</x:f>
        <x:v>0.28994082840236685</x:v>
      </x:c>
      <x:c r="K1170" s="312" t="str">
        <x:f>IF(B1170="Bilinmeyen Personel","Kontrol","OK")</x:f>
        <x:v>OK</x:v>
      </x:c>
    </x:row>
    <x:row r="1171" ht="15.75">
      <x:c r="A1171" s="313" t="n">
        <x:f t="shared" si="18">ROW()-ROW($A$2)+1</x:f>
        <x:v>1170</x:v>
      </x:c>
      <x:c r="B1171" s="313" t="s">
        <x:v>32</x:v>
      </x:c>
      <x:c r="C1171" s="313" t="s">
        <x:v>45</x:v>
      </x:c>
      <x:c r="D1171" s="314">
        <x:v>1</x:v>
      </x:c>
      <x:c r="E1171" s="320">
        <x:v>4200</x:v>
      </x:c>
      <x:c r="F1171" s="320">
        <x:v>4200</x:v>
      </x:c>
      <x:c r="G1171" s="320">
        <x:v>1200</x:v>
      </x:c>
      <x:c r="H1171" s="313" t="s">
        <x:v>66</x:v>
      </x:c>
      <x:c r="I1171" s="313" t="s">
        <x:v>28</x:v>
      </x:c>
      <x:c r="J1171" s="316" t="n">
        <x:f>IFERROR(G1171/F1171,0)</x:f>
        <x:v>0.2857142857142857</x:v>
      </x:c>
      <x:c r="K1171" s="312" t="str">
        <x:f>IF(B1171="Bilinmeyen Personel","Kontrol","OK")</x:f>
        <x:v>OK</x:v>
      </x:c>
    </x:row>
    <x:row r="1172" ht="15.75">
      <x:c r="A1172" s="313" t="n">
        <x:f t="shared" si="18">ROW()-ROW($A$2)+1</x:f>
        <x:v>1171</x:v>
      </x:c>
      <x:c r="B1172" s="313" t="s">
        <x:v>32</x:v>
      </x:c>
      <x:c r="C1172" s="313" t="s">
        <x:v>39</x:v>
      </x:c>
      <x:c r="D1172" s="314">
        <x:v>3</x:v>
      </x:c>
      <x:c r="E1172" s="320">
        <x:v>10590</x:v>
      </x:c>
      <x:c r="F1172" s="320">
        <x:v>31770</x:v>
      </x:c>
      <x:c r="G1172" s="320">
        <x:v>13770</x:v>
      </x:c>
      <x:c r="H1172" s="313" t="s">
        <x:v>66</x:v>
      </x:c>
      <x:c r="I1172" s="313" t="s">
        <x:v>12</x:v>
      </x:c>
      <x:c r="J1172" s="316" t="n">
        <x:f>IFERROR(G1172/F1172,0)</x:f>
        <x:v>0.43342776203966005</x:v>
      </x:c>
      <x:c r="K1172" s="312" t="str">
        <x:f>IF(B1172="Bilinmeyen Personel","Kontrol","OK")</x:f>
        <x:v>OK</x:v>
      </x:c>
    </x:row>
    <x:row r="1173" ht="15.75">
      <x:c r="A1173" s="313" t="n">
        <x:f t="shared" si="18">ROW()-ROW($A$2)+1</x:f>
        <x:v>1172</x:v>
      </x:c>
      <x:c r="B1173" s="313" t="s">
        <x:v>29</x:v>
      </x:c>
      <x:c r="C1173" s="313" t="s">
        <x:v>53</x:v>
      </x:c>
      <x:c r="D1173" s="314">
        <x:v>1</x:v>
      </x:c>
      <x:c r="E1173" s="320">
        <x:v>1200</x:v>
      </x:c>
      <x:c r="F1173" s="320">
        <x:v>1200</x:v>
      </x:c>
      <x:c r="G1173" s="320">
        <x:v>400</x:v>
      </x:c>
      <x:c r="H1173" s="313" t="s">
        <x:v>66</x:v>
      </x:c>
      <x:c r="I1173" s="313" t="s">
        <x:v>21</x:v>
      </x:c>
      <x:c r="J1173" s="316" t="n">
        <x:f>IFERROR(G1173/F1173,0)</x:f>
        <x:v>0.3333333333333333</x:v>
      </x:c>
      <x:c r="K1173" s="312" t="str">
        <x:f>IF(B1173="Bilinmeyen Personel","Kontrol","OK")</x:f>
        <x:v>OK</x:v>
      </x:c>
    </x:row>
    <x:row r="1174" ht="15.75">
      <x:c r="A1174" s="313" t="n">
        <x:f t="shared" si="18">ROW()-ROW($A$2)+1</x:f>
        <x:v>1173</x:v>
      </x:c>
      <x:c r="B1174" s="313" t="s">
        <x:v>48</x:v>
      </x:c>
      <x:c r="C1174" s="313" t="s">
        <x:v>27</x:v>
      </x:c>
      <x:c r="D1174" s="314">
        <x:v>2</x:v>
      </x:c>
      <x:c r="E1174" s="320">
        <x:v>1100</x:v>
      </x:c>
      <x:c r="F1174" s="320">
        <x:v>2200</x:v>
      </x:c>
      <x:c r="G1174" s="320">
        <x:v>600</x:v>
      </x:c>
      <x:c r="H1174" s="313" t="s">
        <x:v>66</x:v>
      </x:c>
      <x:c r="I1174" s="313" t="s">
        <x:v>46</x:v>
      </x:c>
      <x:c r="J1174" s="316" t="n">
        <x:f>IFERROR(G1174/F1174,0)</x:f>
        <x:v>0.2727272727272727</x:v>
      </x:c>
      <x:c r="K1174" s="312" t="str">
        <x:f>IF(B1174="Bilinmeyen Personel","Kontrol","OK")</x:f>
        <x:v>OK</x:v>
      </x:c>
    </x:row>
    <x:row r="1175" ht="15.75">
      <x:c r="A1175" s="313" t="n">
        <x:f t="shared" si="18">ROW()-ROW($A$2)+1</x:f>
        <x:v>1174</x:v>
      </x:c>
      <x:c r="B1175" s="313" t="s">
        <x:v>40</x:v>
      </x:c>
      <x:c r="C1175" s="313" t="s">
        <x:v>58</x:v>
      </x:c>
      <x:c r="D1175" s="314">
        <x:v>2</x:v>
      </x:c>
      <x:c r="E1175" s="320">
        <x:v>3700</x:v>
      </x:c>
      <x:c r="F1175" s="320">
        <x:v>7400</x:v>
      </x:c>
      <x:c r="G1175" s="320">
        <x:v>1400</x:v>
      </x:c>
      <x:c r="H1175" s="313" t="s">
        <x:v>66</x:v>
      </x:c>
      <x:c r="I1175" s="313" t="s">
        <x:v>25</x:v>
      </x:c>
      <x:c r="J1175" s="316" t="n">
        <x:f>IFERROR(G1175/F1175,0)</x:f>
        <x:v>0.1891891891891892</x:v>
      </x:c>
      <x:c r="K1175" s="312" t="str">
        <x:f>IF(B1175="Bilinmeyen Personel","Kontrol","OK")</x:f>
        <x:v>OK</x:v>
      </x:c>
    </x:row>
    <x:row r="1176" ht="15.75">
      <x:c r="A1176" s="313" t="n">
        <x:f t="shared" si="18">ROW()-ROW($A$2)+1</x:f>
        <x:v>1175</x:v>
      </x:c>
      <x:c r="B1176" s="313" t="s">
        <x:v>13</x:v>
      </x:c>
      <x:c r="C1176" s="313" t="s">
        <x:v>58</x:v>
      </x:c>
      <x:c r="D1176" s="314">
        <x:v>1</x:v>
      </x:c>
      <x:c r="E1176" s="320">
        <x:v>3700</x:v>
      </x:c>
      <x:c r="F1176" s="320">
        <x:v>3700</x:v>
      </x:c>
      <x:c r="G1176" s="320">
        <x:v>700</x:v>
      </x:c>
      <x:c r="H1176" s="313" t="s">
        <x:v>66</x:v>
      </x:c>
      <x:c r="I1176" s="313" t="s">
        <x:v>28</x:v>
      </x:c>
      <x:c r="J1176" s="316" t="n">
        <x:f>IFERROR(G1176/F1176,0)</x:f>
        <x:v>0.1891891891891892</x:v>
      </x:c>
      <x:c r="K1176" s="312" t="str">
        <x:f>IF(B1176="Bilinmeyen Personel","Kontrol","OK")</x:f>
        <x:v>OK</x:v>
      </x:c>
    </x:row>
    <x:row r="1177" ht="15.75">
      <x:c r="A1177" s="313" t="n">
        <x:f t="shared" si="18">ROW()-ROW($A$2)+1</x:f>
        <x:v>1176</x:v>
      </x:c>
      <x:c r="B1177" s="313" t="s">
        <x:v>32</x:v>
      </x:c>
      <x:c r="C1177" s="313" t="s">
        <x:v>27</x:v>
      </x:c>
      <x:c r="D1177" s="314">
        <x:v>3</x:v>
      </x:c>
      <x:c r="E1177" s="320">
        <x:v>1100</x:v>
      </x:c>
      <x:c r="F1177" s="320">
        <x:v>3300</x:v>
      </x:c>
      <x:c r="G1177" s="320">
        <x:v>900</x:v>
      </x:c>
      <x:c r="H1177" s="313" t="s">
        <x:v>67</x:v>
      </x:c>
      <x:c r="I1177" s="313" t="s">
        <x:v>37</x:v>
      </x:c>
      <x:c r="J1177" s="316" t="n">
        <x:f>IFERROR(G1177/F1177,0)</x:f>
        <x:v>0.2727272727272727</x:v>
      </x:c>
      <x:c r="K1177" s="312" t="str">
        <x:f>IF(B1177="Bilinmeyen Personel","Kontrol","OK")</x:f>
        <x:v>OK</x:v>
      </x:c>
    </x:row>
    <x:row r="1178" ht="15.75">
      <x:c r="A1178" s="313" t="n">
        <x:f t="shared" si="18">ROW()-ROW($A$2)+1</x:f>
        <x:v>1177</x:v>
      </x:c>
      <x:c r="B1178" s="313" t="s">
        <x:v>29</x:v>
      </x:c>
      <x:c r="C1178" s="313" t="s">
        <x:v>58</x:v>
      </x:c>
      <x:c r="D1178" s="314">
        <x:v>1</x:v>
      </x:c>
      <x:c r="E1178" s="320">
        <x:v>3700</x:v>
      </x:c>
      <x:c r="F1178" s="320">
        <x:v>3700</x:v>
      </x:c>
      <x:c r="G1178" s="320">
        <x:v>700</x:v>
      </x:c>
      <x:c r="H1178" s="313" t="s">
        <x:v>67</x:v>
      </x:c>
      <x:c r="I1178" s="313" t="s">
        <x:v>37</x:v>
      </x:c>
      <x:c r="J1178" s="316" t="n">
        <x:f>IFERROR(G1178/F1178,0)</x:f>
        <x:v>0.1891891891891892</x:v>
      </x:c>
      <x:c r="K1178" s="312" t="str">
        <x:f>IF(B1178="Bilinmeyen Personel","Kontrol","OK")</x:f>
        <x:v>OK</x:v>
      </x:c>
    </x:row>
    <x:row r="1179" ht="15.75">
      <x:c r="A1179" s="313" t="n">
        <x:f t="shared" si="18">ROW()-ROW($A$2)+1</x:f>
        <x:v>1178</x:v>
      </x:c>
      <x:c r="B1179" s="313" t="s">
        <x:v>48</x:v>
      </x:c>
      <x:c r="C1179" s="313" t="s">
        <x:v>43</x:v>
      </x:c>
      <x:c r="D1179" s="314">
        <x:v>1</x:v>
      </x:c>
      <x:c r="E1179" s="320">
        <x:v>1490</x:v>
      </x:c>
      <x:c r="F1179" s="320">
        <x:v>1490</x:v>
      </x:c>
      <x:c r="G1179" s="320">
        <x:v>690</x:v>
      </x:c>
      <x:c r="H1179" s="313" t="s">
        <x:v>67</x:v>
      </x:c>
      <x:c r="I1179" s="313" t="s">
        <x:v>31</x:v>
      </x:c>
      <x:c r="J1179" s="316" t="n">
        <x:f>IFERROR(G1179/F1179,0)</x:f>
        <x:v>0.46308724832214765</x:v>
      </x:c>
      <x:c r="K1179" s="312" t="str">
        <x:f>IF(B1179="Bilinmeyen Personel","Kontrol","OK")</x:f>
        <x:v>OK</x:v>
      </x:c>
    </x:row>
    <x:row r="1180" ht="15.75">
      <x:c r="A1180" s="313" t="n">
        <x:f t="shared" si="18">ROW()-ROW($A$2)+1</x:f>
        <x:v>1179</x:v>
      </x:c>
      <x:c r="B1180" s="313" t="s">
        <x:v>40</x:v>
      </x:c>
      <x:c r="C1180" s="313" t="s">
        <x:v>57</x:v>
      </x:c>
      <x:c r="D1180" s="314">
        <x:v>1</x:v>
      </x:c>
      <x:c r="E1180" s="320">
        <x:v>1500</x:v>
      </x:c>
      <x:c r="F1180" s="320">
        <x:v>1500</x:v>
      </x:c>
      <x:c r="G1180" s="320">
        <x:v>700</x:v>
      </x:c>
      <x:c r="H1180" s="313" t="s">
        <x:v>67</x:v>
      </x:c>
      <x:c r="I1180" s="313" t="s">
        <x:v>25</x:v>
      </x:c>
      <x:c r="J1180" s="316" t="n">
        <x:f>IFERROR(G1180/F1180,0)</x:f>
        <x:v>0.4666666666666667</x:v>
      </x:c>
      <x:c r="K1180" s="312" t="str">
        <x:f>IF(B1180="Bilinmeyen Personel","Kontrol","OK")</x:f>
        <x:v>OK</x:v>
      </x:c>
    </x:row>
    <x:row r="1181" ht="15.75">
      <x:c r="A1181" s="313" t="n">
        <x:f t="shared" si="18">ROW()-ROW($A$2)+1</x:f>
        <x:v>1180</x:v>
      </x:c>
      <x:c r="B1181" s="313" t="s">
        <x:v>38</x:v>
      </x:c>
      <x:c r="C1181" s="313" t="s">
        <x:v>34</x:v>
      </x:c>
      <x:c r="D1181" s="314">
        <x:v>2</x:v>
      </x:c>
      <x:c r="E1181" s="320">
        <x:v>1090</x:v>
      </x:c>
      <x:c r="F1181" s="320">
        <x:v>2180</x:v>
      </x:c>
      <x:c r="G1181" s="320">
        <x:v>580</x:v>
      </x:c>
      <x:c r="H1181" s="313" t="s">
        <x:v>67</x:v>
      </x:c>
      <x:c r="I1181" s="313" t="s">
        <x:v>44</x:v>
      </x:c>
      <x:c r="J1181" s="316" t="n">
        <x:f>IFERROR(G1181/F1181,0)</x:f>
        <x:v>0.26605504587155965</x:v>
      </x:c>
      <x:c r="K1181" s="312" t="str">
        <x:f>IF(B1181="Bilinmeyen Personel","Kontrol","OK")</x:f>
        <x:v>OK</x:v>
      </x:c>
    </x:row>
    <x:row r="1182" ht="15.75">
      <x:c r="A1182" s="313" t="n">
        <x:f t="shared" si="18">ROW()-ROW($A$2)+1</x:f>
        <x:v>1181</x:v>
      </x:c>
      <x:c r="B1182" s="313" t="s">
        <x:v>48</x:v>
      </x:c>
      <x:c r="C1182" s="313" t="s">
        <x:v>33</x:v>
      </x:c>
      <x:c r="D1182" s="314">
        <x:v>3</x:v>
      </x:c>
      <x:c r="E1182" s="320">
        <x:v>1800</x:v>
      </x:c>
      <x:c r="F1182" s="320">
        <x:v>5400</x:v>
      </x:c>
      <x:c r="G1182" s="320">
        <x:v>3000</x:v>
      </x:c>
      <x:c r="H1182" s="313" t="s">
        <x:v>67</x:v>
      </x:c>
      <x:c r="I1182" s="313" t="s">
        <x:v>41</x:v>
      </x:c>
      <x:c r="J1182" s="316" t="n">
        <x:f>IFERROR(G1182/F1182,0)</x:f>
        <x:v>0.5555555555555556</x:v>
      </x:c>
      <x:c r="K1182" s="312" t="str">
        <x:f>IF(B1182="Bilinmeyen Personel","Kontrol","OK")</x:f>
        <x:v>OK</x:v>
      </x:c>
    </x:row>
    <x:row r="1183" ht="15.75">
      <x:c r="A1183" s="313" t="n">
        <x:f t="shared" si="18">ROW()-ROW($A$2)+1</x:f>
        <x:v>1182</x:v>
      </x:c>
      <x:c r="B1183" s="313" t="s">
        <x:v>35</x:v>
      </x:c>
      <x:c r="C1183" s="313" t="s">
        <x:v>55</x:v>
      </x:c>
      <x:c r="D1183" s="314">
        <x:v>2</x:v>
      </x:c>
      <x:c r="E1183" s="320">
        <x:v>7530</x:v>
      </x:c>
      <x:c r="F1183" s="320">
        <x:v>15060</x:v>
      </x:c>
      <x:c r="G1183" s="320">
        <x:v>3060</x:v>
      </x:c>
      <x:c r="H1183" s="313" t="s">
        <x:v>67</x:v>
      </x:c>
      <x:c r="I1183" s="313" t="s">
        <x:v>12</x:v>
      </x:c>
      <x:c r="J1183" s="316" t="n">
        <x:f>IFERROR(G1183/F1183,0)</x:f>
        <x:v>0.20318725099601595</x:v>
      </x:c>
      <x:c r="K1183" s="312" t="str">
        <x:f>IF(B1183="Bilinmeyen Personel","Kontrol","OK")</x:f>
        <x:v>OK</x:v>
      </x:c>
    </x:row>
    <x:row r="1184" ht="15.75">
      <x:c r="A1184" s="313" t="n">
        <x:f t="shared" si="18">ROW()-ROW($A$2)+1</x:f>
        <x:v>1183</x:v>
      </x:c>
      <x:c r="B1184" s="313" t="s">
        <x:v>32</x:v>
      </x:c>
      <x:c r="C1184" s="313" t="s">
        <x:v>27</x:v>
      </x:c>
      <x:c r="D1184" s="314">
        <x:v>3</x:v>
      </x:c>
      <x:c r="E1184" s="320">
        <x:v>1100</x:v>
      </x:c>
      <x:c r="F1184" s="320">
        <x:v>3300</x:v>
      </x:c>
      <x:c r="G1184" s="320">
        <x:v>900</x:v>
      </x:c>
      <x:c r="H1184" s="313" t="s">
        <x:v>67</x:v>
      </x:c>
      <x:c r="I1184" s="313" t="s">
        <x:v>37</x:v>
      </x:c>
      <x:c r="J1184" s="316" t="n">
        <x:f>IFERROR(G1184/F1184,0)</x:f>
        <x:v>0.2727272727272727</x:v>
      </x:c>
      <x:c r="K1184" s="312" t="str">
        <x:f>IF(B1184="Bilinmeyen Personel","Kontrol","OK")</x:f>
        <x:v>OK</x:v>
      </x:c>
    </x:row>
    <x:row r="1185" ht="15.75">
      <x:c r="A1185" s="313" t="n">
        <x:f t="shared" si="18">ROW()-ROW($A$2)+1</x:f>
        <x:v>1184</x:v>
      </x:c>
      <x:c r="B1185" s="313" t="s">
        <x:v>40</x:v>
      </x:c>
      <x:c r="C1185" s="313" t="s">
        <x:v>20</x:v>
      </x:c>
      <x:c r="D1185" s="314">
        <x:v>3</x:v>
      </x:c>
      <x:c r="E1185" s="320">
        <x:v>1350</x:v>
      </x:c>
      <x:c r="F1185" s="320">
        <x:v>4050</x:v>
      </x:c>
      <x:c r="G1185" s="320">
        <x:v>1650</x:v>
      </x:c>
      <x:c r="H1185" s="313" t="s">
        <x:v>67</x:v>
      </x:c>
      <x:c r="I1185" s="313" t="s">
        <x:v>31</x:v>
      </x:c>
      <x:c r="J1185" s="316" t="n">
        <x:f>IFERROR(G1185/F1185,0)</x:f>
        <x:v>0.4074074074074074</x:v>
      </x:c>
      <x:c r="K1185" s="312" t="str">
        <x:f>IF(B1185="Bilinmeyen Personel","Kontrol","OK")</x:f>
        <x:v>OK</x:v>
      </x:c>
    </x:row>
    <x:row r="1186" ht="15.75">
      <x:c r="A1186" s="313" t="n">
        <x:f t="shared" si="18">ROW()-ROW($A$2)+1</x:f>
        <x:v>1185</x:v>
      </x:c>
      <x:c r="B1186" s="313" t="s">
        <x:v>38</x:v>
      </x:c>
      <x:c r="C1186" s="313" t="s">
        <x:v>20</x:v>
      </x:c>
      <x:c r="D1186" s="314">
        <x:v>1</x:v>
      </x:c>
      <x:c r="E1186" s="320">
        <x:v>1350</x:v>
      </x:c>
      <x:c r="F1186" s="320">
        <x:v>1350</x:v>
      </x:c>
      <x:c r="G1186" s="320">
        <x:v>550</x:v>
      </x:c>
      <x:c r="H1186" s="313" t="s">
        <x:v>67</x:v>
      </x:c>
      <x:c r="I1186" s="313" t="s">
        <x:v>31</x:v>
      </x:c>
      <x:c r="J1186" s="316" t="n">
        <x:f>IFERROR(G1186/F1186,0)</x:f>
        <x:v>0.4074074074074074</x:v>
      </x:c>
      <x:c r="K1186" s="312" t="str">
        <x:f>IF(B1186="Bilinmeyen Personel","Kontrol","OK")</x:f>
        <x:v>OK</x:v>
      </x:c>
    </x:row>
    <x:row r="1187" ht="15.75">
      <x:c r="A1187" s="313" t="n">
        <x:f t="shared" si="18">ROW()-ROW($A$2)+1</x:f>
        <x:v>1186</x:v>
      </x:c>
      <x:c r="B1187" s="313" t="s">
        <x:v>35</x:v>
      </x:c>
      <x:c r="C1187" s="313" t="s">
        <x:v>30</x:v>
      </x:c>
      <x:c r="D1187" s="314">
        <x:v>2</x:v>
      </x:c>
      <x:c r="E1187" s="320">
        <x:v>1090</x:v>
      </x:c>
      <x:c r="F1187" s="320">
        <x:v>2180</x:v>
      </x:c>
      <x:c r="G1187" s="320">
        <x:v>580</x:v>
      </x:c>
      <x:c r="H1187" s="313" t="s">
        <x:v>67</x:v>
      </x:c>
      <x:c r="I1187" s="313" t="s">
        <x:v>37</x:v>
      </x:c>
      <x:c r="J1187" s="316" t="n">
        <x:f>IFERROR(G1187/F1187,0)</x:f>
        <x:v>0.26605504587155965</x:v>
      </x:c>
      <x:c r="K1187" s="312" t="str">
        <x:f>IF(B1187="Bilinmeyen Personel","Kontrol","OK")</x:f>
        <x:v>OK</x:v>
      </x:c>
    </x:row>
    <x:row r="1188" ht="15.75">
      <x:c r="A1188" s="313" t="n">
        <x:f t="shared" si="18">ROW()-ROW($A$2)+1</x:f>
        <x:v>1187</x:v>
      </x:c>
      <x:c r="B1188" s="313" t="s">
        <x:v>35</x:v>
      </x:c>
      <x:c r="C1188" s="313" t="s">
        <x:v>45</x:v>
      </x:c>
      <x:c r="D1188" s="314">
        <x:v>1</x:v>
      </x:c>
      <x:c r="E1188" s="320">
        <x:v>4200</x:v>
      </x:c>
      <x:c r="F1188" s="320">
        <x:v>4200</x:v>
      </x:c>
      <x:c r="G1188" s="320">
        <x:v>1200</x:v>
      </x:c>
      <x:c r="H1188" s="313" t="s">
        <x:v>67</x:v>
      </x:c>
      <x:c r="I1188" s="313" t="s">
        <x:v>42</x:v>
      </x:c>
      <x:c r="J1188" s="316" t="n">
        <x:f>IFERROR(G1188/F1188,0)</x:f>
        <x:v>0.2857142857142857</x:v>
      </x:c>
      <x:c r="K1188" s="312" t="str">
        <x:f>IF(B1188="Bilinmeyen Personel","Kontrol","OK")</x:f>
        <x:v>OK</x:v>
      </x:c>
    </x:row>
    <x:row r="1189" ht="15.75">
      <x:c r="A1189" s="313" t="n">
        <x:f t="shared" si="18">ROW()-ROW($A$2)+1</x:f>
        <x:v>1188</x:v>
      </x:c>
      <x:c r="B1189" s="313" t="s">
        <x:v>40</x:v>
      </x:c>
      <x:c r="C1189" s="313" t="s">
        <x:v>33</x:v>
      </x:c>
      <x:c r="D1189" s="314">
        <x:v>2</x:v>
      </x:c>
      <x:c r="E1189" s="320">
        <x:v>1800</x:v>
      </x:c>
      <x:c r="F1189" s="320">
        <x:v>3600</x:v>
      </x:c>
      <x:c r="G1189" s="320">
        <x:v>2000</x:v>
      </x:c>
      <x:c r="H1189" s="313" t="s">
        <x:v>67</x:v>
      </x:c>
      <x:c r="I1189" s="313" t="s">
        <x:v>46</x:v>
      </x:c>
      <x:c r="J1189" s="316" t="n">
        <x:f>IFERROR(G1189/F1189,0)</x:f>
        <x:v>0.5555555555555556</x:v>
      </x:c>
      <x:c r="K1189" s="312" t="str">
        <x:f>IF(B1189="Bilinmeyen Personel","Kontrol","OK")</x:f>
        <x:v>OK</x:v>
      </x:c>
    </x:row>
    <x:row r="1190" ht="15.75">
      <x:c r="A1190" s="313" t="n">
        <x:f t="shared" si="18">ROW()-ROW($A$2)+1</x:f>
        <x:v>1189</x:v>
      </x:c>
      <x:c r="B1190" s="313" t="s">
        <x:v>50</x:v>
      </x:c>
      <x:c r="C1190" s="313" t="s">
        <x:v>34</x:v>
      </x:c>
      <x:c r="D1190" s="314">
        <x:v>1</x:v>
      </x:c>
      <x:c r="E1190" s="320">
        <x:v>1090</x:v>
      </x:c>
      <x:c r="F1190" s="320">
        <x:v>1090</x:v>
      </x:c>
      <x:c r="G1190" s="320">
        <x:v>290</x:v>
      </x:c>
      <x:c r="H1190" s="313" t="s">
        <x:v>67</x:v>
      </x:c>
      <x:c r="I1190" s="313" t="s">
        <x:v>41</x:v>
      </x:c>
      <x:c r="J1190" s="316" t="n">
        <x:f>IFERROR(G1190/F1190,0)</x:f>
        <x:v>0.26605504587155965</x:v>
      </x:c>
      <x:c r="K1190" s="312" t="str">
        <x:f>IF(B1190="Bilinmeyen Personel","Kontrol","OK")</x:f>
        <x:v>OK</x:v>
      </x:c>
    </x:row>
    <x:row r="1191" ht="15.75">
      <x:c r="A1191" s="313" t="n">
        <x:f t="shared" si="18">ROW()-ROW($A$2)+1</x:f>
        <x:v>1190</x:v>
      </x:c>
      <x:c r="B1191" s="313" t="s">
        <x:v>9</x:v>
      </x:c>
      <x:c r="C1191" s="313" t="s">
        <x:v>24</x:v>
      </x:c>
      <x:c r="D1191" s="314">
        <x:v>1</x:v>
      </x:c>
      <x:c r="E1191" s="320">
        <x:v>7600</x:v>
      </x:c>
      <x:c r="F1191" s="320">
        <x:v>7600</x:v>
      </x:c>
      <x:c r="G1191" s="320">
        <x:v>1600</x:v>
      </x:c>
      <x:c r="H1191" s="313" t="s">
        <x:v>67</x:v>
      </x:c>
      <x:c r="I1191" s="313" t="s">
        <x:v>31</x:v>
      </x:c>
      <x:c r="J1191" s="316" t="n">
        <x:f>IFERROR(G1191/F1191,0)</x:f>
        <x:v>0.21052631578947367</x:v>
      </x:c>
      <x:c r="K1191" s="312" t="str">
        <x:f>IF(B1191="Bilinmeyen Personel","Kontrol","OK")</x:f>
        <x:v>OK</x:v>
      </x:c>
    </x:row>
    <x:row r="1192" ht="15.75">
      <x:c r="A1192" s="313" t="n">
        <x:f t="shared" si="18">ROW()-ROW($A$2)+1</x:f>
        <x:v>1191</x:v>
      </x:c>
      <x:c r="B1192" s="313" t="s">
        <x:v>38</x:v>
      </x:c>
      <x:c r="C1192" s="313" t="s">
        <x:v>24</x:v>
      </x:c>
      <x:c r="D1192" s="314">
        <x:v>3</x:v>
      </x:c>
      <x:c r="E1192" s="320">
        <x:v>7600</x:v>
      </x:c>
      <x:c r="F1192" s="320">
        <x:v>22800</x:v>
      </x:c>
      <x:c r="G1192" s="320">
        <x:v>4800</x:v>
      </x:c>
      <x:c r="H1192" s="313" t="s">
        <x:v>67</x:v>
      </x:c>
      <x:c r="I1192" s="313" t="s">
        <x:v>41</x:v>
      </x:c>
      <x:c r="J1192" s="316" t="n">
        <x:f>IFERROR(G1192/F1192,0)</x:f>
        <x:v>0.21052631578947367</x:v>
      </x:c>
      <x:c r="K1192" s="312" t="str">
        <x:f>IF(B1192="Bilinmeyen Personel","Kontrol","OK")</x:f>
        <x:v>OK</x:v>
      </x:c>
    </x:row>
    <x:row r="1193" ht="15.75">
      <x:c r="A1193" s="313" t="n">
        <x:f t="shared" si="18">ROW()-ROW($A$2)+1</x:f>
        <x:v>1192</x:v>
      </x:c>
      <x:c r="B1193" s="313" t="s">
        <x:v>16</x:v>
      </x:c>
      <x:c r="C1193" s="313" t="s">
        <x:v>58</x:v>
      </x:c>
      <x:c r="D1193" s="314">
        <x:v>1</x:v>
      </x:c>
      <x:c r="E1193" s="320">
        <x:v>3700</x:v>
      </x:c>
      <x:c r="F1193" s="320">
        <x:v>3700</x:v>
      </x:c>
      <x:c r="G1193" s="320">
        <x:v>700</x:v>
      </x:c>
      <x:c r="H1193" s="313" t="s">
        <x:v>67</x:v>
      </x:c>
      <x:c r="I1193" s="313" t="s">
        <x:v>12</x:v>
      </x:c>
      <x:c r="J1193" s="316" t="n">
        <x:f>IFERROR(G1193/F1193,0)</x:f>
        <x:v>0.1891891891891892</x:v>
      </x:c>
      <x:c r="K1193" s="312" t="str">
        <x:f>IF(B1193="Bilinmeyen Personel","Kontrol","OK")</x:f>
        <x:v>OK</x:v>
      </x:c>
    </x:row>
    <x:row r="1194" ht="15.75">
      <x:c r="A1194" s="313" t="n">
        <x:f t="shared" si="18">ROW()-ROW($A$2)+1</x:f>
        <x:v>1193</x:v>
      </x:c>
      <x:c r="B1194" s="313" t="s">
        <x:v>23</x:v>
      </x:c>
      <x:c r="C1194" s="313" t="s">
        <x:v>26</x:v>
      </x:c>
      <x:c r="D1194" s="314">
        <x:v>3</x:v>
      </x:c>
      <x:c r="E1194" s="320">
        <x:v>7250</x:v>
      </x:c>
      <x:c r="F1194" s="320">
        <x:v>21750</x:v>
      </x:c>
      <x:c r="G1194" s="320">
        <x:v>6750</x:v>
      </x:c>
      <x:c r="H1194" s="313" t="s">
        <x:v>67</x:v>
      </x:c>
      <x:c r="I1194" s="313" t="s">
        <x:v>54</x:v>
      </x:c>
      <x:c r="J1194" s="316" t="n">
        <x:f>IFERROR(G1194/F1194,0)</x:f>
        <x:v>0.3103448275862069</x:v>
      </x:c>
      <x:c r="K1194" s="312" t="str">
        <x:f>IF(B1194="Bilinmeyen Personel","Kontrol","OK")</x:f>
        <x:v>OK</x:v>
      </x:c>
    </x:row>
    <x:row r="1195" ht="15.75">
      <x:c r="A1195" s="313" t="n">
        <x:f t="shared" si="18">ROW()-ROW($A$2)+1</x:f>
        <x:v>1194</x:v>
      </x:c>
      <x:c r="B1195" s="313" t="s">
        <x:v>13</x:v>
      </x:c>
      <x:c r="C1195" s="313" t="s">
        <x:v>24</x:v>
      </x:c>
      <x:c r="D1195" s="314">
        <x:v>3</x:v>
      </x:c>
      <x:c r="E1195" s="320">
        <x:v>7600</x:v>
      </x:c>
      <x:c r="F1195" s="320">
        <x:v>22800</x:v>
      </x:c>
      <x:c r="G1195" s="320">
        <x:v>4800</x:v>
      </x:c>
      <x:c r="H1195" s="313" t="s">
        <x:v>67</x:v>
      </x:c>
      <x:c r="I1195" s="313" t="s">
        <x:v>12</x:v>
      </x:c>
      <x:c r="J1195" s="316" t="n">
        <x:f>IFERROR(G1195/F1195,0)</x:f>
        <x:v>0.21052631578947367</x:v>
      </x:c>
      <x:c r="K1195" s="312" t="str">
        <x:f>IF(B1195="Bilinmeyen Personel","Kontrol","OK")</x:f>
        <x:v>OK</x:v>
      </x:c>
    </x:row>
    <x:row r="1196" ht="15.75">
      <x:c r="A1196" s="313" t="n">
        <x:f t="shared" si="18">ROW()-ROW($A$2)+1</x:f>
        <x:v>1195</x:v>
      </x:c>
      <x:c r="B1196" s="313" t="s">
        <x:v>48</x:v>
      </x:c>
      <x:c r="C1196" s="313" t="s">
        <x:v>45</x:v>
      </x:c>
      <x:c r="D1196" s="314">
        <x:v>1</x:v>
      </x:c>
      <x:c r="E1196" s="320">
        <x:v>4200</x:v>
      </x:c>
      <x:c r="F1196" s="320">
        <x:v>4200</x:v>
      </x:c>
      <x:c r="G1196" s="320">
        <x:v>1200</x:v>
      </x:c>
      <x:c r="H1196" s="313" t="s">
        <x:v>67</x:v>
      </x:c>
      <x:c r="I1196" s="313" t="s">
        <x:v>37</x:v>
      </x:c>
      <x:c r="J1196" s="316" t="n">
        <x:f>IFERROR(G1196/F1196,0)</x:f>
        <x:v>0.2857142857142857</x:v>
      </x:c>
      <x:c r="K1196" s="312" t="str">
        <x:f>IF(B1196="Bilinmeyen Personel","Kontrol","OK")</x:f>
        <x:v>OK</x:v>
      </x:c>
    </x:row>
    <x:row r="1197" ht="15.75">
      <x:c r="A1197" s="313" t="n">
        <x:f t="shared" si="18">ROW()-ROW($A$2)+1</x:f>
        <x:v>1196</x:v>
      </x:c>
      <x:c r="B1197" s="313" t="s">
        <x:v>32</x:v>
      </x:c>
      <x:c r="C1197" s="313" t="s">
        <x:v>52</x:v>
      </x:c>
      <x:c r="D1197" s="314">
        <x:v>3</x:v>
      </x:c>
      <x:c r="E1197" s="320">
        <x:v>1250</x:v>
      </x:c>
      <x:c r="F1197" s="320">
        <x:v>3750</x:v>
      </x:c>
      <x:c r="G1197" s="320">
        <x:v>1350</x:v>
      </x:c>
      <x:c r="H1197" s="313" t="s">
        <x:v>67</x:v>
      </x:c>
      <x:c r="I1197" s="313" t="s">
        <x:v>12</x:v>
      </x:c>
      <x:c r="J1197" s="316" t="n">
        <x:f>IFERROR(G1197/F1197,0)</x:f>
        <x:v>0.36</x:v>
      </x:c>
      <x:c r="K1197" s="312" t="str">
        <x:f>IF(B1197="Bilinmeyen Personel","Kontrol","OK")</x:f>
        <x:v>OK</x:v>
      </x:c>
    </x:row>
    <x:row r="1198" ht="15.75">
      <x:c r="A1198" s="313" t="n">
        <x:f t="shared" si="18">ROW()-ROW($A$2)+1</x:f>
        <x:v>1197</x:v>
      </x:c>
      <x:c r="B1198" s="313" t="s">
        <x:v>38</x:v>
      </x:c>
      <x:c r="C1198" s="313" t="s">
        <x:v>34</x:v>
      </x:c>
      <x:c r="D1198" s="314">
        <x:v>1</x:v>
      </x:c>
      <x:c r="E1198" s="320">
        <x:v>1090</x:v>
      </x:c>
      <x:c r="F1198" s="320">
        <x:v>1090</x:v>
      </x:c>
      <x:c r="G1198" s="320">
        <x:v>290</x:v>
      </x:c>
      <x:c r="H1198" s="313" t="s">
        <x:v>67</x:v>
      </x:c>
      <x:c r="I1198" s="313" t="s">
        <x:v>12</x:v>
      </x:c>
      <x:c r="J1198" s="316" t="n">
        <x:f>IFERROR(G1198/F1198,0)</x:f>
        <x:v>0.26605504587155965</x:v>
      </x:c>
      <x:c r="K1198" s="312" t="str">
        <x:f>IF(B1198="Bilinmeyen Personel","Kontrol","OK")</x:f>
        <x:v>OK</x:v>
      </x:c>
    </x:row>
    <x:row r="1199" ht="15.75">
      <x:c r="A1199" s="313" t="n">
        <x:f t="shared" si="18">ROW()-ROW($A$2)+1</x:f>
        <x:v>1198</x:v>
      </x:c>
      <x:c r="B1199" s="313" t="s">
        <x:v>19</x:v>
      </x:c>
      <x:c r="C1199" s="313" t="s">
        <x:v>39</x:v>
      </x:c>
      <x:c r="D1199" s="314">
        <x:v>1</x:v>
      </x:c>
      <x:c r="E1199" s="320">
        <x:v>2180</x:v>
      </x:c>
      <x:c r="F1199" s="320">
        <x:v>2180</x:v>
      </x:c>
      <x:c r="G1199" s="320">
        <x:v>680</x:v>
      </x:c>
      <x:c r="H1199" s="313" t="s">
        <x:v>67</x:v>
      </x:c>
      <x:c r="I1199" s="313" t="s">
        <x:v>31</x:v>
      </x:c>
      <x:c r="J1199" s="316" t="n">
        <x:f>IFERROR(G1199/F1199,0)</x:f>
        <x:v>0.3119266055045872</x:v>
      </x:c>
      <x:c r="K1199" s="312" t="str">
        <x:f>IF(B1199="Bilinmeyen Personel","Kontrol","OK")</x:f>
        <x:v>OK</x:v>
      </x:c>
    </x:row>
    <x:row r="1200" ht="15.75">
      <x:c r="A1200" s="313" t="n">
        <x:f t="shared" si="18">ROW()-ROW($A$2)+1</x:f>
        <x:v>1199</x:v>
      </x:c>
      <x:c r="B1200" s="313" t="s">
        <x:v>50</x:v>
      </x:c>
      <x:c r="C1200" s="313" t="s">
        <x:v>58</x:v>
      </x:c>
      <x:c r="D1200" s="314">
        <x:v>2</x:v>
      </x:c>
      <x:c r="E1200" s="320">
        <x:v>3700</x:v>
      </x:c>
      <x:c r="F1200" s="320">
        <x:v>7400</x:v>
      </x:c>
      <x:c r="G1200" s="320">
        <x:v>1400</x:v>
      </x:c>
      <x:c r="H1200" s="313" t="s">
        <x:v>67</x:v>
      </x:c>
      <x:c r="I1200" s="313" t="s">
        <x:v>28</x:v>
      </x:c>
      <x:c r="J1200" s="316" t="n">
        <x:f>IFERROR(G1200/F1200,0)</x:f>
        <x:v>0.1891891891891892</x:v>
      </x:c>
      <x:c r="K1200" s="312" t="str">
        <x:f>IF(B1200="Bilinmeyen Personel","Kontrol","OK")</x:f>
        <x:v>OK</x:v>
      </x:c>
    </x:row>
    <x:row r="1201" ht="15.75">
      <x:c r="A1201" s="313" t="n">
        <x:f t="shared" si="18">ROW()-ROW($A$2)+1</x:f>
        <x:v>1200</x:v>
      </x:c>
      <x:c r="B1201" s="313" t="s">
        <x:v>40</x:v>
      </x:c>
      <x:c r="C1201" s="313" t="s">
        <x:v>10</x:v>
      </x:c>
      <x:c r="D1201" s="314">
        <x:v>2</x:v>
      </x:c>
      <x:c r="E1201" s="320">
        <x:v>6000</x:v>
      </x:c>
      <x:c r="F1201" s="320">
        <x:v>12000</x:v>
      </x:c>
      <x:c r="G1201" s="320">
        <x:v>4000</x:v>
      </x:c>
      <x:c r="H1201" s="313" t="s">
        <x:v>67</x:v>
      </x:c>
      <x:c r="I1201" s="313" t="s">
        <x:v>25</x:v>
      </x:c>
      <x:c r="J1201" s="316" t="n">
        <x:f>IFERROR(G1201/F1201,0)</x:f>
        <x:v>0.3333333333333333</x:v>
      </x:c>
      <x:c r="K1201" s="312" t="str">
        <x:f>IF(B1201="Bilinmeyen Personel","Kontrol","OK")</x:f>
        <x:v>OK</x:v>
      </x:c>
    </x:row>
    <x:row r="1202" ht="15.75">
      <x:c r="A1202" s="313" t="n">
        <x:f t="shared" si="18">ROW()-ROW($A$2)+1</x:f>
        <x:v>1201</x:v>
      </x:c>
      <x:c r="B1202" s="313" t="s">
        <x:v>48</x:v>
      </x:c>
      <x:c r="C1202" s="313" t="s">
        <x:v>52</x:v>
      </x:c>
      <x:c r="D1202" s="314">
        <x:v>2</x:v>
      </x:c>
      <x:c r="E1202" s="320">
        <x:v>1250</x:v>
      </x:c>
      <x:c r="F1202" s="320">
        <x:v>2500</x:v>
      </x:c>
      <x:c r="G1202" s="320">
        <x:v>900</x:v>
      </x:c>
      <x:c r="H1202" s="313" t="s">
        <x:v>67</x:v>
      </x:c>
      <x:c r="I1202" s="313" t="s">
        <x:v>41</x:v>
      </x:c>
      <x:c r="J1202" s="316" t="n">
        <x:f>IFERROR(G1202/F1202,0)</x:f>
        <x:v>0.36</x:v>
      </x:c>
      <x:c r="K1202" s="312" t="str">
        <x:f>IF(B1202="Bilinmeyen Personel","Kontrol","OK")</x:f>
        <x:v>OK</x:v>
      </x:c>
    </x:row>
    <x:row r="1203" ht="15.75">
      <x:c r="A1203" s="313" t="n">
        <x:f t="shared" si="18">ROW()-ROW($A$2)+1</x:f>
        <x:v>1202</x:v>
      </x:c>
      <x:c r="B1203" s="313" t="s">
        <x:v>50</x:v>
      </x:c>
      <x:c r="C1203" s="313" t="s">
        <x:v>24</x:v>
      </x:c>
      <x:c r="D1203" s="314">
        <x:v>1</x:v>
      </x:c>
      <x:c r="E1203" s="320">
        <x:v>7600</x:v>
      </x:c>
      <x:c r="F1203" s="320">
        <x:v>7600</x:v>
      </x:c>
      <x:c r="G1203" s="320">
        <x:v>1600</x:v>
      </x:c>
      <x:c r="H1203" s="313" t="s">
        <x:v>67</x:v>
      </x:c>
      <x:c r="I1203" s="313" t="s">
        <x:v>37</x:v>
      </x:c>
      <x:c r="J1203" s="316" t="n">
        <x:f>IFERROR(G1203/F1203,0)</x:f>
        <x:v>0.21052631578947367</x:v>
      </x:c>
      <x:c r="K1203" s="312" t="str">
        <x:f>IF(B1203="Bilinmeyen Personel","Kontrol","OK")</x:f>
        <x:v>OK</x:v>
      </x:c>
    </x:row>
    <x:row r="1204" ht="15.75">
      <x:c r="A1204" s="313" t="n">
        <x:f t="shared" si="18">ROW()-ROW($A$2)+1</x:f>
        <x:v>1203</x:v>
      </x:c>
      <x:c r="B1204" s="313" t="s">
        <x:v>9</x:v>
      </x:c>
      <x:c r="C1204" s="313" t="s">
        <x:v>14</x:v>
      </x:c>
      <x:c r="D1204" s="314">
        <x:v>2</x:v>
      </x:c>
      <x:c r="E1204" s="320">
        <x:v>1400</x:v>
      </x:c>
      <x:c r="F1204" s="320">
        <x:v>2800</x:v>
      </x:c>
      <x:c r="G1204" s="320">
        <x:v>1200</x:v>
      </x:c>
      <x:c r="H1204" s="313" t="s">
        <x:v>67</x:v>
      </x:c>
      <x:c r="I1204" s="313" t="s">
        <x:v>25</x:v>
      </x:c>
      <x:c r="J1204" s="316" t="n">
        <x:f>IFERROR(G1204/F1204,0)</x:f>
        <x:v>0.42857142857142855</x:v>
      </x:c>
      <x:c r="K1204" s="312" t="str">
        <x:f>IF(B1204="Bilinmeyen Personel","Kontrol","OK")</x:f>
        <x:v>OK</x:v>
      </x:c>
    </x:row>
    <x:row r="1205" ht="15.75">
      <x:c r="A1205" s="313" t="n">
        <x:f t="shared" si="18">ROW()-ROW($A$2)+1</x:f>
        <x:v>1204</x:v>
      </x:c>
      <x:c r="B1205" s="313" t="s">
        <x:v>23</x:v>
      </x:c>
      <x:c r="C1205" s="313" t="s">
        <x:v>22</x:v>
      </x:c>
      <x:c r="D1205" s="314">
        <x:v>2</x:v>
      </x:c>
      <x:c r="E1205" s="320">
        <x:v>2180</x:v>
      </x:c>
      <x:c r="F1205" s="320">
        <x:v>4360</x:v>
      </x:c>
      <x:c r="G1205" s="320">
        <x:v>1360</x:v>
      </x:c>
      <x:c r="H1205" s="313" t="s">
        <x:v>67</x:v>
      </x:c>
      <x:c r="I1205" s="313" t="s">
        <x:v>54</x:v>
      </x:c>
      <x:c r="J1205" s="316" t="n">
        <x:f>IFERROR(G1205/F1205,0)</x:f>
        <x:v>0.3119266055045872</x:v>
      </x:c>
      <x:c r="K1205" s="312" t="str">
        <x:f>IF(B1205="Bilinmeyen Personel","Kontrol","OK")</x:f>
        <x:v>OK</x:v>
      </x:c>
    </x:row>
    <x:row r="1206" ht="15.75">
      <x:c r="A1206" s="313" t="n">
        <x:f t="shared" si="18">ROW()-ROW($A$2)+1</x:f>
        <x:v>1205</x:v>
      </x:c>
      <x:c r="B1206" s="313" t="s">
        <x:v>9</x:v>
      </x:c>
      <x:c r="C1206" s="313" t="s">
        <x:v>33</x:v>
      </x:c>
      <x:c r="D1206" s="314">
        <x:v>3</x:v>
      </x:c>
      <x:c r="E1206" s="320">
        <x:v>1800</x:v>
      </x:c>
      <x:c r="F1206" s="320">
        <x:v>5400</x:v>
      </x:c>
      <x:c r="G1206" s="320">
        <x:v>3000</x:v>
      </x:c>
      <x:c r="H1206" s="313" t="s">
        <x:v>67</x:v>
      </x:c>
      <x:c r="I1206" s="313" t="s">
        <x:v>41</x:v>
      </x:c>
      <x:c r="J1206" s="316" t="n">
        <x:f>IFERROR(G1206/F1206,0)</x:f>
        <x:v>0.5555555555555556</x:v>
      </x:c>
      <x:c r="K1206" s="312" t="str">
        <x:f>IF(B1206="Bilinmeyen Personel","Kontrol","OK")</x:f>
        <x:v>OK</x:v>
      </x:c>
    </x:row>
    <x:row r="1207" ht="15.75">
      <x:c r="A1207" s="313" t="n">
        <x:f t="shared" si="18">ROW()-ROW($A$2)+1</x:f>
        <x:v>1206</x:v>
      </x:c>
      <x:c r="B1207" s="313" t="s">
        <x:v>16</x:v>
      </x:c>
      <x:c r="C1207" s="313" t="s">
        <x:v>57</x:v>
      </x:c>
      <x:c r="D1207" s="314">
        <x:v>1</x:v>
      </x:c>
      <x:c r="E1207" s="320">
        <x:v>1500</x:v>
      </x:c>
      <x:c r="F1207" s="320">
        <x:v>1500</x:v>
      </x:c>
      <x:c r="G1207" s="320">
        <x:v>700</x:v>
      </x:c>
      <x:c r="H1207" s="313" t="s">
        <x:v>67</x:v>
      </x:c>
      <x:c r="I1207" s="313" t="s">
        <x:v>37</x:v>
      </x:c>
      <x:c r="J1207" s="316" t="n">
        <x:f>IFERROR(G1207/F1207,0)</x:f>
        <x:v>0.4666666666666667</x:v>
      </x:c>
      <x:c r="K1207" s="312" t="str">
        <x:f>IF(B1207="Bilinmeyen Personel","Kontrol","OK")</x:f>
        <x:v>OK</x:v>
      </x:c>
    </x:row>
    <x:row r="1208" ht="15.75">
      <x:c r="A1208" s="313" t="n">
        <x:f t="shared" si="18">ROW()-ROW($A$2)+1</x:f>
        <x:v>1207</x:v>
      </x:c>
      <x:c r="B1208" s="313" t="s">
        <x:v>32</x:v>
      </x:c>
      <x:c r="C1208" s="313" t="s">
        <x:v>17</x:v>
      </x:c>
      <x:c r="D1208" s="314">
        <x:v>3</x:v>
      </x:c>
      <x:c r="E1208" s="320">
        <x:v>8450</x:v>
      </x:c>
      <x:c r="F1208" s="320">
        <x:v>25350</x:v>
      </x:c>
      <x:c r="G1208" s="320">
        <x:v>7350</x:v>
      </x:c>
      <x:c r="H1208" s="313" t="s">
        <x:v>67</x:v>
      </x:c>
      <x:c r="I1208" s="313" t="s">
        <x:v>44</x:v>
      </x:c>
      <x:c r="J1208" s="316" t="n">
        <x:f>IFERROR(G1208/F1208,0)</x:f>
        <x:v>0.28994082840236685</x:v>
      </x:c>
      <x:c r="K1208" s="312" t="str">
        <x:f>IF(B1208="Bilinmeyen Personel","Kontrol","OK")</x:f>
        <x:v>OK</x:v>
      </x:c>
    </x:row>
    <x:row r="1209" ht="15.75">
      <x:c r="A1209" s="313" t="n">
        <x:f t="shared" si="18">ROW()-ROW($A$2)+1</x:f>
        <x:v>1208</x:v>
      </x:c>
      <x:c r="B1209" s="313" t="s">
        <x:v>40</x:v>
      </x:c>
      <x:c r="C1209" s="313" t="s">
        <x:v>57</x:v>
      </x:c>
      <x:c r="D1209" s="314">
        <x:v>3</x:v>
      </x:c>
      <x:c r="E1209" s="320">
        <x:v>1500</x:v>
      </x:c>
      <x:c r="F1209" s="320">
        <x:v>4500</x:v>
      </x:c>
      <x:c r="G1209" s="320">
        <x:v>2100</x:v>
      </x:c>
      <x:c r="H1209" s="313" t="s">
        <x:v>67</x:v>
      </x:c>
      <x:c r="I1209" s="313" t="s">
        <x:v>18</x:v>
      </x:c>
      <x:c r="J1209" s="316" t="n">
        <x:f>IFERROR(G1209/F1209,0)</x:f>
        <x:v>0.4666666666666667</x:v>
      </x:c>
      <x:c r="K1209" s="312" t="str">
        <x:f>IF(B1209="Bilinmeyen Personel","Kontrol","OK")</x:f>
        <x:v>OK</x:v>
      </x:c>
    </x:row>
    <x:row r="1210" ht="15.75">
      <x:c r="A1210" s="313" t="n">
        <x:f t="shared" si="18">ROW()-ROW($A$2)+1</x:f>
        <x:v>1209</x:v>
      </x:c>
      <x:c r="B1210" s="313" t="s">
        <x:v>29</x:v>
      </x:c>
      <x:c r="C1210" s="313" t="s">
        <x:v>10</x:v>
      </x:c>
      <x:c r="D1210" s="314">
        <x:v>3</x:v>
      </x:c>
      <x:c r="E1210" s="320">
        <x:v>6000</x:v>
      </x:c>
      <x:c r="F1210" s="320">
        <x:v>18000</x:v>
      </x:c>
      <x:c r="G1210" s="320">
        <x:v>6000</x:v>
      </x:c>
      <x:c r="H1210" s="313" t="s">
        <x:v>67</x:v>
      </x:c>
      <x:c r="I1210" s="313" t="s">
        <x:v>15</x:v>
      </x:c>
      <x:c r="J1210" s="316" t="n">
        <x:f>IFERROR(G1210/F1210,0)</x:f>
        <x:v>0.3333333333333333</x:v>
      </x:c>
      <x:c r="K1210" s="312" t="str">
        <x:f>IF(B1210="Bilinmeyen Personel","Kontrol","OK")</x:f>
        <x:v>OK</x:v>
      </x:c>
    </x:row>
    <x:row r="1211" ht="15.75">
      <x:c r="A1211" s="313" t="n">
        <x:f t="shared" si="18">ROW()-ROW($A$2)+1</x:f>
        <x:v>1210</x:v>
      </x:c>
      <x:c r="B1211" s="313" t="s">
        <x:v>50</x:v>
      </x:c>
      <x:c r="C1211" s="313" t="s">
        <x:v>53</x:v>
      </x:c>
      <x:c r="D1211" s="314">
        <x:v>1</x:v>
      </x:c>
      <x:c r="E1211" s="320">
        <x:v>1200</x:v>
      </x:c>
      <x:c r="F1211" s="320">
        <x:v>1200</x:v>
      </x:c>
      <x:c r="G1211" s="320">
        <x:v>400</x:v>
      </x:c>
      <x:c r="H1211" s="313" t="s">
        <x:v>67</x:v>
      </x:c>
      <x:c r="I1211" s="313" t="s">
        <x:v>18</x:v>
      </x:c>
      <x:c r="J1211" s="316" t="n">
        <x:f>IFERROR(G1211/F1211,0)</x:f>
        <x:v>0.3333333333333333</x:v>
      </x:c>
      <x:c r="K1211" s="312" t="str">
        <x:f>IF(B1211="Bilinmeyen Personel","Kontrol","OK")</x:f>
        <x:v>OK</x:v>
      </x:c>
    </x:row>
    <x:row r="1212" ht="15.75">
      <x:c r="A1212" s="313" t="n">
        <x:f t="shared" si="18">ROW()-ROW($A$2)+1</x:f>
        <x:v>1211</x:v>
      </x:c>
      <x:c r="B1212" s="313" t="s">
        <x:v>9</x:v>
      </x:c>
      <x:c r="C1212" s="313" t="s">
        <x:v>45</x:v>
      </x:c>
      <x:c r="D1212" s="314">
        <x:v>3</x:v>
      </x:c>
      <x:c r="E1212" s="320">
        <x:v>4200</x:v>
      </x:c>
      <x:c r="F1212" s="320">
        <x:v>12600</x:v>
      </x:c>
      <x:c r="G1212" s="320">
        <x:v>3600</x:v>
      </x:c>
      <x:c r="H1212" s="313" t="s">
        <x:v>67</x:v>
      </x:c>
      <x:c r="I1212" s="313" t="s">
        <x:v>46</x:v>
      </x:c>
      <x:c r="J1212" s="316" t="n">
        <x:f>IFERROR(G1212/F1212,0)</x:f>
        <x:v>0.2857142857142857</x:v>
      </x:c>
      <x:c r="K1212" s="312" t="str">
        <x:f>IF(B1212="Bilinmeyen Personel","Kontrol","OK")</x:f>
        <x:v>OK</x:v>
      </x:c>
    </x:row>
    <x:row r="1213" ht="15.75">
      <x:c r="A1213" s="313" t="n">
        <x:f t="shared" si="18">ROW()-ROW($A$2)+1</x:f>
        <x:v>1212</x:v>
      </x:c>
      <x:c r="B1213" s="313" t="s">
        <x:v>48</x:v>
      </x:c>
      <x:c r="C1213" s="313" t="s">
        <x:v>24</x:v>
      </x:c>
      <x:c r="D1213" s="314">
        <x:v>3</x:v>
      </x:c>
      <x:c r="E1213" s="320">
        <x:v>7600</x:v>
      </x:c>
      <x:c r="F1213" s="320">
        <x:v>22800</x:v>
      </x:c>
      <x:c r="G1213" s="320">
        <x:v>4800</x:v>
      </x:c>
      <x:c r="H1213" s="313" t="s">
        <x:v>67</x:v>
      </x:c>
      <x:c r="I1213" s="313" t="s">
        <x:v>31</x:v>
      </x:c>
      <x:c r="J1213" s="316" t="n">
        <x:f>IFERROR(G1213/F1213,0)</x:f>
        <x:v>0.21052631578947367</x:v>
      </x:c>
      <x:c r="K1213" s="312" t="str">
        <x:f>IF(B1213="Bilinmeyen Personel","Kontrol","OK")</x:f>
        <x:v>OK</x:v>
      </x:c>
    </x:row>
    <x:row r="1214" ht="15.75">
      <x:c r="A1214" s="313" t="n">
        <x:f t="shared" si="18">ROW()-ROW($A$2)+1</x:f>
        <x:v>1213</x:v>
      </x:c>
      <x:c r="B1214" s="313" t="s">
        <x:v>29</x:v>
      </x:c>
      <x:c r="C1214" s="313" t="s">
        <x:v>47</x:v>
      </x:c>
      <x:c r="D1214" s="314">
        <x:v>2</x:v>
      </x:c>
      <x:c r="E1214" s="320">
        <x:v>7250</x:v>
      </x:c>
      <x:c r="F1214" s="320">
        <x:v>14500</x:v>
      </x:c>
      <x:c r="G1214" s="320">
        <x:v>4500</x:v>
      </x:c>
      <x:c r="H1214" s="313" t="s">
        <x:v>67</x:v>
      </x:c>
      <x:c r="I1214" s="313" t="s">
        <x:v>41</x:v>
      </x:c>
      <x:c r="J1214" s="316" t="n">
        <x:f>IFERROR(G1214/F1214,0)</x:f>
        <x:v>0.3103448275862069</x:v>
      </x:c>
      <x:c r="K1214" s="312" t="str">
        <x:f>IF(B1214="Bilinmeyen Personel","Kontrol","OK")</x:f>
        <x:v>OK</x:v>
      </x:c>
    </x:row>
    <x:row r="1215" ht="15.75">
      <x:c r="A1215" s="313" t="n">
        <x:f t="shared" si="18">ROW()-ROW($A$2)+1</x:f>
        <x:v>1214</x:v>
      </x:c>
      <x:c r="B1215" s="313" t="s">
        <x:v>13</x:v>
      </x:c>
      <x:c r="C1215" s="313" t="s">
        <x:v>55</x:v>
      </x:c>
      <x:c r="D1215" s="314">
        <x:v>2</x:v>
      </x:c>
      <x:c r="E1215" s="320">
        <x:v>7530</x:v>
      </x:c>
      <x:c r="F1215" s="320">
        <x:v>15060</x:v>
      </x:c>
      <x:c r="G1215" s="320">
        <x:v>3060</x:v>
      </x:c>
      <x:c r="H1215" s="313" t="s">
        <x:v>67</x:v>
      </x:c>
      <x:c r="I1215" s="313" t="s">
        <x:v>42</x:v>
      </x:c>
      <x:c r="J1215" s="316" t="n">
        <x:f>IFERROR(G1215/F1215,0)</x:f>
        <x:v>0.20318725099601595</x:v>
      </x:c>
      <x:c r="K1215" s="312" t="str">
        <x:f>IF(B1215="Bilinmeyen Personel","Kontrol","OK")</x:f>
        <x:v>OK</x:v>
      </x:c>
    </x:row>
    <x:row r="1216" ht="15.75">
      <x:c r="A1216" s="313" t="n">
        <x:f t="shared" si="18">ROW()-ROW($A$2)+1</x:f>
        <x:v>1215</x:v>
      </x:c>
      <x:c r="B1216" s="313" t="s">
        <x:v>16</x:v>
      </x:c>
      <x:c r="C1216" s="313" t="s">
        <x:v>26</x:v>
      </x:c>
      <x:c r="D1216" s="314">
        <x:v>2</x:v>
      </x:c>
      <x:c r="E1216" s="320">
        <x:v>7250</x:v>
      </x:c>
      <x:c r="F1216" s="320">
        <x:v>14500</x:v>
      </x:c>
      <x:c r="G1216" s="320">
        <x:v>4500</x:v>
      </x:c>
      <x:c r="H1216" s="313" t="s">
        <x:v>67</x:v>
      </x:c>
      <x:c r="I1216" s="313" t="s">
        <x:v>18</x:v>
      </x:c>
      <x:c r="J1216" s="316" t="n">
        <x:f>IFERROR(G1216/F1216,0)</x:f>
        <x:v>0.3103448275862069</x:v>
      </x:c>
      <x:c r="K1216" s="312" t="str">
        <x:f>IF(B1216="Bilinmeyen Personel","Kontrol","OK")</x:f>
        <x:v>OK</x:v>
      </x:c>
    </x:row>
    <x:row r="1217" ht="15.75">
      <x:c r="A1217" s="313" t="n">
        <x:f t="shared" si="18">ROW()-ROW($A$2)+1</x:f>
        <x:v>1216</x:v>
      </x:c>
      <x:c r="B1217" s="313" t="s">
        <x:v>13</x:v>
      </x:c>
      <x:c r="C1217" s="313" t="s">
        <x:v>10</x:v>
      </x:c>
      <x:c r="D1217" s="314">
        <x:v>1</x:v>
      </x:c>
      <x:c r="E1217" s="320">
        <x:v>6000</x:v>
      </x:c>
      <x:c r="F1217" s="320">
        <x:v>6000</x:v>
      </x:c>
      <x:c r="G1217" s="320">
        <x:v>2000</x:v>
      </x:c>
      <x:c r="H1217" s="313" t="s">
        <x:v>67</x:v>
      </x:c>
      <x:c r="I1217" s="313" t="s">
        <x:v>28</x:v>
      </x:c>
      <x:c r="J1217" s="316" t="n">
        <x:f>IFERROR(G1217/F1217,0)</x:f>
        <x:v>0.3333333333333333</x:v>
      </x:c>
      <x:c r="K1217" s="312" t="str">
        <x:f>IF(B1217="Bilinmeyen Personel","Kontrol","OK")</x:f>
        <x:v>OK</x:v>
      </x:c>
    </x:row>
    <x:row r="1218" ht="15.75">
      <x:c r="A1218" s="313" t="n">
        <x:f t="shared" si="18">ROW()-ROW($A$2)+1</x:f>
        <x:v>1217</x:v>
      </x:c>
      <x:c r="B1218" s="313" t="s">
        <x:v>29</x:v>
      </x:c>
      <x:c r="C1218" s="313" t="s">
        <x:v>53</x:v>
      </x:c>
      <x:c r="D1218" s="314">
        <x:v>3</x:v>
      </x:c>
      <x:c r="E1218" s="320">
        <x:v>1200</x:v>
      </x:c>
      <x:c r="F1218" s="320">
        <x:v>3600</x:v>
      </x:c>
      <x:c r="G1218" s="320">
        <x:v>1200</x:v>
      </x:c>
      <x:c r="H1218" s="313" t="s">
        <x:v>67</x:v>
      </x:c>
      <x:c r="I1218" s="313" t="s">
        <x:v>46</x:v>
      </x:c>
      <x:c r="J1218" s="316" t="n">
        <x:f>IFERROR(G1218/F1218,0)</x:f>
        <x:v>0.3333333333333333</x:v>
      </x:c>
      <x:c r="K1218" s="312" t="str">
        <x:f>IF(B1218="Bilinmeyen Personel","Kontrol","OK")</x:f>
        <x:v>OK</x:v>
      </x:c>
    </x:row>
    <x:row r="1219" ht="15.75">
      <x:c r="A1219" s="313" t="n">
        <x:f t="shared" ref="A1219:A1282" si="19">ROW()-ROW($A$2)+1</x:f>
        <x:v>1218</x:v>
      </x:c>
      <x:c r="B1219" s="313" t="s">
        <x:v>50</x:v>
      </x:c>
      <x:c r="C1219" s="313" t="s">
        <x:v>56</x:v>
      </x:c>
      <x:c r="D1219" s="314">
        <x:v>2</x:v>
      </x:c>
      <x:c r="E1219" s="320">
        <x:v>5300</x:v>
      </x:c>
      <x:c r="F1219" s="320">
        <x:v>10600</x:v>
      </x:c>
      <x:c r="G1219" s="320">
        <x:v>2600</x:v>
      </x:c>
      <x:c r="H1219" s="313" t="s">
        <x:v>67</x:v>
      </x:c>
      <x:c r="I1219" s="313" t="s">
        <x:v>54</x:v>
      </x:c>
      <x:c r="J1219" s="316" t="n">
        <x:f>IFERROR(G1219/F1219,0)</x:f>
        <x:v>0.24528301886792453</x:v>
      </x:c>
      <x:c r="K1219" s="312" t="str">
        <x:f>IF(B1219="Bilinmeyen Personel","Kontrol","OK")</x:f>
        <x:v>OK</x:v>
      </x:c>
    </x:row>
    <x:row r="1220" ht="15.75">
      <x:c r="A1220" s="313" t="n">
        <x:f t="shared" si="19">ROW()-ROW($A$2)+1</x:f>
        <x:v>1219</x:v>
      </x:c>
      <x:c r="B1220" s="313" t="s">
        <x:v>38</x:v>
      </x:c>
      <x:c r="C1220" s="313" t="s">
        <x:v>17</x:v>
      </x:c>
      <x:c r="D1220" s="314">
        <x:v>2</x:v>
      </x:c>
      <x:c r="E1220" s="320">
        <x:v>8450</x:v>
      </x:c>
      <x:c r="F1220" s="320">
        <x:v>16900</x:v>
      </x:c>
      <x:c r="G1220" s="320">
        <x:v>4900</x:v>
      </x:c>
      <x:c r="H1220" s="313" t="s">
        <x:v>67</x:v>
      </x:c>
      <x:c r="I1220" s="313" t="s">
        <x:v>54</x:v>
      </x:c>
      <x:c r="J1220" s="316" t="n">
        <x:f>IFERROR(G1220/F1220,0)</x:f>
        <x:v>0.28994082840236685</x:v>
      </x:c>
      <x:c r="K1220" s="312" t="str">
        <x:f>IF(B1220="Bilinmeyen Personel","Kontrol","OK")</x:f>
        <x:v>OK</x:v>
      </x:c>
    </x:row>
    <x:row r="1221" ht="15.75">
      <x:c r="A1221" s="313" t="n">
        <x:f t="shared" si="19">ROW()-ROW($A$2)+1</x:f>
        <x:v>1220</x:v>
      </x:c>
      <x:c r="B1221" s="313" t="s">
        <x:v>23</x:v>
      </x:c>
      <x:c r="C1221" s="313" t="s">
        <x:v>20</x:v>
      </x:c>
      <x:c r="D1221" s="314">
        <x:v>1</x:v>
      </x:c>
      <x:c r="E1221" s="320">
        <x:v>1350</x:v>
      </x:c>
      <x:c r="F1221" s="320">
        <x:v>1350</x:v>
      </x:c>
      <x:c r="G1221" s="320">
        <x:v>550</x:v>
      </x:c>
      <x:c r="H1221" s="313" t="s">
        <x:v>67</x:v>
      </x:c>
      <x:c r="I1221" s="313" t="s">
        <x:v>21</x:v>
      </x:c>
      <x:c r="J1221" s="316" t="n">
        <x:f>IFERROR(G1221/F1221,0)</x:f>
        <x:v>0.4074074074074074</x:v>
      </x:c>
      <x:c r="K1221" s="312" t="str">
        <x:f>IF(B1221="Bilinmeyen Personel","Kontrol","OK")</x:f>
        <x:v>OK</x:v>
      </x:c>
    </x:row>
    <x:row r="1222" ht="15.75">
      <x:c r="A1222" s="313" t="n">
        <x:f t="shared" si="19">ROW()-ROW($A$2)+1</x:f>
        <x:v>1221</x:v>
      </x:c>
      <x:c r="B1222" s="313" t="s">
        <x:v>32</x:v>
      </x:c>
      <x:c r="C1222" s="313" t="s">
        <x:v>34</x:v>
      </x:c>
      <x:c r="D1222" s="314">
        <x:v>1</x:v>
      </x:c>
      <x:c r="E1222" s="320">
        <x:v>1090</x:v>
      </x:c>
      <x:c r="F1222" s="320">
        <x:v>1090</x:v>
      </x:c>
      <x:c r="G1222" s="320">
        <x:v>290</x:v>
      </x:c>
      <x:c r="H1222" s="313" t="s">
        <x:v>67</x:v>
      </x:c>
      <x:c r="I1222" s="313" t="s">
        <x:v>25</x:v>
      </x:c>
      <x:c r="J1222" s="316" t="n">
        <x:f>IFERROR(G1222/F1222,0)</x:f>
        <x:v>0.26605504587155965</x:v>
      </x:c>
      <x:c r="K1222" s="312" t="str">
        <x:f>IF(B1222="Bilinmeyen Personel","Kontrol","OK")</x:f>
        <x:v>OK</x:v>
      </x:c>
    </x:row>
    <x:row r="1223" ht="15.75">
      <x:c r="A1223" s="313" t="n">
        <x:f t="shared" si="19">ROW()-ROW($A$2)+1</x:f>
        <x:v>1222</x:v>
      </x:c>
      <x:c r="B1223" s="313" t="s">
        <x:v>23</x:v>
      </x:c>
      <x:c r="C1223" s="313" t="s">
        <x:v>22</x:v>
      </x:c>
      <x:c r="D1223" s="314">
        <x:v>1</x:v>
      </x:c>
      <x:c r="E1223" s="320">
        <x:v>2180</x:v>
      </x:c>
      <x:c r="F1223" s="320">
        <x:v>2180</x:v>
      </x:c>
      <x:c r="G1223" s="320">
        <x:v>680</x:v>
      </x:c>
      <x:c r="H1223" s="313" t="s">
        <x:v>67</x:v>
      </x:c>
      <x:c r="I1223" s="313" t="s">
        <x:v>31</x:v>
      </x:c>
      <x:c r="J1223" s="316" t="n">
        <x:f>IFERROR(G1223/F1223,0)</x:f>
        <x:v>0.3119266055045872</x:v>
      </x:c>
      <x:c r="K1223" s="312" t="str">
        <x:f>IF(B1223="Bilinmeyen Personel","Kontrol","OK")</x:f>
        <x:v>OK</x:v>
      </x:c>
    </x:row>
    <x:row r="1224" ht="15.75">
      <x:c r="A1224" s="313" t="n">
        <x:f t="shared" si="19">ROW()-ROW($A$2)+1</x:f>
        <x:v>1223</x:v>
      </x:c>
      <x:c r="B1224" s="313" t="s">
        <x:v>13</x:v>
      </x:c>
      <x:c r="C1224" s="313" t="s">
        <x:v>58</x:v>
      </x:c>
      <x:c r="D1224" s="314">
        <x:v>1</x:v>
      </x:c>
      <x:c r="E1224" s="320">
        <x:v>3700</x:v>
      </x:c>
      <x:c r="F1224" s="320">
        <x:v>3700</x:v>
      </x:c>
      <x:c r="G1224" s="320">
        <x:v>700</x:v>
      </x:c>
      <x:c r="H1224" s="313" t="s">
        <x:v>67</x:v>
      </x:c>
      <x:c r="I1224" s="313" t="s">
        <x:v>12</x:v>
      </x:c>
      <x:c r="J1224" s="316" t="n">
        <x:f>IFERROR(G1224/F1224,0)</x:f>
        <x:v>0.1891891891891892</x:v>
      </x:c>
      <x:c r="K1224" s="312" t="str">
        <x:f>IF(B1224="Bilinmeyen Personel","Kontrol","OK")</x:f>
        <x:v>OK</x:v>
      </x:c>
    </x:row>
    <x:row r="1225" ht="15.75">
      <x:c r="A1225" s="313" t="n">
        <x:f t="shared" si="19">ROW()-ROW($A$2)+1</x:f>
        <x:v>1224</x:v>
      </x:c>
      <x:c r="B1225" s="313" t="s">
        <x:v>32</x:v>
      </x:c>
      <x:c r="C1225" s="313" t="s">
        <x:v>27</x:v>
      </x:c>
      <x:c r="D1225" s="314">
        <x:v>3</x:v>
      </x:c>
      <x:c r="E1225" s="320">
        <x:v>1100</x:v>
      </x:c>
      <x:c r="F1225" s="320">
        <x:v>3300</x:v>
      </x:c>
      <x:c r="G1225" s="320">
        <x:v>900</x:v>
      </x:c>
      <x:c r="H1225" s="313" t="s">
        <x:v>67</x:v>
      </x:c>
      <x:c r="I1225" s="313" t="s">
        <x:v>18</x:v>
      </x:c>
      <x:c r="J1225" s="316" t="n">
        <x:f>IFERROR(G1225/F1225,0)</x:f>
        <x:v>0.2727272727272727</x:v>
      </x:c>
      <x:c r="K1225" s="312" t="str">
        <x:f>IF(B1225="Bilinmeyen Personel","Kontrol","OK")</x:f>
        <x:v>OK</x:v>
      </x:c>
    </x:row>
    <x:row r="1226" ht="15.75">
      <x:c r="A1226" s="313" t="n">
        <x:f t="shared" si="19">ROW()-ROW($A$2)+1</x:f>
        <x:v>1225</x:v>
      </x:c>
      <x:c r="B1226" s="313" t="s">
        <x:v>29</x:v>
      </x:c>
      <x:c r="C1226" s="313" t="s">
        <x:v>58</x:v>
      </x:c>
      <x:c r="D1226" s="314">
        <x:v>1</x:v>
      </x:c>
      <x:c r="E1226" s="320">
        <x:v>3700</x:v>
      </x:c>
      <x:c r="F1226" s="320">
        <x:v>3700</x:v>
      </x:c>
      <x:c r="G1226" s="320">
        <x:v>700</x:v>
      </x:c>
      <x:c r="H1226" s="313" t="s">
        <x:v>67</x:v>
      </x:c>
      <x:c r="I1226" s="313" t="s">
        <x:v>25</x:v>
      </x:c>
      <x:c r="J1226" s="316" t="n">
        <x:f>IFERROR(G1226/F1226,0)</x:f>
        <x:v>0.1891891891891892</x:v>
      </x:c>
      <x:c r="K1226" s="312" t="str">
        <x:f>IF(B1226="Bilinmeyen Personel","Kontrol","OK")</x:f>
        <x:v>OK</x:v>
      </x:c>
    </x:row>
    <x:row r="1227" ht="15.75">
      <x:c r="A1227" s="313" t="n">
        <x:f t="shared" si="19">ROW()-ROW($A$2)+1</x:f>
        <x:v>1226</x:v>
      </x:c>
      <x:c r="B1227" s="313" t="s">
        <x:v>48</x:v>
      </x:c>
      <x:c r="C1227" s="313" t="s">
        <x:v>43</x:v>
      </x:c>
      <x:c r="D1227" s="314">
        <x:v>1</x:v>
      </x:c>
      <x:c r="E1227" s="320">
        <x:v>1490</x:v>
      </x:c>
      <x:c r="F1227" s="320">
        <x:v>1490</x:v>
      </x:c>
      <x:c r="G1227" s="320">
        <x:v>690</x:v>
      </x:c>
      <x:c r="H1227" s="313" t="s">
        <x:v>67</x:v>
      </x:c>
      <x:c r="I1227" s="313" t="s">
        <x:v>15</x:v>
      </x:c>
      <x:c r="J1227" s="316" t="n">
        <x:f>IFERROR(G1227/F1227,0)</x:f>
        <x:v>0.46308724832214765</x:v>
      </x:c>
      <x:c r="K1227" s="312" t="str">
        <x:f>IF(B1227="Bilinmeyen Personel","Kontrol","OK")</x:f>
        <x:v>OK</x:v>
      </x:c>
    </x:row>
    <x:row r="1228" ht="15.75">
      <x:c r="A1228" s="313" t="n">
        <x:f t="shared" si="19">ROW()-ROW($A$2)+1</x:f>
        <x:v>1227</x:v>
      </x:c>
      <x:c r="B1228" s="313" t="s">
        <x:v>40</x:v>
      </x:c>
      <x:c r="C1228" s="313" t="s">
        <x:v>57</x:v>
      </x:c>
      <x:c r="D1228" s="314">
        <x:v>1</x:v>
      </x:c>
      <x:c r="E1228" s="320">
        <x:v>1500</x:v>
      </x:c>
      <x:c r="F1228" s="320">
        <x:v>1500</x:v>
      </x:c>
      <x:c r="G1228" s="320">
        <x:v>700</x:v>
      </x:c>
      <x:c r="H1228" s="313" t="s">
        <x:v>67</x:v>
      </x:c>
      <x:c r="I1228" s="313" t="s">
        <x:v>46</x:v>
      </x:c>
      <x:c r="J1228" s="316" t="n">
        <x:f>IFERROR(G1228/F1228,0)</x:f>
        <x:v>0.4666666666666667</x:v>
      </x:c>
      <x:c r="K1228" s="312" t="str">
        <x:f>IF(B1228="Bilinmeyen Personel","Kontrol","OK")</x:f>
        <x:v>OK</x:v>
      </x:c>
    </x:row>
    <x:row r="1229" ht="15.75">
      <x:c r="A1229" s="313" t="n">
        <x:f t="shared" si="19">ROW()-ROW($A$2)+1</x:f>
        <x:v>1228</x:v>
      </x:c>
      <x:c r="B1229" s="313" t="s">
        <x:v>38</x:v>
      </x:c>
      <x:c r="C1229" s="313" t="s">
        <x:v>34</x:v>
      </x:c>
      <x:c r="D1229" s="314">
        <x:v>2</x:v>
      </x:c>
      <x:c r="E1229" s="320">
        <x:v>1090</x:v>
      </x:c>
      <x:c r="F1229" s="320">
        <x:v>2180</x:v>
      </x:c>
      <x:c r="G1229" s="320">
        <x:v>580</x:v>
      </x:c>
      <x:c r="H1229" s="313" t="s">
        <x:v>67</x:v>
      </x:c>
      <x:c r="I1229" s="313" t="s">
        <x:v>44</x:v>
      </x:c>
      <x:c r="J1229" s="316" t="n">
        <x:f>IFERROR(G1229/F1229,0)</x:f>
        <x:v>0.26605504587155965</x:v>
      </x:c>
      <x:c r="K1229" s="312" t="str">
        <x:f>IF(B1229="Bilinmeyen Personel","Kontrol","OK")</x:f>
        <x:v>OK</x:v>
      </x:c>
    </x:row>
    <x:row r="1230" ht="15.75">
      <x:c r="A1230" s="313" t="n">
        <x:f t="shared" si="19">ROW()-ROW($A$2)+1</x:f>
        <x:v>1229</x:v>
      </x:c>
      <x:c r="B1230" s="313" t="s">
        <x:v>48</x:v>
      </x:c>
      <x:c r="C1230" s="313" t="s">
        <x:v>36</x:v>
      </x:c>
      <x:c r="D1230" s="314">
        <x:v>3</x:v>
      </x:c>
      <x:c r="E1230" s="320">
        <x:v>1800</x:v>
      </x:c>
      <x:c r="F1230" s="320">
        <x:v>5400</x:v>
      </x:c>
      <x:c r="G1230" s="320">
        <x:v>3000</x:v>
      </x:c>
      <x:c r="H1230" s="313" t="s">
        <x:v>67</x:v>
      </x:c>
      <x:c r="I1230" s="313" t="s">
        <x:v>37</x:v>
      </x:c>
      <x:c r="J1230" s="316" t="n">
        <x:f>IFERROR(G1230/F1230,0)</x:f>
        <x:v>0.5555555555555556</x:v>
      </x:c>
      <x:c r="K1230" s="312" t="str">
        <x:f>IF(B1230="Bilinmeyen Personel","Kontrol","OK")</x:f>
        <x:v>OK</x:v>
      </x:c>
    </x:row>
    <x:row r="1231" ht="15.75">
      <x:c r="A1231" s="313" t="n">
        <x:f t="shared" si="19">ROW()-ROW($A$2)+1</x:f>
        <x:v>1230</x:v>
      </x:c>
      <x:c r="B1231" s="313" t="s">
        <x:v>35</x:v>
      </x:c>
      <x:c r="C1231" s="313" t="s">
        <x:v>55</x:v>
      </x:c>
      <x:c r="D1231" s="314">
        <x:v>2</x:v>
      </x:c>
      <x:c r="E1231" s="320">
        <x:v>7530</x:v>
      </x:c>
      <x:c r="F1231" s="320">
        <x:v>15060</x:v>
      </x:c>
      <x:c r="G1231" s="320">
        <x:v>3060</x:v>
      </x:c>
      <x:c r="H1231" s="313" t="s">
        <x:v>67</x:v>
      </x:c>
      <x:c r="I1231" s="313" t="s">
        <x:v>28</x:v>
      </x:c>
      <x:c r="J1231" s="316" t="n">
        <x:f>IFERROR(G1231/F1231,0)</x:f>
        <x:v>0.20318725099601595</x:v>
      </x:c>
      <x:c r="K1231" s="312" t="str">
        <x:f>IF(B1231="Bilinmeyen Personel","Kontrol","OK")</x:f>
        <x:v>OK</x:v>
      </x:c>
    </x:row>
    <x:row r="1232" ht="15.75">
      <x:c r="A1232" s="313" t="n">
        <x:f t="shared" si="19">ROW()-ROW($A$2)+1</x:f>
        <x:v>1231</x:v>
      </x:c>
      <x:c r="B1232" s="313" t="s">
        <x:v>32</x:v>
      </x:c>
      <x:c r="C1232" s="313" t="s">
        <x:v>27</x:v>
      </x:c>
      <x:c r="D1232" s="314">
        <x:v>3</x:v>
      </x:c>
      <x:c r="E1232" s="320">
        <x:v>1100</x:v>
      </x:c>
      <x:c r="F1232" s="320">
        <x:v>3300</x:v>
      </x:c>
      <x:c r="G1232" s="320">
        <x:v>900</x:v>
      </x:c>
      <x:c r="H1232" s="313" t="s">
        <x:v>67</x:v>
      </x:c>
      <x:c r="I1232" s="313" t="s">
        <x:v>28</x:v>
      </x:c>
      <x:c r="J1232" s="316" t="n">
        <x:f>IFERROR(G1232/F1232,0)</x:f>
        <x:v>0.2727272727272727</x:v>
      </x:c>
      <x:c r="K1232" s="312" t="str">
        <x:f>IF(B1232="Bilinmeyen Personel","Kontrol","OK")</x:f>
        <x:v>OK</x:v>
      </x:c>
    </x:row>
    <x:row r="1233" ht="15.75">
      <x:c r="A1233" s="313" t="n">
        <x:f t="shared" si="19">ROW()-ROW($A$2)+1</x:f>
        <x:v>1232</x:v>
      </x:c>
      <x:c r="B1233" s="313" t="s">
        <x:v>40</x:v>
      </x:c>
      <x:c r="C1233" s="313" t="s">
        <x:v>20</x:v>
      </x:c>
      <x:c r="D1233" s="314">
        <x:v>3</x:v>
      </x:c>
      <x:c r="E1233" s="320">
        <x:v>1350</x:v>
      </x:c>
      <x:c r="F1233" s="320">
        <x:v>4050</x:v>
      </x:c>
      <x:c r="G1233" s="320">
        <x:v>1650</x:v>
      </x:c>
      <x:c r="H1233" s="313" t="s">
        <x:v>67</x:v>
      </x:c>
      <x:c r="I1233" s="313" t="s">
        <x:v>25</x:v>
      </x:c>
      <x:c r="J1233" s="316" t="n">
        <x:f>IFERROR(G1233/F1233,0)</x:f>
        <x:v>0.4074074074074074</x:v>
      </x:c>
      <x:c r="K1233" s="312" t="str">
        <x:f>IF(B1233="Bilinmeyen Personel","Kontrol","OK")</x:f>
        <x:v>OK</x:v>
      </x:c>
    </x:row>
    <x:row r="1234" ht="15.75">
      <x:c r="A1234" s="313" t="n">
        <x:f t="shared" si="19">ROW()-ROW($A$2)+1</x:f>
        <x:v>1233</x:v>
      </x:c>
      <x:c r="B1234" s="313" t="s">
        <x:v>38</x:v>
      </x:c>
      <x:c r="C1234" s="313" t="s">
        <x:v>20</x:v>
      </x:c>
      <x:c r="D1234" s="314">
        <x:v>1</x:v>
      </x:c>
      <x:c r="E1234" s="320">
        <x:v>1350</x:v>
      </x:c>
      <x:c r="F1234" s="320">
        <x:v>1350</x:v>
      </x:c>
      <x:c r="G1234" s="320">
        <x:v>550</x:v>
      </x:c>
      <x:c r="H1234" s="313" t="s">
        <x:v>67</x:v>
      </x:c>
      <x:c r="I1234" s="313" t="s">
        <x:v>25</x:v>
      </x:c>
      <x:c r="J1234" s="316" t="n">
        <x:f>IFERROR(G1234/F1234,0)</x:f>
        <x:v>0.4074074074074074</x:v>
      </x:c>
      <x:c r="K1234" s="312" t="str">
        <x:f>IF(B1234="Bilinmeyen Personel","Kontrol","OK")</x:f>
        <x:v>OK</x:v>
      </x:c>
    </x:row>
    <x:row r="1235" ht="15.75">
      <x:c r="A1235" s="313" t="n">
        <x:f t="shared" si="19">ROW()-ROW($A$2)+1</x:f>
        <x:v>1234</x:v>
      </x:c>
      <x:c r="B1235" s="313" t="s">
        <x:v>35</x:v>
      </x:c>
      <x:c r="C1235" s="313" t="s">
        <x:v>34</x:v>
      </x:c>
      <x:c r="D1235" s="314">
        <x:v>2</x:v>
      </x:c>
      <x:c r="E1235" s="320">
        <x:v>1090</x:v>
      </x:c>
      <x:c r="F1235" s="320">
        <x:v>2180</x:v>
      </x:c>
      <x:c r="G1235" s="320">
        <x:v>580</x:v>
      </x:c>
      <x:c r="H1235" s="313" t="s">
        <x:v>67</x:v>
      </x:c>
      <x:c r="I1235" s="313" t="s">
        <x:v>28</x:v>
      </x:c>
      <x:c r="J1235" s="316" t="n">
        <x:f>IFERROR(G1235/F1235,0)</x:f>
        <x:v>0.26605504587155965</x:v>
      </x:c>
      <x:c r="K1235" s="312" t="str">
        <x:f>IF(B1235="Bilinmeyen Personel","Kontrol","OK")</x:f>
        <x:v>OK</x:v>
      </x:c>
    </x:row>
    <x:row r="1236" ht="15.75">
      <x:c r="A1236" s="313" t="n">
        <x:f t="shared" si="19">ROW()-ROW($A$2)+1</x:f>
        <x:v>1235</x:v>
      </x:c>
      <x:c r="B1236" s="313" t="s">
        <x:v>35</x:v>
      </x:c>
      <x:c r="C1236" s="313" t="s">
        <x:v>45</x:v>
      </x:c>
      <x:c r="D1236" s="314">
        <x:v>1</x:v>
      </x:c>
      <x:c r="E1236" s="320">
        <x:v>4200</x:v>
      </x:c>
      <x:c r="F1236" s="320">
        <x:v>4200</x:v>
      </x:c>
      <x:c r="G1236" s="320">
        <x:v>1200</x:v>
      </x:c>
      <x:c r="H1236" s="313" t="s">
        <x:v>67</x:v>
      </x:c>
      <x:c r="I1236" s="313" t="s">
        <x:v>31</x:v>
      </x:c>
      <x:c r="J1236" s="316" t="n">
        <x:f>IFERROR(G1236/F1236,0)</x:f>
        <x:v>0.2857142857142857</x:v>
      </x:c>
      <x:c r="K1236" s="312" t="str">
        <x:f>IF(B1236="Bilinmeyen Personel","Kontrol","OK")</x:f>
        <x:v>OK</x:v>
      </x:c>
    </x:row>
    <x:row r="1237" ht="15.75">
      <x:c r="A1237" s="313" t="n">
        <x:f t="shared" si="19">ROW()-ROW($A$2)+1</x:f>
        <x:v>1236</x:v>
      </x:c>
      <x:c r="B1237" s="313" t="s">
        <x:v>40</x:v>
      </x:c>
      <x:c r="C1237" s="313" t="s">
        <x:v>33</x:v>
      </x:c>
      <x:c r="D1237" s="314">
        <x:v>2</x:v>
      </x:c>
      <x:c r="E1237" s="320">
        <x:v>1800</x:v>
      </x:c>
      <x:c r="F1237" s="320">
        <x:v>3600</x:v>
      </x:c>
      <x:c r="G1237" s="320">
        <x:v>2000</x:v>
      </x:c>
      <x:c r="H1237" s="313" t="s">
        <x:v>67</x:v>
      </x:c>
      <x:c r="I1237" s="313" t="s">
        <x:v>42</x:v>
      </x:c>
      <x:c r="J1237" s="316" t="n">
        <x:f>IFERROR(G1237/F1237,0)</x:f>
        <x:v>0.5555555555555556</x:v>
      </x:c>
      <x:c r="K1237" s="312" t="str">
        <x:f>IF(B1237="Bilinmeyen Personel","Kontrol","OK")</x:f>
        <x:v>OK</x:v>
      </x:c>
    </x:row>
    <x:row r="1238" ht="15.75">
      <x:c r="A1238" s="313" t="n">
        <x:f t="shared" si="19">ROW()-ROW($A$2)+1</x:f>
        <x:v>1237</x:v>
      </x:c>
      <x:c r="B1238" s="313" t="s">
        <x:v>50</x:v>
      </x:c>
      <x:c r="C1238" s="313" t="s">
        <x:v>34</x:v>
      </x:c>
      <x:c r="D1238" s="314">
        <x:v>1</x:v>
      </x:c>
      <x:c r="E1238" s="320">
        <x:v>1090</x:v>
      </x:c>
      <x:c r="F1238" s="320">
        <x:v>1090</x:v>
      </x:c>
      <x:c r="G1238" s="320">
        <x:v>290</x:v>
      </x:c>
      <x:c r="H1238" s="313" t="s">
        <x:v>67</x:v>
      </x:c>
      <x:c r="I1238" s="313" t="s">
        <x:v>18</x:v>
      </x:c>
      <x:c r="J1238" s="316" t="n">
        <x:f>IFERROR(G1238/F1238,0)</x:f>
        <x:v>0.26605504587155965</x:v>
      </x:c>
      <x:c r="K1238" s="312" t="str">
        <x:f>IF(B1238="Bilinmeyen Personel","Kontrol","OK")</x:f>
        <x:v>OK</x:v>
      </x:c>
    </x:row>
    <x:row r="1239" ht="15.75">
      <x:c r="A1239" s="313" t="n">
        <x:f t="shared" si="19">ROW()-ROW($A$2)+1</x:f>
        <x:v>1238</x:v>
      </x:c>
      <x:c r="B1239" s="313" t="s">
        <x:v>9</x:v>
      </x:c>
      <x:c r="C1239" s="313" t="s">
        <x:v>24</x:v>
      </x:c>
      <x:c r="D1239" s="314">
        <x:v>1</x:v>
      </x:c>
      <x:c r="E1239" s="320">
        <x:v>7600</x:v>
      </x:c>
      <x:c r="F1239" s="320">
        <x:v>7600</x:v>
      </x:c>
      <x:c r="G1239" s="320">
        <x:v>1600</x:v>
      </x:c>
      <x:c r="H1239" s="313" t="s">
        <x:v>67</x:v>
      </x:c>
      <x:c r="I1239" s="313" t="s">
        <x:v>44</x:v>
      </x:c>
      <x:c r="J1239" s="316" t="n">
        <x:f>IFERROR(G1239/F1239,0)</x:f>
        <x:v>0.21052631578947367</x:v>
      </x:c>
      <x:c r="K1239" s="312" t="str">
        <x:f>IF(B1239="Bilinmeyen Personel","Kontrol","OK")</x:f>
        <x:v>OK</x:v>
      </x:c>
    </x:row>
    <x:row r="1240" ht="15.75">
      <x:c r="A1240" s="313" t="n">
        <x:f t="shared" si="19">ROW()-ROW($A$2)+1</x:f>
        <x:v>1239</x:v>
      </x:c>
      <x:c r="B1240" s="313" t="s">
        <x:v>38</x:v>
      </x:c>
      <x:c r="C1240" s="313" t="s">
        <x:v>24</x:v>
      </x:c>
      <x:c r="D1240" s="314">
        <x:v>3</x:v>
      </x:c>
      <x:c r="E1240" s="320">
        <x:v>7600</x:v>
      </x:c>
      <x:c r="F1240" s="320">
        <x:v>22800</x:v>
      </x:c>
      <x:c r="G1240" s="320">
        <x:v>4800</x:v>
      </x:c>
      <x:c r="H1240" s="313" t="s">
        <x:v>67</x:v>
      </x:c>
      <x:c r="I1240" s="313" t="s">
        <x:v>44</x:v>
      </x:c>
      <x:c r="J1240" s="316" t="n">
        <x:f>IFERROR(G1240/F1240,0)</x:f>
        <x:v>0.21052631578947367</x:v>
      </x:c>
      <x:c r="K1240" s="312" t="str">
        <x:f>IF(B1240="Bilinmeyen Personel","Kontrol","OK")</x:f>
        <x:v>OK</x:v>
      </x:c>
    </x:row>
    <x:row r="1241" ht="15.75">
      <x:c r="A1241" s="313" t="n">
        <x:f t="shared" si="19">ROW()-ROW($A$2)+1</x:f>
        <x:v>1240</x:v>
      </x:c>
      <x:c r="B1241" s="313" t="s">
        <x:v>16</x:v>
      </x:c>
      <x:c r="C1241" s="313" t="s">
        <x:v>58</x:v>
      </x:c>
      <x:c r="D1241" s="314">
        <x:v>1</x:v>
      </x:c>
      <x:c r="E1241" s="320">
        <x:v>3700</x:v>
      </x:c>
      <x:c r="F1241" s="320">
        <x:v>3700</x:v>
      </x:c>
      <x:c r="G1241" s="320">
        <x:v>700</x:v>
      </x:c>
      <x:c r="H1241" s="313" t="s">
        <x:v>67</x:v>
      </x:c>
      <x:c r="I1241" s="313" t="s">
        <x:v>21</x:v>
      </x:c>
      <x:c r="J1241" s="316" t="n">
        <x:f>IFERROR(G1241/F1241,0)</x:f>
        <x:v>0.1891891891891892</x:v>
      </x:c>
      <x:c r="K1241" s="312" t="str">
        <x:f>IF(B1241="Bilinmeyen Personel","Kontrol","OK")</x:f>
        <x:v>OK</x:v>
      </x:c>
    </x:row>
    <x:row r="1242" ht="15.75">
      <x:c r="A1242" s="313" t="n">
        <x:f t="shared" si="19">ROW()-ROW($A$2)+1</x:f>
        <x:v>1241</x:v>
      </x:c>
      <x:c r="B1242" s="313" t="s">
        <x:v>23</x:v>
      </x:c>
      <x:c r="C1242" s="313" t="s">
        <x:v>26</x:v>
      </x:c>
      <x:c r="D1242" s="314">
        <x:v>3</x:v>
      </x:c>
      <x:c r="E1242" s="320">
        <x:v>7250</x:v>
      </x:c>
      <x:c r="F1242" s="320">
        <x:v>21750</x:v>
      </x:c>
      <x:c r="G1242" s="320">
        <x:v>6750</x:v>
      </x:c>
      <x:c r="H1242" s="313" t="s">
        <x:v>67</x:v>
      </x:c>
      <x:c r="I1242" s="313" t="s">
        <x:v>42</x:v>
      </x:c>
      <x:c r="J1242" s="316" t="n">
        <x:f>IFERROR(G1242/F1242,0)</x:f>
        <x:v>0.3103448275862069</x:v>
      </x:c>
      <x:c r="K1242" s="312" t="str">
        <x:f>IF(B1242="Bilinmeyen Personel","Kontrol","OK")</x:f>
        <x:v>OK</x:v>
      </x:c>
    </x:row>
    <x:row r="1243" ht="15.75">
      <x:c r="A1243" s="313" t="n">
        <x:f t="shared" si="19">ROW()-ROW($A$2)+1</x:f>
        <x:v>1242</x:v>
      </x:c>
      <x:c r="B1243" s="313" t="s">
        <x:v>13</x:v>
      </x:c>
      <x:c r="C1243" s="313" t="s">
        <x:v>24</x:v>
      </x:c>
      <x:c r="D1243" s="314">
        <x:v>3</x:v>
      </x:c>
      <x:c r="E1243" s="320">
        <x:v>7600</x:v>
      </x:c>
      <x:c r="F1243" s="320">
        <x:v>22800</x:v>
      </x:c>
      <x:c r="G1243" s="320">
        <x:v>4800</x:v>
      </x:c>
      <x:c r="H1243" s="313" t="s">
        <x:v>67</x:v>
      </x:c>
      <x:c r="I1243" s="313" t="s">
        <x:v>42</x:v>
      </x:c>
      <x:c r="J1243" s="316" t="n">
        <x:f>IFERROR(G1243/F1243,0)</x:f>
        <x:v>0.21052631578947367</x:v>
      </x:c>
      <x:c r="K1243" s="312" t="str">
        <x:f>IF(B1243="Bilinmeyen Personel","Kontrol","OK")</x:f>
        <x:v>OK</x:v>
      </x:c>
    </x:row>
    <x:row r="1244" ht="15.75">
      <x:c r="A1244" s="313" t="n">
        <x:f t="shared" si="19">ROW()-ROW($A$2)+1</x:f>
        <x:v>1243</x:v>
      </x:c>
      <x:c r="B1244" s="313" t="s">
        <x:v>48</x:v>
      </x:c>
      <x:c r="C1244" s="313" t="s">
        <x:v>45</x:v>
      </x:c>
      <x:c r="D1244" s="314">
        <x:v>1</x:v>
      </x:c>
      <x:c r="E1244" s="320">
        <x:v>4200</x:v>
      </x:c>
      <x:c r="F1244" s="320">
        <x:v>4200</x:v>
      </x:c>
      <x:c r="G1244" s="320">
        <x:v>1200</x:v>
      </x:c>
      <x:c r="H1244" s="313" t="s">
        <x:v>67</x:v>
      </x:c>
      <x:c r="I1244" s="313" t="s">
        <x:v>37</x:v>
      </x:c>
      <x:c r="J1244" s="316" t="n">
        <x:f>IFERROR(G1244/F1244,0)</x:f>
        <x:v>0.2857142857142857</x:v>
      </x:c>
      <x:c r="K1244" s="312" t="str">
        <x:f>IF(B1244="Bilinmeyen Personel","Kontrol","OK")</x:f>
        <x:v>OK</x:v>
      </x:c>
    </x:row>
    <x:row r="1245" ht="15.75">
      <x:c r="A1245" s="313" t="n">
        <x:f t="shared" si="19">ROW()-ROW($A$2)+1</x:f>
        <x:v>1244</x:v>
      </x:c>
      <x:c r="B1245" s="313" t="s">
        <x:v>32</x:v>
      </x:c>
      <x:c r="C1245" s="313" t="s">
        <x:v>52</x:v>
      </x:c>
      <x:c r="D1245" s="314">
        <x:v>3</x:v>
      </x:c>
      <x:c r="E1245" s="320">
        <x:v>1250</x:v>
      </x:c>
      <x:c r="F1245" s="320">
        <x:v>3750</x:v>
      </x:c>
      <x:c r="G1245" s="320">
        <x:v>1350</x:v>
      </x:c>
      <x:c r="H1245" s="313" t="s">
        <x:v>67</x:v>
      </x:c>
      <x:c r="I1245" s="313" t="s">
        <x:v>31</x:v>
      </x:c>
      <x:c r="J1245" s="316" t="n">
        <x:f>IFERROR(G1245/F1245,0)</x:f>
        <x:v>0.36</x:v>
      </x:c>
      <x:c r="K1245" s="312" t="str">
        <x:f>IF(B1245="Bilinmeyen Personel","Kontrol","OK")</x:f>
        <x:v>OK</x:v>
      </x:c>
    </x:row>
    <x:row r="1246" ht="15.75">
      <x:c r="A1246" s="313" t="n">
        <x:f t="shared" si="19">ROW()-ROW($A$2)+1</x:f>
        <x:v>1245</x:v>
      </x:c>
      <x:c r="B1246" s="313" t="s">
        <x:v>38</x:v>
      </x:c>
      <x:c r="C1246" s="313" t="s">
        <x:v>34</x:v>
      </x:c>
      <x:c r="D1246" s="314">
        <x:v>1</x:v>
      </x:c>
      <x:c r="E1246" s="320">
        <x:v>1090</x:v>
      </x:c>
      <x:c r="F1246" s="320">
        <x:v>1090</x:v>
      </x:c>
      <x:c r="G1246" s="320">
        <x:v>290</x:v>
      </x:c>
      <x:c r="H1246" s="313" t="s">
        <x:v>67</x:v>
      </x:c>
      <x:c r="I1246" s="313" t="s">
        <x:v>31</x:v>
      </x:c>
      <x:c r="J1246" s="316" t="n">
        <x:f>IFERROR(G1246/F1246,0)</x:f>
        <x:v>0.26605504587155965</x:v>
      </x:c>
      <x:c r="K1246" s="312" t="str">
        <x:f>IF(B1246="Bilinmeyen Personel","Kontrol","OK")</x:f>
        <x:v>OK</x:v>
      </x:c>
    </x:row>
    <x:row r="1247" ht="15.75">
      <x:c r="A1247" s="313" t="n">
        <x:f t="shared" si="19">ROW()-ROW($A$2)+1</x:f>
        <x:v>1246</x:v>
      </x:c>
      <x:c r="B1247" s="313" t="s">
        <x:v>19</x:v>
      </x:c>
      <x:c r="C1247" s="313" t="s">
        <x:v>22</x:v>
      </x:c>
      <x:c r="D1247" s="314">
        <x:v>1</x:v>
      </x:c>
      <x:c r="E1247" s="320">
        <x:v>2180</x:v>
      </x:c>
      <x:c r="F1247" s="320">
        <x:v>2180</x:v>
      </x:c>
      <x:c r="G1247" s="320">
        <x:v>680</x:v>
      </x:c>
      <x:c r="H1247" s="313" t="s">
        <x:v>67</x:v>
      </x:c>
      <x:c r="I1247" s="313" t="s">
        <x:v>37</x:v>
      </x:c>
      <x:c r="J1247" s="316" t="n">
        <x:f>IFERROR(G1247/F1247,0)</x:f>
        <x:v>0.3119266055045872</x:v>
      </x:c>
      <x:c r="K1247" s="312" t="str">
        <x:f>IF(B1247="Bilinmeyen Personel","Kontrol","OK")</x:f>
        <x:v>OK</x:v>
      </x:c>
    </x:row>
    <x:row r="1248" ht="15.75">
      <x:c r="A1248" s="313" t="n">
        <x:f t="shared" si="19">ROW()-ROW($A$2)+1</x:f>
        <x:v>1247</x:v>
      </x:c>
      <x:c r="B1248" s="313" t="s">
        <x:v>50</x:v>
      </x:c>
      <x:c r="C1248" s="313" t="s">
        <x:v>58</x:v>
      </x:c>
      <x:c r="D1248" s="314">
        <x:v>2</x:v>
      </x:c>
      <x:c r="E1248" s="320">
        <x:v>3700</x:v>
      </x:c>
      <x:c r="F1248" s="320">
        <x:v>7400</x:v>
      </x:c>
      <x:c r="G1248" s="320">
        <x:v>1400</x:v>
      </x:c>
      <x:c r="H1248" s="313" t="s">
        <x:v>67</x:v>
      </x:c>
      <x:c r="I1248" s="313" t="s">
        <x:v>18</x:v>
      </x:c>
      <x:c r="J1248" s="316" t="n">
        <x:f>IFERROR(G1248/F1248,0)</x:f>
        <x:v>0.1891891891891892</x:v>
      </x:c>
      <x:c r="K1248" s="312" t="str">
        <x:f>IF(B1248="Bilinmeyen Personel","Kontrol","OK")</x:f>
        <x:v>OK</x:v>
      </x:c>
    </x:row>
    <x:row r="1249" ht="15.75">
      <x:c r="A1249" s="313" t="n">
        <x:f t="shared" si="19">ROW()-ROW($A$2)+1</x:f>
        <x:v>1248</x:v>
      </x:c>
      <x:c r="B1249" s="313" t="s">
        <x:v>40</x:v>
      </x:c>
      <x:c r="C1249" s="313" t="s">
        <x:v>10</x:v>
      </x:c>
      <x:c r="D1249" s="314">
        <x:v>2</x:v>
      </x:c>
      <x:c r="E1249" s="320">
        <x:v>6000</x:v>
      </x:c>
      <x:c r="F1249" s="320">
        <x:v>12000</x:v>
      </x:c>
      <x:c r="G1249" s="320">
        <x:v>4000</x:v>
      </x:c>
      <x:c r="H1249" s="313" t="s">
        <x:v>67</x:v>
      </x:c>
      <x:c r="I1249" s="313" t="s">
        <x:v>31</x:v>
      </x:c>
      <x:c r="J1249" s="316" t="n">
        <x:f>IFERROR(G1249/F1249,0)</x:f>
        <x:v>0.3333333333333333</x:v>
      </x:c>
      <x:c r="K1249" s="312" t="str">
        <x:f>IF(B1249="Bilinmeyen Personel","Kontrol","OK")</x:f>
        <x:v>OK</x:v>
      </x:c>
    </x:row>
    <x:row r="1250" ht="15.75">
      <x:c r="A1250" s="313" t="n">
        <x:f t="shared" si="19">ROW()-ROW($A$2)+1</x:f>
        <x:v>1249</x:v>
      </x:c>
      <x:c r="B1250" s="313" t="s">
        <x:v>48</x:v>
      </x:c>
      <x:c r="C1250" s="313" t="s">
        <x:v>52</x:v>
      </x:c>
      <x:c r="D1250" s="314">
        <x:v>2</x:v>
      </x:c>
      <x:c r="E1250" s="320">
        <x:v>1250</x:v>
      </x:c>
      <x:c r="F1250" s="320">
        <x:v>2500</x:v>
      </x:c>
      <x:c r="G1250" s="320">
        <x:v>900</x:v>
      </x:c>
      <x:c r="H1250" s="313" t="s">
        <x:v>67</x:v>
      </x:c>
      <x:c r="I1250" s="313" t="s">
        <x:v>25</x:v>
      </x:c>
      <x:c r="J1250" s="316" t="n">
        <x:f>IFERROR(G1250/F1250,0)</x:f>
        <x:v>0.36</x:v>
      </x:c>
      <x:c r="K1250" s="312" t="str">
        <x:f>IF(B1250="Bilinmeyen Personel","Kontrol","OK")</x:f>
        <x:v>OK</x:v>
      </x:c>
    </x:row>
    <x:row r="1251" ht="15.75">
      <x:c r="A1251" s="313" t="n">
        <x:f t="shared" si="19">ROW()-ROW($A$2)+1</x:f>
        <x:v>1250</x:v>
      </x:c>
      <x:c r="B1251" s="313" t="s">
        <x:v>50</x:v>
      </x:c>
      <x:c r="C1251" s="313" t="s">
        <x:v>24</x:v>
      </x:c>
      <x:c r="D1251" s="314">
        <x:v>1</x:v>
      </x:c>
      <x:c r="E1251" s="320">
        <x:v>7600</x:v>
      </x:c>
      <x:c r="F1251" s="320">
        <x:v>7600</x:v>
      </x:c>
      <x:c r="G1251" s="320">
        <x:v>1600</x:v>
      </x:c>
      <x:c r="H1251" s="313" t="s">
        <x:v>67</x:v>
      </x:c>
      <x:c r="I1251" s="313" t="s">
        <x:v>42</x:v>
      </x:c>
      <x:c r="J1251" s="316" t="n">
        <x:f>IFERROR(G1251/F1251,0)</x:f>
        <x:v>0.21052631578947367</x:v>
      </x:c>
      <x:c r="K1251" s="312" t="str">
        <x:f>IF(B1251="Bilinmeyen Personel","Kontrol","OK")</x:f>
        <x:v>OK</x:v>
      </x:c>
    </x:row>
    <x:row r="1252" ht="15.75">
      <x:c r="A1252" s="313" t="n">
        <x:f t="shared" si="19">ROW()-ROW($A$2)+1</x:f>
        <x:v>1251</x:v>
      </x:c>
      <x:c r="B1252" s="313" t="s">
        <x:v>9</x:v>
      </x:c>
      <x:c r="C1252" s="313" t="s">
        <x:v>14</x:v>
      </x:c>
      <x:c r="D1252" s="314">
        <x:v>2</x:v>
      </x:c>
      <x:c r="E1252" s="320">
        <x:v>1400</x:v>
      </x:c>
      <x:c r="F1252" s="320">
        <x:v>2800</x:v>
      </x:c>
      <x:c r="G1252" s="320">
        <x:v>1200</x:v>
      </x:c>
      <x:c r="H1252" s="313" t="s">
        <x:v>67</x:v>
      </x:c>
      <x:c r="I1252" s="313" t="s">
        <x:v>28</x:v>
      </x:c>
      <x:c r="J1252" s="316" t="n">
        <x:f>IFERROR(G1252/F1252,0)</x:f>
        <x:v>0.42857142857142855</x:v>
      </x:c>
      <x:c r="K1252" s="312" t="str">
        <x:f>IF(B1252="Bilinmeyen Personel","Kontrol","OK")</x:f>
        <x:v>OK</x:v>
      </x:c>
    </x:row>
    <x:row r="1253" ht="15.75">
      <x:c r="A1253" s="313" t="n">
        <x:f t="shared" si="19">ROW()-ROW($A$2)+1</x:f>
        <x:v>1252</x:v>
      </x:c>
      <x:c r="B1253" s="313" t="s">
        <x:v>23</x:v>
      </x:c>
      <x:c r="C1253" s="313" t="s">
        <x:v>22</x:v>
      </x:c>
      <x:c r="D1253" s="314">
        <x:v>2</x:v>
      </x:c>
      <x:c r="E1253" s="320">
        <x:v>2180</x:v>
      </x:c>
      <x:c r="F1253" s="320">
        <x:v>4360</x:v>
      </x:c>
      <x:c r="G1253" s="320">
        <x:v>1360</x:v>
      </x:c>
      <x:c r="H1253" s="313" t="s">
        <x:v>67</x:v>
      </x:c>
      <x:c r="I1253" s="313" t="s">
        <x:v>15</x:v>
      </x:c>
      <x:c r="J1253" s="316" t="n">
        <x:f>IFERROR(G1253/F1253,0)</x:f>
        <x:v>0.3119266055045872</x:v>
      </x:c>
      <x:c r="K1253" s="312" t="str">
        <x:f>IF(B1253="Bilinmeyen Personel","Kontrol","OK")</x:f>
        <x:v>OK</x:v>
      </x:c>
    </x:row>
    <x:row r="1254" ht="15.75">
      <x:c r="A1254" s="313" t="n">
        <x:f t="shared" si="19">ROW()-ROW($A$2)+1</x:f>
        <x:v>1253</x:v>
      </x:c>
      <x:c r="B1254" s="313" t="s">
        <x:v>9</x:v>
      </x:c>
      <x:c r="C1254" s="313" t="s">
        <x:v>33</x:v>
      </x:c>
      <x:c r="D1254" s="314">
        <x:v>3</x:v>
      </x:c>
      <x:c r="E1254" s="320">
        <x:v>1800</x:v>
      </x:c>
      <x:c r="F1254" s="320">
        <x:v>5400</x:v>
      </x:c>
      <x:c r="G1254" s="320">
        <x:v>3000</x:v>
      </x:c>
      <x:c r="H1254" s="313" t="s">
        <x:v>67</x:v>
      </x:c>
      <x:c r="I1254" s="313" t="s">
        <x:v>42</x:v>
      </x:c>
      <x:c r="J1254" s="316" t="n">
        <x:f>IFERROR(G1254/F1254,0)</x:f>
        <x:v>0.5555555555555556</x:v>
      </x:c>
      <x:c r="K1254" s="312" t="str">
        <x:f>IF(B1254="Bilinmeyen Personel","Kontrol","OK")</x:f>
        <x:v>OK</x:v>
      </x:c>
    </x:row>
    <x:row r="1255" ht="15.75">
      <x:c r="A1255" s="313" t="n">
        <x:f t="shared" si="19">ROW()-ROW($A$2)+1</x:f>
        <x:v>1254</x:v>
      </x:c>
      <x:c r="B1255" s="313" t="s">
        <x:v>16</x:v>
      </x:c>
      <x:c r="C1255" s="313" t="s">
        <x:v>57</x:v>
      </x:c>
      <x:c r="D1255" s="314">
        <x:v>1</x:v>
      </x:c>
      <x:c r="E1255" s="320">
        <x:v>1500</x:v>
      </x:c>
      <x:c r="F1255" s="320">
        <x:v>1500</x:v>
      </x:c>
      <x:c r="G1255" s="320">
        <x:v>700</x:v>
      </x:c>
      <x:c r="H1255" s="313" t="s">
        <x:v>67</x:v>
      </x:c>
      <x:c r="I1255" s="313" t="s">
        <x:v>18</x:v>
      </x:c>
      <x:c r="J1255" s="316" t="n">
        <x:f>IFERROR(G1255/F1255,0)</x:f>
        <x:v>0.4666666666666667</x:v>
      </x:c>
      <x:c r="K1255" s="312" t="str">
        <x:f>IF(B1255="Bilinmeyen Personel","Kontrol","OK")</x:f>
        <x:v>OK</x:v>
      </x:c>
    </x:row>
    <x:row r="1256" ht="15.75">
      <x:c r="A1256" s="313" t="n">
        <x:f t="shared" si="19">ROW()-ROW($A$2)+1</x:f>
        <x:v>1255</x:v>
      </x:c>
      <x:c r="B1256" s="313" t="s">
        <x:v>32</x:v>
      </x:c>
      <x:c r="C1256" s="313" t="s">
        <x:v>17</x:v>
      </x:c>
      <x:c r="D1256" s="314">
        <x:v>3</x:v>
      </x:c>
      <x:c r="E1256" s="320">
        <x:v>8450</x:v>
      </x:c>
      <x:c r="F1256" s="320">
        <x:v>25350</x:v>
      </x:c>
      <x:c r="G1256" s="320">
        <x:v>7350</x:v>
      </x:c>
      <x:c r="H1256" s="313" t="s">
        <x:v>67</x:v>
      </x:c>
      <x:c r="I1256" s="313" t="s">
        <x:v>28</x:v>
      </x:c>
      <x:c r="J1256" s="316" t="n">
        <x:f>IFERROR(G1256/F1256,0)</x:f>
        <x:v>0.28994082840236685</x:v>
      </x:c>
      <x:c r="K1256" s="312" t="str">
        <x:f>IF(B1256="Bilinmeyen Personel","Kontrol","OK")</x:f>
        <x:v>OK</x:v>
      </x:c>
    </x:row>
    <x:row r="1257" ht="15.75">
      <x:c r="A1257" s="313" t="n">
        <x:f t="shared" si="19">ROW()-ROW($A$2)+1</x:f>
        <x:v>1256</x:v>
      </x:c>
      <x:c r="B1257" s="313" t="s">
        <x:v>40</x:v>
      </x:c>
      <x:c r="C1257" s="313" t="s">
        <x:v>57</x:v>
      </x:c>
      <x:c r="D1257" s="314">
        <x:v>3</x:v>
      </x:c>
      <x:c r="E1257" s="320">
        <x:v>1500</x:v>
      </x:c>
      <x:c r="F1257" s="320">
        <x:v>4500</x:v>
      </x:c>
      <x:c r="G1257" s="320">
        <x:v>2100</x:v>
      </x:c>
      <x:c r="H1257" s="313" t="s">
        <x:v>67</x:v>
      </x:c>
      <x:c r="I1257" s="313" t="s">
        <x:v>15</x:v>
      </x:c>
      <x:c r="J1257" s="316" t="n">
        <x:f>IFERROR(G1257/F1257,0)</x:f>
        <x:v>0.4666666666666667</x:v>
      </x:c>
      <x:c r="K1257" s="312" t="str">
        <x:f>IF(B1257="Bilinmeyen Personel","Kontrol","OK")</x:f>
        <x:v>OK</x:v>
      </x:c>
    </x:row>
    <x:row r="1258" ht="15.75">
      <x:c r="A1258" s="313" t="n">
        <x:f t="shared" si="19">ROW()-ROW($A$2)+1</x:f>
        <x:v>1257</x:v>
      </x:c>
      <x:c r="B1258" s="313" t="s">
        <x:v>29</x:v>
      </x:c>
      <x:c r="C1258" s="313" t="s">
        <x:v>10</x:v>
      </x:c>
      <x:c r="D1258" s="314">
        <x:v>3</x:v>
      </x:c>
      <x:c r="E1258" s="320">
        <x:v>6000</x:v>
      </x:c>
      <x:c r="F1258" s="320">
        <x:v>18000</x:v>
      </x:c>
      <x:c r="G1258" s="320">
        <x:v>6000</x:v>
      </x:c>
      <x:c r="H1258" s="313" t="s">
        <x:v>67</x:v>
      </x:c>
      <x:c r="I1258" s="313" t="s">
        <x:v>25</x:v>
      </x:c>
      <x:c r="J1258" s="316" t="n">
        <x:f>IFERROR(G1258/F1258,0)</x:f>
        <x:v>0.3333333333333333</x:v>
      </x:c>
      <x:c r="K1258" s="312" t="str">
        <x:f>IF(B1258="Bilinmeyen Personel","Kontrol","OK")</x:f>
        <x:v>OK</x:v>
      </x:c>
    </x:row>
    <x:row r="1259" ht="15.75">
      <x:c r="A1259" s="313" t="n">
        <x:f t="shared" si="19">ROW()-ROW($A$2)+1</x:f>
        <x:v>1258</x:v>
      </x:c>
      <x:c r="B1259" s="313" t="s">
        <x:v>50</x:v>
      </x:c>
      <x:c r="C1259" s="313" t="s">
        <x:v>53</x:v>
      </x:c>
      <x:c r="D1259" s="314">
        <x:v>1</x:v>
      </x:c>
      <x:c r="E1259" s="320">
        <x:v>1200</x:v>
      </x:c>
      <x:c r="F1259" s="320">
        <x:v>1200</x:v>
      </x:c>
      <x:c r="G1259" s="320">
        <x:v>400</x:v>
      </x:c>
      <x:c r="H1259" s="313" t="s">
        <x:v>67</x:v>
      </x:c>
      <x:c r="I1259" s="313" t="s">
        <x:v>46</x:v>
      </x:c>
      <x:c r="J1259" s="316" t="n">
        <x:f>IFERROR(G1259/F1259,0)</x:f>
        <x:v>0.3333333333333333</x:v>
      </x:c>
      <x:c r="K1259" s="312" t="str">
        <x:f>IF(B1259="Bilinmeyen Personel","Kontrol","OK")</x:f>
        <x:v>OK</x:v>
      </x:c>
    </x:row>
    <x:row r="1260" ht="15.75">
      <x:c r="A1260" s="313" t="n">
        <x:f t="shared" si="19">ROW()-ROW($A$2)+1</x:f>
        <x:v>1259</x:v>
      </x:c>
      <x:c r="B1260" s="313" t="s">
        <x:v>9</x:v>
      </x:c>
      <x:c r="C1260" s="313" t="s">
        <x:v>45</x:v>
      </x:c>
      <x:c r="D1260" s="314">
        <x:v>3</x:v>
      </x:c>
      <x:c r="E1260" s="320">
        <x:v>4200</x:v>
      </x:c>
      <x:c r="F1260" s="320">
        <x:v>12600</x:v>
      </x:c>
      <x:c r="G1260" s="320">
        <x:v>3600</x:v>
      </x:c>
      <x:c r="H1260" s="313" t="s">
        <x:v>67</x:v>
      </x:c>
      <x:c r="I1260" s="313" t="s">
        <x:v>18</x:v>
      </x:c>
      <x:c r="J1260" s="316" t="n">
        <x:f>IFERROR(G1260/F1260,0)</x:f>
        <x:v>0.2857142857142857</x:v>
      </x:c>
      <x:c r="K1260" s="312" t="str">
        <x:f>IF(B1260="Bilinmeyen Personel","Kontrol","OK")</x:f>
        <x:v>OK</x:v>
      </x:c>
    </x:row>
    <x:row r="1261" ht="15.75">
      <x:c r="A1261" s="313" t="n">
        <x:f t="shared" si="19">ROW()-ROW($A$2)+1</x:f>
        <x:v>1260</x:v>
      </x:c>
      <x:c r="B1261" s="313" t="s">
        <x:v>48</x:v>
      </x:c>
      <x:c r="C1261" s="313" t="s">
        <x:v>24</x:v>
      </x:c>
      <x:c r="D1261" s="314">
        <x:v>3</x:v>
      </x:c>
      <x:c r="E1261" s="320">
        <x:v>7600</x:v>
      </x:c>
      <x:c r="F1261" s="320">
        <x:v>22800</x:v>
      </x:c>
      <x:c r="G1261" s="320">
        <x:v>4800</x:v>
      </x:c>
      <x:c r="H1261" s="313" t="s">
        <x:v>67</x:v>
      </x:c>
      <x:c r="I1261" s="313" t="s">
        <x:v>44</x:v>
      </x:c>
      <x:c r="J1261" s="316" t="n">
        <x:f>IFERROR(G1261/F1261,0)</x:f>
        <x:v>0.21052631578947367</x:v>
      </x:c>
      <x:c r="K1261" s="312" t="str">
        <x:f>IF(B1261="Bilinmeyen Personel","Kontrol","OK")</x:f>
        <x:v>OK</x:v>
      </x:c>
    </x:row>
    <x:row r="1262" ht="15.75">
      <x:c r="A1262" s="313" t="n">
        <x:f t="shared" si="19">ROW()-ROW($A$2)+1</x:f>
        <x:v>1261</x:v>
      </x:c>
      <x:c r="B1262" s="313" t="s">
        <x:v>29</x:v>
      </x:c>
      <x:c r="C1262" s="313" t="s">
        <x:v>26</x:v>
      </x:c>
      <x:c r="D1262" s="314">
        <x:v>2</x:v>
      </x:c>
      <x:c r="E1262" s="320">
        <x:v>7250</x:v>
      </x:c>
      <x:c r="F1262" s="320">
        <x:v>14500</x:v>
      </x:c>
      <x:c r="G1262" s="320">
        <x:v>4500</x:v>
      </x:c>
      <x:c r="H1262" s="313" t="s">
        <x:v>67</x:v>
      </x:c>
      <x:c r="I1262" s="313" t="s">
        <x:v>54</x:v>
      </x:c>
      <x:c r="J1262" s="316" t="n">
        <x:f>IFERROR(G1262/F1262,0)</x:f>
        <x:v>0.3103448275862069</x:v>
      </x:c>
      <x:c r="K1262" s="312" t="str">
        <x:f>IF(B1262="Bilinmeyen Personel","Kontrol","OK")</x:f>
        <x:v>OK</x:v>
      </x:c>
    </x:row>
    <x:row r="1263" ht="15.75">
      <x:c r="A1263" s="313" t="n">
        <x:f t="shared" si="19">ROW()-ROW($A$2)+1</x:f>
        <x:v>1262</x:v>
      </x:c>
      <x:c r="B1263" s="313" t="s">
        <x:v>13</x:v>
      </x:c>
      <x:c r="C1263" s="313" t="s">
        <x:v>55</x:v>
      </x:c>
      <x:c r="D1263" s="314">
        <x:v>2</x:v>
      </x:c>
      <x:c r="E1263" s="320">
        <x:v>7530</x:v>
      </x:c>
      <x:c r="F1263" s="320">
        <x:v>15060</x:v>
      </x:c>
      <x:c r="G1263" s="320">
        <x:v>3060</x:v>
      </x:c>
      <x:c r="H1263" s="313" t="s">
        <x:v>67</x:v>
      </x:c>
      <x:c r="I1263" s="313" t="s">
        <x:v>12</x:v>
      </x:c>
      <x:c r="J1263" s="316" t="n">
        <x:f>IFERROR(G1263/F1263,0)</x:f>
        <x:v>0.20318725099601595</x:v>
      </x:c>
      <x:c r="K1263" s="312" t="str">
        <x:f>IF(B1263="Bilinmeyen Personel","Kontrol","OK")</x:f>
        <x:v>OK</x:v>
      </x:c>
    </x:row>
    <x:row r="1264" ht="15.75">
      <x:c r="A1264" s="313" t="n">
        <x:f t="shared" si="19">ROW()-ROW($A$2)+1</x:f>
        <x:v>1263</x:v>
      </x:c>
      <x:c r="B1264" s="313" t="s">
        <x:v>16</x:v>
      </x:c>
      <x:c r="C1264" s="313" t="s">
        <x:v>26</x:v>
      </x:c>
      <x:c r="D1264" s="314">
        <x:v>2</x:v>
      </x:c>
      <x:c r="E1264" s="320">
        <x:v>7250</x:v>
      </x:c>
      <x:c r="F1264" s="320">
        <x:v>14500</x:v>
      </x:c>
      <x:c r="G1264" s="320">
        <x:v>4500</x:v>
      </x:c>
      <x:c r="H1264" s="313" t="s">
        <x:v>67</x:v>
      </x:c>
      <x:c r="I1264" s="313" t="s">
        <x:v>18</x:v>
      </x:c>
      <x:c r="J1264" s="316" t="n">
        <x:f>IFERROR(G1264/F1264,0)</x:f>
        <x:v>0.3103448275862069</x:v>
      </x:c>
      <x:c r="K1264" s="312" t="str">
        <x:f>IF(B1264="Bilinmeyen Personel","Kontrol","OK")</x:f>
        <x:v>OK</x:v>
      </x:c>
    </x:row>
    <x:row r="1265" ht="15.75">
      <x:c r="A1265" s="313" t="n">
        <x:f t="shared" si="19">ROW()-ROW($A$2)+1</x:f>
        <x:v>1264</x:v>
      </x:c>
      <x:c r="B1265" s="313" t="s">
        <x:v>13</x:v>
      </x:c>
      <x:c r="C1265" s="313" t="s">
        <x:v>10</x:v>
      </x:c>
      <x:c r="D1265" s="314">
        <x:v>1</x:v>
      </x:c>
      <x:c r="E1265" s="320">
        <x:v>6000</x:v>
      </x:c>
      <x:c r="F1265" s="320">
        <x:v>6000</x:v>
      </x:c>
      <x:c r="G1265" s="320">
        <x:v>2000</x:v>
      </x:c>
      <x:c r="H1265" s="313" t="s">
        <x:v>67</x:v>
      </x:c>
      <x:c r="I1265" s="313" t="s">
        <x:v>31</x:v>
      </x:c>
      <x:c r="J1265" s="316" t="n">
        <x:f>IFERROR(G1265/F1265,0)</x:f>
        <x:v>0.3333333333333333</x:v>
      </x:c>
      <x:c r="K1265" s="312" t="str">
        <x:f>IF(B1265="Bilinmeyen Personel","Kontrol","OK")</x:f>
        <x:v>OK</x:v>
      </x:c>
    </x:row>
    <x:row r="1266" ht="15.75">
      <x:c r="A1266" s="313" t="n">
        <x:f t="shared" si="19">ROW()-ROW($A$2)+1</x:f>
        <x:v>1265</x:v>
      </x:c>
      <x:c r="B1266" s="313" t="s">
        <x:v>29</x:v>
      </x:c>
      <x:c r="C1266" s="313" t="s">
        <x:v>53</x:v>
      </x:c>
      <x:c r="D1266" s="314">
        <x:v>3</x:v>
      </x:c>
      <x:c r="E1266" s="320">
        <x:v>1200</x:v>
      </x:c>
      <x:c r="F1266" s="320">
        <x:v>3600</x:v>
      </x:c>
      <x:c r="G1266" s="320">
        <x:v>1200</x:v>
      </x:c>
      <x:c r="H1266" s="313" t="s">
        <x:v>67</x:v>
      </x:c>
      <x:c r="I1266" s="313" t="s">
        <x:v>41</x:v>
      </x:c>
      <x:c r="J1266" s="316" t="n">
        <x:f>IFERROR(G1266/F1266,0)</x:f>
        <x:v>0.3333333333333333</x:v>
      </x:c>
      <x:c r="K1266" s="312" t="str">
        <x:f>IF(B1266="Bilinmeyen Personel","Kontrol","OK")</x:f>
        <x:v>OK</x:v>
      </x:c>
    </x:row>
    <x:row r="1267" ht="15.75">
      <x:c r="A1267" s="313" t="n">
        <x:f t="shared" si="19">ROW()-ROW($A$2)+1</x:f>
        <x:v>1266</x:v>
      </x:c>
      <x:c r="B1267" s="313" t="s">
        <x:v>50</x:v>
      </x:c>
      <x:c r="C1267" s="313" t="s">
        <x:v>56</x:v>
      </x:c>
      <x:c r="D1267" s="314">
        <x:v>2</x:v>
      </x:c>
      <x:c r="E1267" s="320">
        <x:v>5300</x:v>
      </x:c>
      <x:c r="F1267" s="320">
        <x:v>10600</x:v>
      </x:c>
      <x:c r="G1267" s="320">
        <x:v>2600</x:v>
      </x:c>
      <x:c r="H1267" s="313" t="s">
        <x:v>67</x:v>
      </x:c>
      <x:c r="I1267" s="313" t="s">
        <x:v>41</x:v>
      </x:c>
      <x:c r="J1267" s="316" t="n">
        <x:f>IFERROR(G1267/F1267,0)</x:f>
        <x:v>0.24528301886792453</x:v>
      </x:c>
      <x:c r="K1267" s="312" t="str">
        <x:f>IF(B1267="Bilinmeyen Personel","Kontrol","OK")</x:f>
        <x:v>OK</x:v>
      </x:c>
    </x:row>
    <x:row r="1268" ht="15.75">
      <x:c r="A1268" s="313" t="n">
        <x:f t="shared" si="19">ROW()-ROW($A$2)+1</x:f>
        <x:v>1267</x:v>
      </x:c>
      <x:c r="B1268" s="313" t="s">
        <x:v>38</x:v>
      </x:c>
      <x:c r="C1268" s="313" t="s">
        <x:v>17</x:v>
      </x:c>
      <x:c r="D1268" s="314">
        <x:v>2</x:v>
      </x:c>
      <x:c r="E1268" s="320">
        <x:v>8450</x:v>
      </x:c>
      <x:c r="F1268" s="320">
        <x:v>16900</x:v>
      </x:c>
      <x:c r="G1268" s="320">
        <x:v>4900</x:v>
      </x:c>
      <x:c r="H1268" s="313" t="s">
        <x:v>67</x:v>
      </x:c>
      <x:c r="I1268" s="313" t="s">
        <x:v>44</x:v>
      </x:c>
      <x:c r="J1268" s="316" t="n">
        <x:f>IFERROR(G1268/F1268,0)</x:f>
        <x:v>0.28994082840236685</x:v>
      </x:c>
      <x:c r="K1268" s="312" t="str">
        <x:f>IF(B1268="Bilinmeyen Personel","Kontrol","OK")</x:f>
        <x:v>OK</x:v>
      </x:c>
    </x:row>
    <x:row r="1269" ht="15.75">
      <x:c r="A1269" s="313" t="n">
        <x:f t="shared" si="19">ROW()-ROW($A$2)+1</x:f>
        <x:v>1268</x:v>
      </x:c>
      <x:c r="B1269" s="313" t="s">
        <x:v>23</x:v>
      </x:c>
      <x:c r="C1269" s="313" t="s">
        <x:v>20</x:v>
      </x:c>
      <x:c r="D1269" s="314">
        <x:v>1</x:v>
      </x:c>
      <x:c r="E1269" s="320">
        <x:v>1350</x:v>
      </x:c>
      <x:c r="F1269" s="320">
        <x:v>1350</x:v>
      </x:c>
      <x:c r="G1269" s="320">
        <x:v>550</x:v>
      </x:c>
      <x:c r="H1269" s="313" t="s">
        <x:v>67</x:v>
      </x:c>
      <x:c r="I1269" s="313" t="s">
        <x:v>18</x:v>
      </x:c>
      <x:c r="J1269" s="316" t="n">
        <x:f>IFERROR(G1269/F1269,0)</x:f>
        <x:v>0.4074074074074074</x:v>
      </x:c>
      <x:c r="K1269" s="312" t="str">
        <x:f>IF(B1269="Bilinmeyen Personel","Kontrol","OK")</x:f>
        <x:v>OK</x:v>
      </x:c>
    </x:row>
    <x:row r="1270" ht="15.75">
      <x:c r="A1270" s="313" t="n">
        <x:f t="shared" si="19">ROW()-ROW($A$2)+1</x:f>
        <x:v>1269</x:v>
      </x:c>
      <x:c r="B1270" s="313" t="s">
        <x:v>32</x:v>
      </x:c>
      <x:c r="C1270" s="313" t="s">
        <x:v>34</x:v>
      </x:c>
      <x:c r="D1270" s="314">
        <x:v>1</x:v>
      </x:c>
      <x:c r="E1270" s="320">
        <x:v>1090</x:v>
      </x:c>
      <x:c r="F1270" s="320">
        <x:v>1090</x:v>
      </x:c>
      <x:c r="G1270" s="320">
        <x:v>290</x:v>
      </x:c>
      <x:c r="H1270" s="313" t="s">
        <x:v>67</x:v>
      </x:c>
      <x:c r="I1270" s="313" t="s">
        <x:v>37</x:v>
      </x:c>
      <x:c r="J1270" s="316" t="n">
        <x:f>IFERROR(G1270/F1270,0)</x:f>
        <x:v>0.26605504587155965</x:v>
      </x:c>
      <x:c r="K1270" s="312" t="str">
        <x:f>IF(B1270="Bilinmeyen Personel","Kontrol","OK")</x:f>
        <x:v>OK</x:v>
      </x:c>
    </x:row>
    <x:row r="1271" ht="15.75">
      <x:c r="A1271" s="313" t="n">
        <x:f t="shared" si="19">ROW()-ROW($A$2)+1</x:f>
        <x:v>1270</x:v>
      </x:c>
      <x:c r="B1271" s="313" t="s">
        <x:v>23</x:v>
      </x:c>
      <x:c r="C1271" s="313" t="s">
        <x:v>22</x:v>
      </x:c>
      <x:c r="D1271" s="314">
        <x:v>1</x:v>
      </x:c>
      <x:c r="E1271" s="320">
        <x:v>2180</x:v>
      </x:c>
      <x:c r="F1271" s="320">
        <x:v>2180</x:v>
      </x:c>
      <x:c r="G1271" s="320">
        <x:v>680</x:v>
      </x:c>
      <x:c r="H1271" s="313" t="s">
        <x:v>67</x:v>
      </x:c>
      <x:c r="I1271" s="313" t="s">
        <x:v>54</x:v>
      </x:c>
      <x:c r="J1271" s="316" t="n">
        <x:f>IFERROR(G1271/F1271,0)</x:f>
        <x:v>0.3119266055045872</x:v>
      </x:c>
      <x:c r="K1271" s="312" t="str">
        <x:f>IF(B1271="Bilinmeyen Personel","Kontrol","OK")</x:f>
        <x:v>OK</x:v>
      </x:c>
    </x:row>
    <x:row r="1272" ht="15.75">
      <x:c r="A1272" s="313" t="n">
        <x:f t="shared" si="19">ROW()-ROW($A$2)+1</x:f>
        <x:v>1271</x:v>
      </x:c>
      <x:c r="B1272" s="313" t="s">
        <x:v>9</x:v>
      </x:c>
      <x:c r="C1272" s="313" t="s">
        <x:v>10</x:v>
      </x:c>
      <x:c r="D1272" s="314">
        <x:v>2</x:v>
      </x:c>
      <x:c r="E1272" s="320">
        <x:v>6000</x:v>
      </x:c>
      <x:c r="F1272" s="320">
        <x:v>12000</x:v>
      </x:c>
      <x:c r="G1272" s="320">
        <x:v>4000</x:v>
      </x:c>
      <x:c r="H1272" s="313" t="s">
        <x:v>67</x:v>
      </x:c>
      <x:c r="I1272" s="313" t="s">
        <x:v>15</x:v>
      </x:c>
      <x:c r="J1272" s="316" t="n">
        <x:f>IFERROR(G1272/F1272,0)</x:f>
        <x:v>0.3333333333333333</x:v>
      </x:c>
      <x:c r="K1272" s="312" t="str">
        <x:f>IF(B1272="Bilinmeyen Personel","Kontrol","OK")</x:f>
        <x:v>OK</x:v>
      </x:c>
    </x:row>
    <x:row r="1273" ht="15.75">
      <x:c r="A1273" s="313" t="n">
        <x:f t="shared" si="19">ROW()-ROW($A$2)+1</x:f>
        <x:v>1272</x:v>
      </x:c>
      <x:c r="B1273" s="313" t="s">
        <x:v>13</x:v>
      </x:c>
      <x:c r="C1273" s="313" t="s">
        <x:v>14</x:v>
      </x:c>
      <x:c r="D1273" s="314">
        <x:v>2</x:v>
      </x:c>
      <x:c r="E1273" s="320">
        <x:v>1400</x:v>
      </x:c>
      <x:c r="F1273" s="320">
        <x:v>2800</x:v>
      </x:c>
      <x:c r="G1273" s="320">
        <x:v>1200</x:v>
      </x:c>
      <x:c r="H1273" s="313" t="s">
        <x:v>67</x:v>
      </x:c>
      <x:c r="I1273" s="313" t="s">
        <x:v>42</x:v>
      </x:c>
      <x:c r="J1273" s="316" t="n">
        <x:f>IFERROR(G1273/F1273,0)</x:f>
        <x:v>0.42857142857142855</x:v>
      </x:c>
      <x:c r="K1273" s="312" t="str">
        <x:f>IF(B1273="Bilinmeyen Personel","Kontrol","OK")</x:f>
        <x:v>OK</x:v>
      </x:c>
    </x:row>
    <x:row r="1274" ht="15.75">
      <x:c r="A1274" s="313" t="n">
        <x:f t="shared" si="19">ROW()-ROW($A$2)+1</x:f>
        <x:v>1273</x:v>
      </x:c>
      <x:c r="B1274" s="313" t="s">
        <x:v>16</x:v>
      </x:c>
      <x:c r="C1274" s="313" t="s">
        <x:v>17</x:v>
      </x:c>
      <x:c r="D1274" s="314">
        <x:v>2</x:v>
      </x:c>
      <x:c r="E1274" s="320">
        <x:v>8450</x:v>
      </x:c>
      <x:c r="F1274" s="320">
        <x:v>16900</x:v>
      </x:c>
      <x:c r="G1274" s="320">
        <x:v>4900</x:v>
      </x:c>
      <x:c r="H1274" s="313" t="s">
        <x:v>67</x:v>
      </x:c>
      <x:c r="I1274" s="313" t="s">
        <x:v>15</x:v>
      </x:c>
      <x:c r="J1274" s="316" t="n">
        <x:f>IFERROR(G1274/F1274,0)</x:f>
        <x:v>0.28994082840236685</x:v>
      </x:c>
      <x:c r="K1274" s="312" t="str">
        <x:f>IF(B1274="Bilinmeyen Personel","Kontrol","OK")</x:f>
        <x:v>OK</x:v>
      </x:c>
    </x:row>
    <x:row r="1275" ht="15.75">
      <x:c r="A1275" s="313" t="n">
        <x:f t="shared" si="19">ROW()-ROW($A$2)+1</x:f>
        <x:v>1274</x:v>
      </x:c>
      <x:c r="B1275" s="313" t="s">
        <x:v>19</x:v>
      </x:c>
      <x:c r="C1275" s="313" t="s">
        <x:v>20</x:v>
      </x:c>
      <x:c r="D1275" s="314">
        <x:v>3</x:v>
      </x:c>
      <x:c r="E1275" s="320">
        <x:v>1350</x:v>
      </x:c>
      <x:c r="F1275" s="320">
        <x:v>4050</x:v>
      </x:c>
      <x:c r="G1275" s="320">
        <x:v>1650</x:v>
      </x:c>
      <x:c r="H1275" s="313" t="s">
        <x:v>67</x:v>
      </x:c>
      <x:c r="I1275" s="313" t="s">
        <x:v>18</x:v>
      </x:c>
      <x:c r="J1275" s="316" t="n">
        <x:f>IFERROR(G1275/F1275,0)</x:f>
        <x:v>0.4074074074074074</x:v>
      </x:c>
      <x:c r="K1275" s="312" t="str">
        <x:f>IF(B1275="Bilinmeyen Personel","Kontrol","OK")</x:f>
        <x:v>OK</x:v>
      </x:c>
    </x:row>
    <x:row r="1276" ht="15.75">
      <x:c r="A1276" s="313" t="n">
        <x:f t="shared" si="19">ROW()-ROW($A$2)+1</x:f>
        <x:v>1275</x:v>
      </x:c>
      <x:c r="B1276" s="313" t="s">
        <x:v>9</x:v>
      </x:c>
      <x:c r="C1276" s="313" t="s">
        <x:v>22</x:v>
      </x:c>
      <x:c r="D1276" s="314">
        <x:v>2</x:v>
      </x:c>
      <x:c r="E1276" s="320">
        <x:v>2180</x:v>
      </x:c>
      <x:c r="F1276" s="320">
        <x:v>4360</x:v>
      </x:c>
      <x:c r="G1276" s="320">
        <x:v>1360</x:v>
      </x:c>
      <x:c r="H1276" s="313" t="s">
        <x:v>67</x:v>
      </x:c>
      <x:c r="I1276" s="313" t="s">
        <x:v>28</x:v>
      </x:c>
      <x:c r="J1276" s="316" t="n">
        <x:f>IFERROR(G1276/F1276,0)</x:f>
        <x:v>0.3119266055045872</x:v>
      </x:c>
      <x:c r="K1276" s="312" t="str">
        <x:f>IF(B1276="Bilinmeyen Personel","Kontrol","OK")</x:f>
        <x:v>OK</x:v>
      </x:c>
    </x:row>
    <x:row r="1277" ht="15.75">
      <x:c r="A1277" s="313" t="n">
        <x:f t="shared" si="19">ROW()-ROW($A$2)+1</x:f>
        <x:v>1276</x:v>
      </x:c>
      <x:c r="B1277" s="313" t="s">
        <x:v>23</x:v>
      </x:c>
      <x:c r="C1277" s="313" t="s">
        <x:v>24</x:v>
      </x:c>
      <x:c r="D1277" s="314">
        <x:v>2</x:v>
      </x:c>
      <x:c r="E1277" s="320">
        <x:v>7600</x:v>
      </x:c>
      <x:c r="F1277" s="320">
        <x:v>15200</x:v>
      </x:c>
      <x:c r="G1277" s="320">
        <x:v>3200</x:v>
      </x:c>
      <x:c r="H1277" s="313" t="s">
        <x:v>67</x:v>
      </x:c>
      <x:c r="I1277" s="313" t="s">
        <x:v>41</x:v>
      </x:c>
      <x:c r="J1277" s="316" t="n">
        <x:f>IFERROR(G1277/F1277,0)</x:f>
        <x:v>0.21052631578947367</x:v>
      </x:c>
      <x:c r="K1277" s="312" t="str">
        <x:f>IF(B1277="Bilinmeyen Personel","Kontrol","OK")</x:f>
        <x:v>OK</x:v>
      </x:c>
    </x:row>
    <x:row r="1278" ht="15.75">
      <x:c r="A1278" s="313" t="n">
        <x:f t="shared" si="19">ROW()-ROW($A$2)+1</x:f>
        <x:v>1277</x:v>
      </x:c>
      <x:c r="B1278" s="313" t="s">
        <x:v>13</x:v>
      </x:c>
      <x:c r="C1278" s="313" t="s">
        <x:v>26</x:v>
      </x:c>
      <x:c r="D1278" s="314">
        <x:v>2</x:v>
      </x:c>
      <x:c r="E1278" s="320">
        <x:v>7250</x:v>
      </x:c>
      <x:c r="F1278" s="320">
        <x:v>14500</x:v>
      </x:c>
      <x:c r="G1278" s="320">
        <x:v>4500</x:v>
      </x:c>
      <x:c r="H1278" s="313" t="s">
        <x:v>67</x:v>
      </x:c>
      <x:c r="I1278" s="313" t="s">
        <x:v>21</x:v>
      </x:c>
      <x:c r="J1278" s="316" t="n">
        <x:f>IFERROR(G1278/F1278,0)</x:f>
        <x:v>0.3103448275862069</x:v>
      </x:c>
      <x:c r="K1278" s="312" t="str">
        <x:f>IF(B1278="Bilinmeyen Personel","Kontrol","OK")</x:f>
        <x:v>OK</x:v>
      </x:c>
    </x:row>
    <x:row r="1279" ht="15.75">
      <x:c r="A1279" s="313" t="n">
        <x:f t="shared" si="19">ROW()-ROW($A$2)+1</x:f>
        <x:v>1278</x:v>
      </x:c>
      <x:c r="B1279" s="313" t="s">
        <x:v>19</x:v>
      </x:c>
      <x:c r="C1279" s="313" t="s">
        <x:v>27</x:v>
      </x:c>
      <x:c r="D1279" s="314">
        <x:v>3</x:v>
      </x:c>
      <x:c r="E1279" s="320">
        <x:v>1100</x:v>
      </x:c>
      <x:c r="F1279" s="320">
        <x:v>3300</x:v>
      </x:c>
      <x:c r="G1279" s="320">
        <x:v>900</x:v>
      </x:c>
      <x:c r="H1279" s="313" t="s">
        <x:v>67</x:v>
      </x:c>
      <x:c r="I1279" s="313" t="s">
        <x:v>28</x:v>
      </x:c>
      <x:c r="J1279" s="316" t="n">
        <x:f>IFERROR(G1279/F1279,0)</x:f>
        <x:v>0.2727272727272727</x:v>
      </x:c>
      <x:c r="K1279" s="312" t="str">
        <x:f>IF(B1279="Bilinmeyen Personel","Kontrol","OK")</x:f>
        <x:v>OK</x:v>
      </x:c>
    </x:row>
    <x:row r="1280" ht="15.75">
      <x:c r="A1280" s="313" t="n">
        <x:f t="shared" si="19">ROW()-ROW($A$2)+1</x:f>
        <x:v>1279</x:v>
      </x:c>
      <x:c r="B1280" s="313" t="s">
        <x:v>29</x:v>
      </x:c>
      <x:c r="C1280" s="313" t="s">
        <x:v>10</x:v>
      </x:c>
      <x:c r="D1280" s="314">
        <x:v>2</x:v>
      </x:c>
      <x:c r="E1280" s="320">
        <x:v>6000</x:v>
      </x:c>
      <x:c r="F1280" s="320">
        <x:v>12000</x:v>
      </x:c>
      <x:c r="G1280" s="320">
        <x:v>4000</x:v>
      </x:c>
      <x:c r="H1280" s="313" t="s">
        <x:v>68</x:v>
      </x:c>
      <x:c r="I1280" s="313" t="s">
        <x:v>37</x:v>
      </x:c>
      <x:c r="J1280" s="316" t="n">
        <x:f>IFERROR(G1280/F1280,0)</x:f>
        <x:v>0.3333333333333333</x:v>
      </x:c>
      <x:c r="K1280" s="312" t="str">
        <x:f>IF(B1280="Bilinmeyen Personel","Kontrol","OK")</x:f>
        <x:v>OK</x:v>
      </x:c>
    </x:row>
    <x:row r="1281" ht="15.75">
      <x:c r="A1281" s="313" t="n">
        <x:f t="shared" si="19">ROW()-ROW($A$2)+1</x:f>
        <x:v>1280</x:v>
      </x:c>
      <x:c r="B1281" s="313" t="s">
        <x:v>9</x:v>
      </x:c>
      <x:c r="C1281" s="313" t="s">
        <x:v>30</x:v>
      </x:c>
      <x:c r="D1281" s="314">
        <x:v>1</x:v>
      </x:c>
      <x:c r="E1281" s="320">
        <x:v>1200</x:v>
      </x:c>
      <x:c r="F1281" s="320">
        <x:v>1200</x:v>
      </x:c>
      <x:c r="G1281" s="320">
        <x:v>400</x:v>
      </x:c>
      <x:c r="H1281" s="313" t="s">
        <x:v>68</x:v>
      </x:c>
      <x:c r="I1281" s="313" t="s">
        <x:v>44</x:v>
      </x:c>
      <x:c r="J1281" s="316" t="n">
        <x:f>IFERROR(G1281/F1281,0)</x:f>
        <x:v>0.3333333333333333</x:v>
      </x:c>
      <x:c r="K1281" s="312" t="str">
        <x:f>IF(B1281="Bilinmeyen Personel","Kontrol","OK")</x:f>
        <x:v>OK</x:v>
      </x:c>
    </x:row>
    <x:row r="1282" ht="15.75">
      <x:c r="A1282" s="313" t="n">
        <x:f t="shared" si="19">ROW()-ROW($A$2)+1</x:f>
        <x:v>1281</x:v>
      </x:c>
      <x:c r="B1282" s="313" t="s">
        <x:v>32</x:v>
      </x:c>
      <x:c r="C1282" s="313" t="s">
        <x:v>33</x:v>
      </x:c>
      <x:c r="D1282" s="314">
        <x:v>2</x:v>
      </x:c>
      <x:c r="E1282" s="320">
        <x:v>1800</x:v>
      </x:c>
      <x:c r="F1282" s="320">
        <x:v>3600</x:v>
      </x:c>
      <x:c r="G1282" s="320">
        <x:v>2000</x:v>
      </x:c>
      <x:c r="H1282" s="313" t="s">
        <x:v>68</x:v>
      </x:c>
      <x:c r="I1282" s="313" t="s">
        <x:v>46</x:v>
      </x:c>
      <x:c r="J1282" s="316" t="n">
        <x:f>IFERROR(G1282/F1282,0)</x:f>
        <x:v>0.5555555555555556</x:v>
      </x:c>
      <x:c r="K1282" s="312" t="str">
        <x:f>IF(B1282="Bilinmeyen Personel","Kontrol","OK")</x:f>
        <x:v>OK</x:v>
      </x:c>
    </x:row>
    <x:row r="1283" ht="15.75">
      <x:c r="A1283" s="313" t="n">
        <x:f t="shared" ref="A1283:A1346" si="20">ROW()-ROW($A$2)+1</x:f>
        <x:v>1282</x:v>
      </x:c>
      <x:c r="B1283" s="313" t="s">
        <x:v>32</x:v>
      </x:c>
      <x:c r="C1283" s="313" t="s">
        <x:v>34</x:v>
      </x:c>
      <x:c r="D1283" s="314">
        <x:v>2</x:v>
      </x:c>
      <x:c r="E1283" s="320">
        <x:v>1090</x:v>
      </x:c>
      <x:c r="F1283" s="320">
        <x:v>2180</x:v>
      </x:c>
      <x:c r="G1283" s="320">
        <x:v>580</x:v>
      </x:c>
      <x:c r="H1283" s="313" t="s">
        <x:v>68</x:v>
      </x:c>
      <x:c r="I1283" s="313" t="s">
        <x:v>12</x:v>
      </x:c>
      <x:c r="J1283" s="316" t="n">
        <x:f>IFERROR(G1283/F1283,0)</x:f>
        <x:v>0.26605504587155965</x:v>
      </x:c>
      <x:c r="K1283" s="312" t="str">
        <x:f>IF(B1283="Bilinmeyen Personel","Kontrol","OK")</x:f>
        <x:v>OK</x:v>
      </x:c>
    </x:row>
    <x:row r="1284" ht="15.75">
      <x:c r="A1284" s="313" t="n">
        <x:f t="shared" si="20">ROW()-ROW($A$2)+1</x:f>
        <x:v>1283</x:v>
      </x:c>
      <x:c r="B1284" s="313" t="s">
        <x:v>29</x:v>
      </x:c>
      <x:c r="C1284" s="313" t="s">
        <x:v>22</x:v>
      </x:c>
      <x:c r="D1284" s="314">
        <x:v>3</x:v>
      </x:c>
      <x:c r="E1284" s="320">
        <x:v>2180</x:v>
      </x:c>
      <x:c r="F1284" s="320">
        <x:v>6540</x:v>
      </x:c>
      <x:c r="G1284" s="320">
        <x:v>2040</x:v>
      </x:c>
      <x:c r="H1284" s="313" t="s">
        <x:v>68</x:v>
      </x:c>
      <x:c r="I1284" s="313" t="s">
        <x:v>37</x:v>
      </x:c>
      <x:c r="J1284" s="316" t="n">
        <x:f>IFERROR(G1284/F1284,0)</x:f>
        <x:v>0.3119266055045872</x:v>
      </x:c>
      <x:c r="K1284" s="312" t="str">
        <x:f>IF(B1284="Bilinmeyen Personel","Kontrol","OK")</x:f>
        <x:v>OK</x:v>
      </x:c>
    </x:row>
    <x:row r="1285" ht="15.75">
      <x:c r="A1285" s="313" t="n">
        <x:f t="shared" si="20">ROW()-ROW($A$2)+1</x:f>
        <x:v>1284</x:v>
      </x:c>
      <x:c r="B1285" s="313" t="s">
        <x:v>35</x:v>
      </x:c>
      <x:c r="C1285" s="313" t="s">
        <x:v>33</x:v>
      </x:c>
      <x:c r="D1285" s="314">
        <x:v>3</x:v>
      </x:c>
      <x:c r="E1285" s="320">
        <x:v>1800</x:v>
      </x:c>
      <x:c r="F1285" s="320">
        <x:v>5400</x:v>
      </x:c>
      <x:c r="G1285" s="320">
        <x:v>3000</x:v>
      </x:c>
      <x:c r="H1285" s="313" t="s">
        <x:v>68</x:v>
      </x:c>
      <x:c r="I1285" s="313" t="s">
        <x:v>41</x:v>
      </x:c>
      <x:c r="J1285" s="316" t="n">
        <x:f>IFERROR(G1285/F1285,0)</x:f>
        <x:v>0.5555555555555556</x:v>
      </x:c>
      <x:c r="K1285" s="312" t="str">
        <x:f>IF(B1285="Bilinmeyen Personel","Kontrol","OK")</x:f>
        <x:v>OK</x:v>
      </x:c>
    </x:row>
    <x:row r="1286" ht="15.75">
      <x:c r="A1286" s="313" t="n">
        <x:f t="shared" si="20">ROW()-ROW($A$2)+1</x:f>
        <x:v>1285</x:v>
      </x:c>
      <x:c r="B1286" s="313" t="s">
        <x:v>23</x:v>
      </x:c>
      <x:c r="C1286" s="313" t="s">
        <x:v>36</x:v>
      </x:c>
      <x:c r="D1286" s="314">
        <x:v>3</x:v>
      </x:c>
      <x:c r="E1286" s="320">
        <x:v>8000</x:v>
      </x:c>
      <x:c r="F1286" s="320">
        <x:v>24000</x:v>
      </x:c>
      <x:c r="G1286" s="320">
        <x:v>6000</x:v>
      </x:c>
      <x:c r="H1286" s="313" t="s">
        <x:v>68</x:v>
      </x:c>
      <x:c r="I1286" s="313" t="s">
        <x:v>18</x:v>
      </x:c>
      <x:c r="J1286" s="316" t="n">
        <x:f>IFERROR(G1286/F1286,0)</x:f>
        <x:v>0.25</x:v>
      </x:c>
      <x:c r="K1286" s="312" t="str">
        <x:f>IF(B1286="Bilinmeyen Personel","Kontrol","OK")</x:f>
        <x:v>OK</x:v>
      </x:c>
    </x:row>
    <x:row r="1287" ht="15.75">
      <x:c r="A1287" s="313" t="n">
        <x:f t="shared" si="20">ROW()-ROW($A$2)+1</x:f>
        <x:v>1286</x:v>
      </x:c>
      <x:c r="B1287" s="313" t="s">
        <x:v>29</x:v>
      </x:c>
      <x:c r="C1287" s="313" t="s">
        <x:v>14</x:v>
      </x:c>
      <x:c r="D1287" s="314">
        <x:v>1</x:v>
      </x:c>
      <x:c r="E1287" s="320">
        <x:v>1400</x:v>
      </x:c>
      <x:c r="F1287" s="320">
        <x:v>1400</x:v>
      </x:c>
      <x:c r="G1287" s="320">
        <x:v>600</x:v>
      </x:c>
      <x:c r="H1287" s="313" t="s">
        <x:v>68</x:v>
      </x:c>
      <x:c r="I1287" s="313" t="s">
        <x:v>31</x:v>
      </x:c>
      <x:c r="J1287" s="316" t="n">
        <x:f>IFERROR(G1287/F1287,0)</x:f>
        <x:v>0.42857142857142855</x:v>
      </x:c>
      <x:c r="K1287" s="312" t="str">
        <x:f>IF(B1287="Bilinmeyen Personel","Kontrol","OK")</x:f>
        <x:v>OK</x:v>
      </x:c>
    </x:row>
    <x:row r="1288" ht="15.75">
      <x:c r="A1288" s="313" t="n">
        <x:f t="shared" si="20">ROW()-ROW($A$2)+1</x:f>
        <x:v>1287</x:v>
      </x:c>
      <x:c r="B1288" s="313" t="s">
        <x:v>38</x:v>
      </x:c>
      <x:c r="C1288" s="313" t="s">
        <x:v>39</x:v>
      </x:c>
      <x:c r="D1288" s="314">
        <x:v>1</x:v>
      </x:c>
      <x:c r="E1288" s="320">
        <x:v>10590</x:v>
      </x:c>
      <x:c r="F1288" s="320">
        <x:v>10590</x:v>
      </x:c>
      <x:c r="G1288" s="320">
        <x:v>4590</x:v>
      </x:c>
      <x:c r="H1288" s="313" t="s">
        <x:v>68</x:v>
      </x:c>
      <x:c r="I1288" s="313" t="s">
        <x:v>41</x:v>
      </x:c>
      <x:c r="J1288" s="316" t="n">
        <x:f>IFERROR(G1288/F1288,0)</x:f>
        <x:v>0.43342776203966005</x:v>
      </x:c>
      <x:c r="K1288" s="312" t="str">
        <x:f>IF(B1288="Bilinmeyen Personel","Kontrol","OK")</x:f>
        <x:v>OK</x:v>
      </x:c>
    </x:row>
    <x:row r="1289" ht="15.75">
      <x:c r="A1289" s="313" t="n">
        <x:f t="shared" si="20">ROW()-ROW($A$2)+1</x:f>
        <x:v>1288</x:v>
      </x:c>
      <x:c r="B1289" s="313" t="s">
        <x:v>40</x:v>
      </x:c>
      <x:c r="C1289" s="313" t="s">
        <x:v>20</x:v>
      </x:c>
      <x:c r="D1289" s="314">
        <x:v>2</x:v>
      </x:c>
      <x:c r="E1289" s="320">
        <x:v>1350</x:v>
      </x:c>
      <x:c r="F1289" s="320">
        <x:v>2700</x:v>
      </x:c>
      <x:c r="G1289" s="320">
        <x:v>1100</x:v>
      </x:c>
      <x:c r="H1289" s="313" t="s">
        <x:v>68</x:v>
      </x:c>
      <x:c r="I1289" s="313" t="s">
        <x:v>18</x:v>
      </x:c>
      <x:c r="J1289" s="316" t="n">
        <x:f>IFERROR(G1289/F1289,0)</x:f>
        <x:v>0.4074074074074074</x:v>
      </x:c>
      <x:c r="K1289" s="312" t="str">
        <x:f>IF(B1289="Bilinmeyen Personel","Kontrol","OK")</x:f>
        <x:v>OK</x:v>
      </x:c>
    </x:row>
    <x:row r="1290" ht="15.75">
      <x:c r="A1290" s="313" t="n">
        <x:f t="shared" si="20">ROW()-ROW($A$2)+1</x:f>
        <x:v>1289</x:v>
      </x:c>
      <x:c r="B1290" s="313" t="s">
        <x:v>32</x:v>
      </x:c>
      <x:c r="C1290" s="313" t="s">
        <x:v>14</x:v>
      </x:c>
      <x:c r="D1290" s="314">
        <x:v>2</x:v>
      </x:c>
      <x:c r="E1290" s="320">
        <x:v>1400</x:v>
      </x:c>
      <x:c r="F1290" s="320">
        <x:v>2800</x:v>
      </x:c>
      <x:c r="G1290" s="320">
        <x:v>1200</x:v>
      </x:c>
      <x:c r="H1290" s="313" t="s">
        <x:v>68</x:v>
      </x:c>
      <x:c r="I1290" s="313" t="s">
        <x:v>28</x:v>
      </x:c>
      <x:c r="J1290" s="316" t="n">
        <x:f>IFERROR(G1290/F1290,0)</x:f>
        <x:v>0.42857142857142855</x:v>
      </x:c>
      <x:c r="K1290" s="312" t="str">
        <x:f>IF(B1290="Bilinmeyen Personel","Kontrol","OK")</x:f>
        <x:v>OK</x:v>
      </x:c>
    </x:row>
    <x:row r="1291" ht="15.75">
      <x:c r="A1291" s="313" t="n">
        <x:f t="shared" si="20">ROW()-ROW($A$2)+1</x:f>
        <x:v>1290</x:v>
      </x:c>
      <x:c r="B1291" s="313" t="s">
        <x:v>19</x:v>
      </x:c>
      <x:c r="C1291" s="313" t="s">
        <x:v>10</x:v>
      </x:c>
      <x:c r="D1291" s="314">
        <x:v>1</x:v>
      </x:c>
      <x:c r="E1291" s="320">
        <x:v>6000</x:v>
      </x:c>
      <x:c r="F1291" s="320">
        <x:v>6000</x:v>
      </x:c>
      <x:c r="G1291" s="320">
        <x:v>2000</x:v>
      </x:c>
      <x:c r="H1291" s="313" t="s">
        <x:v>68</x:v>
      </x:c>
      <x:c r="I1291" s="313" t="s">
        <x:v>31</x:v>
      </x:c>
      <x:c r="J1291" s="316" t="n">
        <x:f>IFERROR(G1291/F1291,0)</x:f>
        <x:v>0.3333333333333333</x:v>
      </x:c>
      <x:c r="K1291" s="312" t="str">
        <x:f>IF(B1291="Bilinmeyen Personel","Kontrol","OK")</x:f>
        <x:v>OK</x:v>
      </x:c>
    </x:row>
    <x:row r="1292" ht="15.75">
      <x:c r="A1292" s="313" t="n">
        <x:f t="shared" si="20">ROW()-ROW($A$2)+1</x:f>
        <x:v>1291</x:v>
      </x:c>
      <x:c r="B1292" s="313" t="s">
        <x:v>38</x:v>
      </x:c>
      <x:c r="C1292" s="313" t="s">
        <x:v>27</x:v>
      </x:c>
      <x:c r="D1292" s="314">
        <x:v>2</x:v>
      </x:c>
      <x:c r="E1292" s="320">
        <x:v>1100</x:v>
      </x:c>
      <x:c r="F1292" s="320">
        <x:v>2200</x:v>
      </x:c>
      <x:c r="G1292" s="320">
        <x:v>600</x:v>
      </x:c>
      <x:c r="H1292" s="313" t="s">
        <x:v>68</x:v>
      </x:c>
      <x:c r="I1292" s="313" t="s">
        <x:v>25</x:v>
      </x:c>
      <x:c r="J1292" s="316" t="n">
        <x:f>IFERROR(G1292/F1292,0)</x:f>
        <x:v>0.2727272727272727</x:v>
      </x:c>
      <x:c r="K1292" s="312" t="str">
        <x:f>IF(B1292="Bilinmeyen Personel","Kontrol","OK")</x:f>
        <x:v>OK</x:v>
      </x:c>
    </x:row>
    <x:row r="1293" ht="15.75">
      <x:c r="A1293" s="313" t="n">
        <x:f t="shared" si="20">ROW()-ROW($A$2)+1</x:f>
        <x:v>1292</x:v>
      </x:c>
      <x:c r="B1293" s="313" t="s">
        <x:v>16</x:v>
      </x:c>
      <x:c r="C1293" s="313" t="s">
        <x:v>10</x:v>
      </x:c>
      <x:c r="D1293" s="314">
        <x:v>2</x:v>
      </x:c>
      <x:c r="E1293" s="320">
        <x:v>6000</x:v>
      </x:c>
      <x:c r="F1293" s="320">
        <x:v>12000</x:v>
      </x:c>
      <x:c r="G1293" s="320">
        <x:v>4000</x:v>
      </x:c>
      <x:c r="H1293" s="313" t="s">
        <x:v>68</x:v>
      </x:c>
      <x:c r="I1293" s="313" t="s">
        <x:v>54</x:v>
      </x:c>
      <x:c r="J1293" s="316" t="n">
        <x:f>IFERROR(G1293/F1293,0)</x:f>
        <x:v>0.3333333333333333</x:v>
      </x:c>
      <x:c r="K1293" s="312" t="str">
        <x:f>IF(B1293="Bilinmeyen Personel","Kontrol","OK")</x:f>
        <x:v>OK</x:v>
      </x:c>
    </x:row>
    <x:row r="1294" ht="15.75">
      <x:c r="A1294" s="313" t="n">
        <x:f t="shared" si="20">ROW()-ROW($A$2)+1</x:f>
        <x:v>1293</x:v>
      </x:c>
      <x:c r="B1294" s="313" t="s">
        <x:v>40</x:v>
      </x:c>
      <x:c r="C1294" s="313" t="s">
        <x:v>43</x:v>
      </x:c>
      <x:c r="D1294" s="314">
        <x:v>1</x:v>
      </x:c>
      <x:c r="E1294" s="320">
        <x:v>1490</x:v>
      </x:c>
      <x:c r="F1294" s="320">
        <x:v>1490</x:v>
      </x:c>
      <x:c r="G1294" s="320">
        <x:v>690</x:v>
      </x:c>
      <x:c r="H1294" s="313" t="s">
        <x:v>68</x:v>
      </x:c>
      <x:c r="I1294" s="313" t="s">
        <x:v>12</x:v>
      </x:c>
      <x:c r="J1294" s="316" t="n">
        <x:f>IFERROR(G1294/F1294,0)</x:f>
        <x:v>0.46308724832214765</x:v>
      </x:c>
      <x:c r="K1294" s="312" t="str">
        <x:f>IF(B1294="Bilinmeyen Personel","Kontrol","OK")</x:f>
        <x:v>OK</x:v>
      </x:c>
    </x:row>
    <x:row r="1295" ht="15.75">
      <x:c r="A1295" s="313" t="n">
        <x:f t="shared" si="20">ROW()-ROW($A$2)+1</x:f>
        <x:v>1294</x:v>
      </x:c>
      <x:c r="B1295" s="313" t="s">
        <x:v>38</x:v>
      </x:c>
      <x:c r="C1295" s="313" t="s">
        <x:v>39</x:v>
      </x:c>
      <x:c r="D1295" s="314">
        <x:v>2</x:v>
      </x:c>
      <x:c r="E1295" s="320">
        <x:v>10590</x:v>
      </x:c>
      <x:c r="F1295" s="320">
        <x:v>21180</x:v>
      </x:c>
      <x:c r="G1295" s="320">
        <x:v>9180</x:v>
      </x:c>
      <x:c r="H1295" s="313" t="s">
        <x:v>68</x:v>
      </x:c>
      <x:c r="I1295" s="313" t="s">
        <x:v>54</x:v>
      </x:c>
      <x:c r="J1295" s="316" t="n">
        <x:f>IFERROR(G1295/F1295,0)</x:f>
        <x:v>0.43342776203966005</x:v>
      </x:c>
      <x:c r="K1295" s="312" t="str">
        <x:f>IF(B1295="Bilinmeyen Personel","Kontrol","OK")</x:f>
        <x:v>OK</x:v>
      </x:c>
    </x:row>
    <x:row r="1296" ht="15.75">
      <x:c r="A1296" s="313" t="n">
        <x:f t="shared" si="20">ROW()-ROW($A$2)+1</x:f>
        <x:v>1295</x:v>
      </x:c>
      <x:c r="B1296" s="313" t="s">
        <x:v>16</x:v>
      </x:c>
      <x:c r="C1296" s="313" t="s">
        <x:v>36</x:v>
      </x:c>
      <x:c r="D1296" s="314">
        <x:v>3</x:v>
      </x:c>
      <x:c r="E1296" s="320">
        <x:v>8000</x:v>
      </x:c>
      <x:c r="F1296" s="320">
        <x:v>24000</x:v>
      </x:c>
      <x:c r="G1296" s="320">
        <x:v>6000</x:v>
      </x:c>
      <x:c r="H1296" s="313" t="s">
        <x:v>68</x:v>
      </x:c>
      <x:c r="I1296" s="313" t="s">
        <x:v>54</x:v>
      </x:c>
      <x:c r="J1296" s="316" t="n">
        <x:f>IFERROR(G1296/F1296,0)</x:f>
        <x:v>0.25</x:v>
      </x:c>
      <x:c r="K1296" s="312" t="str">
        <x:f>IF(B1296="Bilinmeyen Personel","Kontrol","OK")</x:f>
        <x:v>OK</x:v>
      </x:c>
    </x:row>
    <x:row r="1297" ht="15.75">
      <x:c r="A1297" s="313" t="n">
        <x:f t="shared" si="20">ROW()-ROW($A$2)+1</x:f>
        <x:v>1296</x:v>
      </x:c>
      <x:c r="B1297" s="313" t="s">
        <x:v>32</x:v>
      </x:c>
      <x:c r="C1297" s="313" t="s">
        <x:v>27</x:v>
      </x:c>
      <x:c r="D1297" s="314">
        <x:v>1</x:v>
      </x:c>
      <x:c r="E1297" s="320">
        <x:v>1100</x:v>
      </x:c>
      <x:c r="F1297" s="320">
        <x:v>1100</x:v>
      </x:c>
      <x:c r="G1297" s="320">
        <x:v>300</x:v>
      </x:c>
      <x:c r="H1297" s="313" t="s">
        <x:v>68</x:v>
      </x:c>
      <x:c r="I1297" s="313" t="s">
        <x:v>15</x:v>
      </x:c>
      <x:c r="J1297" s="316" t="n">
        <x:f>IFERROR(G1297/F1297,0)</x:f>
        <x:v>0.2727272727272727</x:v>
      </x:c>
      <x:c r="K1297" s="312" t="str">
        <x:f>IF(B1297="Bilinmeyen Personel","Kontrol","OK")</x:f>
        <x:v>OK</x:v>
      </x:c>
    </x:row>
    <x:row r="1298" ht="15.75">
      <x:c r="A1298" s="313" t="n">
        <x:f t="shared" si="20">ROW()-ROW($A$2)+1</x:f>
        <x:v>1297</x:v>
      </x:c>
      <x:c r="B1298" s="313" t="s">
        <x:v>40</x:v>
      </x:c>
      <x:c r="C1298" s="313" t="s">
        <x:v>30</x:v>
      </x:c>
      <x:c r="D1298" s="314">
        <x:v>1</x:v>
      </x:c>
      <x:c r="E1298" s="320">
        <x:v>1200</x:v>
      </x:c>
      <x:c r="F1298" s="320">
        <x:v>1200</x:v>
      </x:c>
      <x:c r="G1298" s="320">
        <x:v>400</x:v>
      </x:c>
      <x:c r="H1298" s="313" t="s">
        <x:v>68</x:v>
      </x:c>
      <x:c r="I1298" s="313" t="s">
        <x:v>25</x:v>
      </x:c>
      <x:c r="J1298" s="316" t="n">
        <x:f>IFERROR(G1298/F1298,0)</x:f>
        <x:v>0.3333333333333333</x:v>
      </x:c>
      <x:c r="K1298" s="312" t="str">
        <x:f>IF(B1298="Bilinmeyen Personel","Kontrol","OK")</x:f>
        <x:v>OK</x:v>
      </x:c>
    </x:row>
    <x:row r="1299" ht="15.75">
      <x:c r="A1299" s="313" t="n">
        <x:f t="shared" si="20">ROW()-ROW($A$2)+1</x:f>
        <x:v>1298</x:v>
      </x:c>
      <x:c r="B1299" s="313" t="s">
        <x:v>23</x:v>
      </x:c>
      <x:c r="C1299" s="313" t="s">
        <x:v>45</x:v>
      </x:c>
      <x:c r="D1299" s="314">
        <x:v>2</x:v>
      </x:c>
      <x:c r="E1299" s="320">
        <x:v>4200</x:v>
      </x:c>
      <x:c r="F1299" s="320">
        <x:v>8400</x:v>
      </x:c>
      <x:c r="G1299" s="320">
        <x:v>2400</x:v>
      </x:c>
      <x:c r="H1299" s="313" t="s">
        <x:v>68</x:v>
      </x:c>
      <x:c r="I1299" s="313" t="s">
        <x:v>54</x:v>
      </x:c>
      <x:c r="J1299" s="316" t="n">
        <x:f>IFERROR(G1299/F1299,0)</x:f>
        <x:v>0.2857142857142857</x:v>
      </x:c>
      <x:c r="K1299" s="312" t="str">
        <x:f>IF(B1299="Bilinmeyen Personel","Kontrol","OK")</x:f>
        <x:v>OK</x:v>
      </x:c>
    </x:row>
    <x:row r="1300" ht="15.75">
      <x:c r="A1300" s="313" t="n">
        <x:f t="shared" si="20">ROW()-ROW($A$2)+1</x:f>
        <x:v>1299</x:v>
      </x:c>
      <x:c r="B1300" s="313" t="s">
        <x:v>13</x:v>
      </x:c>
      <x:c r="C1300" s="313" t="s">
        <x:v>47</x:v>
      </x:c>
      <x:c r="D1300" s="314">
        <x:v>3</x:v>
      </x:c>
      <x:c r="E1300" s="320">
        <x:v>5775</x:v>
      </x:c>
      <x:c r="F1300" s="320">
        <x:v>17325</x:v>
      </x:c>
      <x:c r="G1300" s="320">
        <x:v>5325</x:v>
      </x:c>
      <x:c r="H1300" s="313" t="s">
        <x:v>68</x:v>
      </x:c>
      <x:c r="I1300" s="313" t="s">
        <x:v>46</x:v>
      </x:c>
      <x:c r="J1300" s="316" t="n">
        <x:f>IFERROR(G1300/F1300,0)</x:f>
        <x:v>0.30735930735930733</x:v>
      </x:c>
      <x:c r="K1300" s="312" t="str">
        <x:f>IF(B1300="Bilinmeyen Personel","Kontrol","OK")</x:f>
        <x:v>OK</x:v>
      </x:c>
    </x:row>
    <x:row r="1301" ht="15.75">
      <x:c r="A1301" s="313" t="n">
        <x:f t="shared" si="20">ROW()-ROW($A$2)+1</x:f>
        <x:v>1300</x:v>
      </x:c>
      <x:c r="B1301" s="313" t="s">
        <x:v>48</x:v>
      </x:c>
      <x:c r="C1301" s="313" t="s">
        <x:v>24</x:v>
      </x:c>
      <x:c r="D1301" s="314">
        <x:v>3</x:v>
      </x:c>
      <x:c r="E1301" s="320">
        <x:v>7600</x:v>
      </x:c>
      <x:c r="F1301" s="320">
        <x:v>22800</x:v>
      </x:c>
      <x:c r="G1301" s="320">
        <x:v>4800</x:v>
      </x:c>
      <x:c r="H1301" s="313" t="s">
        <x:v>68</x:v>
      </x:c>
      <x:c r="I1301" s="313" t="s">
        <x:v>12</x:v>
      </x:c>
      <x:c r="J1301" s="316" t="n">
        <x:f>IFERROR(G1301/F1301,0)</x:f>
        <x:v>0.21052631578947367</x:v>
      </x:c>
      <x:c r="K1301" s="312" t="str">
        <x:f>IF(B1301="Bilinmeyen Personel","Kontrol","OK")</x:f>
        <x:v>OK</x:v>
      </x:c>
    </x:row>
    <x:row r="1302" ht="15.75">
      <x:c r="A1302" s="313" t="n">
        <x:f t="shared" si="20">ROW()-ROW($A$2)+1</x:f>
        <x:v>1301</x:v>
      </x:c>
      <x:c r="B1302" s="313" t="s">
        <x:v>13</x:v>
      </x:c>
      <x:c r="C1302" s="313" t="s">
        <x:v>26</x:v>
      </x:c>
      <x:c r="D1302" s="314">
        <x:v>3</x:v>
      </x:c>
      <x:c r="E1302" s="320">
        <x:v>7250</x:v>
      </x:c>
      <x:c r="F1302" s="320">
        <x:v>21750</x:v>
      </x:c>
      <x:c r="G1302" s="320">
        <x:v>6750</x:v>
      </x:c>
      <x:c r="H1302" s="313" t="s">
        <x:v>68</x:v>
      </x:c>
      <x:c r="I1302" s="313" t="s">
        <x:v>54</x:v>
      </x:c>
      <x:c r="J1302" s="316" t="n">
        <x:f>IFERROR(G1302/F1302,0)</x:f>
        <x:v>0.3103448275862069</x:v>
      </x:c>
      <x:c r="K1302" s="312" t="str">
        <x:f>IF(B1302="Bilinmeyen Personel","Kontrol","OK")</x:f>
        <x:v>OK</x:v>
      </x:c>
    </x:row>
    <x:row r="1303" ht="15.75">
      <x:c r="A1303" s="313" t="n">
        <x:f t="shared" si="20">ROW()-ROW($A$2)+1</x:f>
        <x:v>1302</x:v>
      </x:c>
      <x:c r="B1303" s="313" t="s">
        <x:v>9</x:v>
      </x:c>
      <x:c r="C1303" s="313" t="s">
        <x:v>26</x:v>
      </x:c>
      <x:c r="D1303" s="314">
        <x:v>3</x:v>
      </x:c>
      <x:c r="E1303" s="320">
        <x:v>7250</x:v>
      </x:c>
      <x:c r="F1303" s="320">
        <x:v>21750</x:v>
      </x:c>
      <x:c r="G1303" s="320">
        <x:v>6750</x:v>
      </x:c>
      <x:c r="H1303" s="313" t="s">
        <x:v>68</x:v>
      </x:c>
      <x:c r="I1303" s="313" t="s">
        <x:v>31</x:v>
      </x:c>
      <x:c r="J1303" s="316" t="n">
        <x:f>IFERROR(G1303/F1303,0)</x:f>
        <x:v>0.3103448275862069</x:v>
      </x:c>
      <x:c r="K1303" s="312" t="str">
        <x:f>IF(B1303="Bilinmeyen Personel","Kontrol","OK")</x:f>
        <x:v>OK</x:v>
      </x:c>
    </x:row>
    <x:row r="1304" ht="15.75">
      <x:c r="A1304" s="313" t="n">
        <x:f t="shared" si="20">ROW()-ROW($A$2)+1</x:f>
        <x:v>1303</x:v>
      </x:c>
      <x:c r="B1304" s="313" t="s">
        <x:v>38</x:v>
      </x:c>
      <x:c r="C1304" s="313" t="s">
        <x:v>26</x:v>
      </x:c>
      <x:c r="D1304" s="314">
        <x:v>3</x:v>
      </x:c>
      <x:c r="E1304" s="320">
        <x:v>7250</x:v>
      </x:c>
      <x:c r="F1304" s="320">
        <x:v>21750</x:v>
      </x:c>
      <x:c r="G1304" s="320">
        <x:v>6750</x:v>
      </x:c>
      <x:c r="H1304" s="313" t="s">
        <x:v>68</x:v>
      </x:c>
      <x:c r="I1304" s="313" t="s">
        <x:v>44</x:v>
      </x:c>
      <x:c r="J1304" s="316" t="n">
        <x:f>IFERROR(G1304/F1304,0)</x:f>
        <x:v>0.3103448275862069</x:v>
      </x:c>
      <x:c r="K1304" s="312" t="str">
        <x:f>IF(B1304="Bilinmeyen Personel","Kontrol","OK")</x:f>
        <x:v>OK</x:v>
      </x:c>
    </x:row>
    <x:row r="1305" ht="15.75">
      <x:c r="A1305" s="313" t="n">
        <x:f t="shared" si="20">ROW()-ROW($A$2)+1</x:f>
        <x:v>1304</x:v>
      </x:c>
      <x:c r="B1305" s="313" t="s">
        <x:v>29</x:v>
      </x:c>
      <x:c r="C1305" s="313" t="s">
        <x:v>20</x:v>
      </x:c>
      <x:c r="D1305" s="314">
        <x:v>1</x:v>
      </x:c>
      <x:c r="E1305" s="320">
        <x:v>1350</x:v>
      </x:c>
      <x:c r="F1305" s="320">
        <x:v>1350</x:v>
      </x:c>
      <x:c r="G1305" s="320">
        <x:v>550</x:v>
      </x:c>
      <x:c r="H1305" s="313" t="s">
        <x:v>68</x:v>
      </x:c>
      <x:c r="I1305" s="313" t="s">
        <x:v>28</x:v>
      </x:c>
      <x:c r="J1305" s="316" t="n">
        <x:f>IFERROR(G1305/F1305,0)</x:f>
        <x:v>0.4074074074074074</x:v>
      </x:c>
      <x:c r="K1305" s="312" t="str">
        <x:f>IF(B1305="Bilinmeyen Personel","Kontrol","OK")</x:f>
        <x:v>OK</x:v>
      </x:c>
    </x:row>
    <x:row r="1306" ht="15.75">
      <x:c r="A1306" s="313" t="n">
        <x:f t="shared" si="20">ROW()-ROW($A$2)+1</x:f>
        <x:v>1305</x:v>
      </x:c>
      <x:c r="B1306" s="313" t="s">
        <x:v>13</x:v>
      </x:c>
      <x:c r="C1306" s="313" t="s">
        <x:v>26</x:v>
      </x:c>
      <x:c r="D1306" s="314">
        <x:v>2</x:v>
      </x:c>
      <x:c r="E1306" s="320">
        <x:v>7250</x:v>
      </x:c>
      <x:c r="F1306" s="320">
        <x:v>14500</x:v>
      </x:c>
      <x:c r="G1306" s="320">
        <x:v>4500</x:v>
      </x:c>
      <x:c r="H1306" s="313" t="s">
        <x:v>68</x:v>
      </x:c>
      <x:c r="I1306" s="313" t="s">
        <x:v>46</x:v>
      </x:c>
      <x:c r="J1306" s="316" t="n">
        <x:f>IFERROR(G1306/F1306,0)</x:f>
        <x:v>0.3103448275862069</x:v>
      </x:c>
      <x:c r="K1306" s="312" t="str">
        <x:f>IF(B1306="Bilinmeyen Personel","Kontrol","OK")</x:f>
        <x:v>OK</x:v>
      </x:c>
    </x:row>
    <x:row r="1307" ht="15.75">
      <x:c r="A1307" s="313" t="n">
        <x:f t="shared" si="20">ROW()-ROW($A$2)+1</x:f>
        <x:v>1306</x:v>
      </x:c>
      <x:c r="B1307" s="313" t="s">
        <x:v>32</x:v>
      </x:c>
      <x:c r="C1307" s="313" t="s">
        <x:v>24</x:v>
      </x:c>
      <x:c r="D1307" s="314">
        <x:v>1</x:v>
      </x:c>
      <x:c r="E1307" s="320">
        <x:v>7600</x:v>
      </x:c>
      <x:c r="F1307" s="320">
        <x:v>7600</x:v>
      </x:c>
      <x:c r="G1307" s="320">
        <x:v>1600</x:v>
      </x:c>
      <x:c r="H1307" s="313" t="s">
        <x:v>68</x:v>
      </x:c>
      <x:c r="I1307" s="313" t="s">
        <x:v>15</x:v>
      </x:c>
      <x:c r="J1307" s="316" t="n">
        <x:f>IFERROR(G1307/F1307,0)</x:f>
        <x:v>0.21052631578947367</x:v>
      </x:c>
      <x:c r="K1307" s="312" t="str">
        <x:f>IF(B1307="Bilinmeyen Personel","Kontrol","OK")</x:f>
        <x:v>OK</x:v>
      </x:c>
    </x:row>
    <x:row r="1308" ht="15.75">
      <x:c r="A1308" s="313" t="n">
        <x:f t="shared" si="20">ROW()-ROW($A$2)+1</x:f>
        <x:v>1307</x:v>
      </x:c>
      <x:c r="B1308" s="313" t="s">
        <x:v>50</x:v>
      </x:c>
      <x:c r="C1308" s="313" t="s">
        <x:v>24</x:v>
      </x:c>
      <x:c r="D1308" s="314">
        <x:v>3</x:v>
      </x:c>
      <x:c r="E1308" s="320">
        <x:v>7600</x:v>
      </x:c>
      <x:c r="F1308" s="320">
        <x:v>22800</x:v>
      </x:c>
      <x:c r="G1308" s="320">
        <x:v>4800</x:v>
      </x:c>
      <x:c r="H1308" s="313" t="s">
        <x:v>68</x:v>
      </x:c>
      <x:c r="I1308" s="313" t="s">
        <x:v>18</x:v>
      </x:c>
      <x:c r="J1308" s="316" t="n">
        <x:f>IFERROR(G1308/F1308,0)</x:f>
        <x:v>0.21052631578947367</x:v>
      </x:c>
      <x:c r="K1308" s="312" t="str">
        <x:f>IF(B1308="Bilinmeyen Personel","Kontrol","OK")</x:f>
        <x:v>OK</x:v>
      </x:c>
    </x:row>
    <x:row r="1309" ht="15.75">
      <x:c r="A1309" s="313" t="n">
        <x:f t="shared" si="20">ROW()-ROW($A$2)+1</x:f>
        <x:v>1308</x:v>
      </x:c>
      <x:c r="B1309" s="313" t="s">
        <x:v>13</x:v>
      </x:c>
      <x:c r="C1309" s="313" t="s">
        <x:v>43</x:v>
      </x:c>
      <x:c r="D1309" s="314">
        <x:v>3</x:v>
      </x:c>
      <x:c r="E1309" s="320">
        <x:v>1490</x:v>
      </x:c>
      <x:c r="F1309" s="320">
        <x:v>4470</x:v>
      </x:c>
      <x:c r="G1309" s="320">
        <x:v>2070</x:v>
      </x:c>
      <x:c r="H1309" s="313" t="s">
        <x:v>68</x:v>
      </x:c>
      <x:c r="I1309" s="313" t="s">
        <x:v>46</x:v>
      </x:c>
      <x:c r="J1309" s="316" t="n">
        <x:f>IFERROR(G1309/F1309,0)</x:f>
        <x:v>0.46308724832214765</x:v>
      </x:c>
      <x:c r="K1309" s="312" t="str">
        <x:f>IF(B1309="Bilinmeyen Personel","Kontrol","OK")</x:f>
        <x:v>OK</x:v>
      </x:c>
    </x:row>
    <x:row r="1310" ht="15.75">
      <x:c r="A1310" s="313" t="n">
        <x:f t="shared" si="20">ROW()-ROW($A$2)+1</x:f>
        <x:v>1309</x:v>
      </x:c>
      <x:c r="B1310" s="313" t="s">
        <x:v>29</x:v>
      </x:c>
      <x:c r="C1310" s="313" t="s">
        <x:v>51</x:v>
      </x:c>
      <x:c r="D1310" s="314">
        <x:v>2</x:v>
      </x:c>
      <x:c r="E1310" s="320">
        <x:v>2900</x:v>
      </x:c>
      <x:c r="F1310" s="320">
        <x:v>5800</x:v>
      </x:c>
      <x:c r="G1310" s="320">
        <x:v>1800</x:v>
      </x:c>
      <x:c r="H1310" s="313" t="s">
        <x:v>68</x:v>
      </x:c>
      <x:c r="I1310" s="313" t="s">
        <x:v>44</x:v>
      </x:c>
      <x:c r="J1310" s="316" t="n">
        <x:f>IFERROR(G1310/F1310,0)</x:f>
        <x:v>0.3103448275862069</x:v>
      </x:c>
      <x:c r="K1310" s="312" t="str">
        <x:f>IF(B1310="Bilinmeyen Personel","Kontrol","OK")</x:f>
        <x:v>OK</x:v>
      </x:c>
    </x:row>
    <x:row r="1311" ht="15.75">
      <x:c r="A1311" s="313" t="n">
        <x:f t="shared" si="20">ROW()-ROW($A$2)+1</x:f>
        <x:v>1310</x:v>
      </x:c>
      <x:c r="B1311" s="313" t="s">
        <x:v>40</x:v>
      </x:c>
      <x:c r="C1311" s="313" t="s">
        <x:v>43</x:v>
      </x:c>
      <x:c r="D1311" s="314">
        <x:v>1</x:v>
      </x:c>
      <x:c r="E1311" s="320">
        <x:v>1490</x:v>
      </x:c>
      <x:c r="F1311" s="320">
        <x:v>1490</x:v>
      </x:c>
      <x:c r="G1311" s="320">
        <x:v>690</x:v>
      </x:c>
      <x:c r="H1311" s="313" t="s">
        <x:v>68</x:v>
      </x:c>
      <x:c r="I1311" s="313" t="s">
        <x:v>46</x:v>
      </x:c>
      <x:c r="J1311" s="316" t="n">
        <x:f>IFERROR(G1311/F1311,0)</x:f>
        <x:v>0.46308724832214765</x:v>
      </x:c>
      <x:c r="K1311" s="312" t="str">
        <x:f>IF(B1311="Bilinmeyen Personel","Kontrol","OK")</x:f>
        <x:v>OK</x:v>
      </x:c>
    </x:row>
    <x:row r="1312" ht="15.75">
      <x:c r="A1312" s="313" t="n">
        <x:f t="shared" si="20">ROW()-ROW($A$2)+1</x:f>
        <x:v>1311</x:v>
      </x:c>
      <x:c r="B1312" s="313" t="s">
        <x:v>40</x:v>
      </x:c>
      <x:c r="C1312" s="313" t="s">
        <x:v>34</x:v>
      </x:c>
      <x:c r="D1312" s="314">
        <x:v>2</x:v>
      </x:c>
      <x:c r="E1312" s="320">
        <x:v>1090</x:v>
      </x:c>
      <x:c r="F1312" s="320">
        <x:v>2180</x:v>
      </x:c>
      <x:c r="G1312" s="320">
        <x:v>580</x:v>
      </x:c>
      <x:c r="H1312" s="313" t="s">
        <x:v>68</x:v>
      </x:c>
      <x:c r="I1312" s="313" t="s">
        <x:v>21</x:v>
      </x:c>
      <x:c r="J1312" s="316" t="n">
        <x:f>IFERROR(G1312/F1312,0)</x:f>
        <x:v>0.26605504587155965</x:v>
      </x:c>
      <x:c r="K1312" s="312" t="str">
        <x:f>IF(B1312="Bilinmeyen Personel","Kontrol","OK")</x:f>
        <x:v>OK</x:v>
      </x:c>
    </x:row>
    <x:row r="1313" ht="15.75">
      <x:c r="A1313" s="313" t="n">
        <x:f t="shared" si="20">ROW()-ROW($A$2)+1</x:f>
        <x:v>1312</x:v>
      </x:c>
      <x:c r="B1313" s="313" t="s">
        <x:v>29</x:v>
      </x:c>
      <x:c r="C1313" s="313" t="s">
        <x:v>30</x:v>
      </x:c>
      <x:c r="D1313" s="314">
        <x:v>2</x:v>
      </x:c>
      <x:c r="E1313" s="320">
        <x:v>1200</x:v>
      </x:c>
      <x:c r="F1313" s="320">
        <x:v>2400</x:v>
      </x:c>
      <x:c r="G1313" s="320">
        <x:v>800</x:v>
      </x:c>
      <x:c r="H1313" s="313" t="s">
        <x:v>68</x:v>
      </x:c>
      <x:c r="I1313" s="313" t="s">
        <x:v>25</x:v>
      </x:c>
      <x:c r="J1313" s="316" t="n">
        <x:f>IFERROR(G1313/F1313,0)</x:f>
        <x:v>0.3333333333333333</x:v>
      </x:c>
      <x:c r="K1313" s="312" t="str">
        <x:f>IF(B1313="Bilinmeyen Personel","Kontrol","OK")</x:f>
        <x:v>OK</x:v>
      </x:c>
    </x:row>
    <x:row r="1314" ht="15.75">
      <x:c r="A1314" s="313" t="n">
        <x:f t="shared" si="20">ROW()-ROW($A$2)+1</x:f>
        <x:v>1313</x:v>
      </x:c>
      <x:c r="B1314" s="313" t="s">
        <x:v>38</x:v>
      </x:c>
      <x:c r="C1314" s="313" t="s">
        <x:v>39</x:v>
      </x:c>
      <x:c r="D1314" s="314">
        <x:v>2</x:v>
      </x:c>
      <x:c r="E1314" s="320">
        <x:v>10590</x:v>
      </x:c>
      <x:c r="F1314" s="320">
        <x:v>21180</x:v>
      </x:c>
      <x:c r="G1314" s="320">
        <x:v>9180</x:v>
      </x:c>
      <x:c r="H1314" s="313" t="s">
        <x:v>68</x:v>
      </x:c>
      <x:c r="I1314" s="313" t="s">
        <x:v>42</x:v>
      </x:c>
      <x:c r="J1314" s="316" t="n">
        <x:f>IFERROR(G1314/F1314,0)</x:f>
        <x:v>0.43342776203966005</x:v>
      </x:c>
      <x:c r="K1314" s="312" t="str">
        <x:f>IF(B1314="Bilinmeyen Personel","Kontrol","OK")</x:f>
        <x:v>OK</x:v>
      </x:c>
    </x:row>
    <x:row r="1315" ht="15.75">
      <x:c r="A1315" s="313" t="n">
        <x:f t="shared" si="20">ROW()-ROW($A$2)+1</x:f>
        <x:v>1314</x:v>
      </x:c>
      <x:c r="B1315" s="313" t="s">
        <x:v>32</x:v>
      </x:c>
      <x:c r="C1315" s="313" t="s">
        <x:v>45</x:v>
      </x:c>
      <x:c r="D1315" s="314">
        <x:v>3</x:v>
      </x:c>
      <x:c r="E1315" s="320">
        <x:v>4200</x:v>
      </x:c>
      <x:c r="F1315" s="320">
        <x:v>12600</x:v>
      </x:c>
      <x:c r="G1315" s="320">
        <x:v>3600</x:v>
      </x:c>
      <x:c r="H1315" s="313" t="s">
        <x:v>68</x:v>
      </x:c>
      <x:c r="I1315" s="313" t="s">
        <x:v>46</x:v>
      </x:c>
      <x:c r="J1315" s="316" t="n">
        <x:f>IFERROR(G1315/F1315,0)</x:f>
        <x:v>0.2857142857142857</x:v>
      </x:c>
      <x:c r="K1315" s="312" t="str">
        <x:f>IF(B1315="Bilinmeyen Personel","Kontrol","OK")</x:f>
        <x:v>OK</x:v>
      </x:c>
    </x:row>
    <x:row r="1316" ht="15.75">
      <x:c r="A1316" s="313" t="n">
        <x:f t="shared" si="20">ROW()-ROW($A$2)+1</x:f>
        <x:v>1315</x:v>
      </x:c>
      <x:c r="B1316" s="313" t="s">
        <x:v>19</x:v>
      </x:c>
      <x:c r="C1316" s="313" t="s">
        <x:v>45</x:v>
      </x:c>
      <x:c r="D1316" s="314">
        <x:v>3</x:v>
      </x:c>
      <x:c r="E1316" s="320">
        <x:v>4200</x:v>
      </x:c>
      <x:c r="F1316" s="320">
        <x:v>12600</x:v>
      </x:c>
      <x:c r="G1316" s="320">
        <x:v>3600</x:v>
      </x:c>
      <x:c r="H1316" s="313" t="s">
        <x:v>68</x:v>
      </x:c>
      <x:c r="I1316" s="313" t="s">
        <x:v>15</x:v>
      </x:c>
      <x:c r="J1316" s="316" t="n">
        <x:f>IFERROR(G1316/F1316,0)</x:f>
        <x:v>0.2857142857142857</x:v>
      </x:c>
      <x:c r="K1316" s="312" t="str">
        <x:f>IF(B1316="Bilinmeyen Personel","Kontrol","OK")</x:f>
        <x:v>OK</x:v>
      </x:c>
    </x:row>
    <x:row r="1317" ht="15.75">
      <x:c r="A1317" s="313" t="n">
        <x:f t="shared" si="20">ROW()-ROW($A$2)+1</x:f>
        <x:v>1316</x:v>
      </x:c>
      <x:c r="B1317" s="313" t="s">
        <x:v>35</x:v>
      </x:c>
      <x:c r="C1317" s="313" t="s">
        <x:v>39</x:v>
      </x:c>
      <x:c r="D1317" s="314">
        <x:v>2</x:v>
      </x:c>
      <x:c r="E1317" s="320">
        <x:v>10590</x:v>
      </x:c>
      <x:c r="F1317" s="320">
        <x:v>21180</x:v>
      </x:c>
      <x:c r="G1317" s="320">
        <x:v>9180</x:v>
      </x:c>
      <x:c r="H1317" s="313" t="s">
        <x:v>68</x:v>
      </x:c>
      <x:c r="I1317" s="313" t="s">
        <x:v>37</x:v>
      </x:c>
      <x:c r="J1317" s="316" t="n">
        <x:f>IFERROR(G1317/F1317,0)</x:f>
        <x:v>0.43342776203966005</x:v>
      </x:c>
      <x:c r="K1317" s="312" t="str">
        <x:f>IF(B1317="Bilinmeyen Personel","Kontrol","OK")</x:f>
        <x:v>OK</x:v>
      </x:c>
    </x:row>
    <x:row r="1318" ht="15.75">
      <x:c r="A1318" s="313" t="n">
        <x:f t="shared" si="20">ROW()-ROW($A$2)+1</x:f>
        <x:v>1317</x:v>
      </x:c>
      <x:c r="B1318" s="313" t="s">
        <x:v>50</x:v>
      </x:c>
      <x:c r="C1318" s="313" t="s">
        <x:v>52</x:v>
      </x:c>
      <x:c r="D1318" s="314">
        <x:v>1</x:v>
      </x:c>
      <x:c r="E1318" s="320">
        <x:v>1250</x:v>
      </x:c>
      <x:c r="F1318" s="320">
        <x:v>1250</x:v>
      </x:c>
      <x:c r="G1318" s="320">
        <x:v>450</x:v>
      </x:c>
      <x:c r="H1318" s="313" t="s">
        <x:v>68</x:v>
      </x:c>
      <x:c r="I1318" s="313" t="s">
        <x:v>54</x:v>
      </x:c>
      <x:c r="J1318" s="316" t="n">
        <x:f>IFERROR(G1318/F1318,0)</x:f>
        <x:v>0.36</x:v>
      </x:c>
      <x:c r="K1318" s="312" t="str">
        <x:f>IF(B1318="Bilinmeyen Personel","Kontrol","OK")</x:f>
        <x:v>OK</x:v>
      </x:c>
    </x:row>
    <x:row r="1319" ht="15.75">
      <x:c r="A1319" s="313" t="n">
        <x:f t="shared" si="20">ROW()-ROW($A$2)+1</x:f>
        <x:v>1318</x:v>
      </x:c>
      <x:c r="B1319" s="313" t="s">
        <x:v>9</x:v>
      </x:c>
      <x:c r="C1319" s="313" t="s">
        <x:v>43</x:v>
      </x:c>
      <x:c r="D1319" s="314">
        <x:v>3</x:v>
      </x:c>
      <x:c r="E1319" s="320">
        <x:v>1490</x:v>
      </x:c>
      <x:c r="F1319" s="320">
        <x:v>4470</x:v>
      </x:c>
      <x:c r="G1319" s="320">
        <x:v>2070</x:v>
      </x:c>
      <x:c r="H1319" s="313" t="s">
        <x:v>68</x:v>
      </x:c>
      <x:c r="I1319" s="313" t="s">
        <x:v>18</x:v>
      </x:c>
      <x:c r="J1319" s="316" t="n">
        <x:f>IFERROR(G1319/F1319,0)</x:f>
        <x:v>0.46308724832214765</x:v>
      </x:c>
      <x:c r="K1319" s="312" t="str">
        <x:f>IF(B1319="Bilinmeyen Personel","Kontrol","OK")</x:f>
        <x:v>OK</x:v>
      </x:c>
    </x:row>
    <x:row r="1320" ht="15.75">
      <x:c r="A1320" s="313" t="n">
        <x:f t="shared" si="20">ROW()-ROW($A$2)+1</x:f>
        <x:v>1319</x:v>
      </x:c>
      <x:c r="B1320" s="313" t="s">
        <x:v>32</x:v>
      </x:c>
      <x:c r="C1320" s="313" t="s">
        <x:v>30</x:v>
      </x:c>
      <x:c r="D1320" s="314">
        <x:v>2</x:v>
      </x:c>
      <x:c r="E1320" s="320">
        <x:v>1200</x:v>
      </x:c>
      <x:c r="F1320" s="320">
        <x:v>2400</x:v>
      </x:c>
      <x:c r="G1320" s="320">
        <x:v>800</x:v>
      </x:c>
      <x:c r="H1320" s="313" t="s">
        <x:v>68</x:v>
      </x:c>
      <x:c r="I1320" s="313" t="s">
        <x:v>25</x:v>
      </x:c>
      <x:c r="J1320" s="316" t="n">
        <x:f>IFERROR(G1320/F1320,0)</x:f>
        <x:v>0.3333333333333333</x:v>
      </x:c>
      <x:c r="K1320" s="312" t="str">
        <x:f>IF(B1320="Bilinmeyen Personel","Kontrol","OK")</x:f>
        <x:v>OK</x:v>
      </x:c>
    </x:row>
    <x:row r="1321" ht="15.75">
      <x:c r="A1321" s="313" t="n">
        <x:f t="shared" si="20">ROW()-ROW($A$2)+1</x:f>
        <x:v>1320</x:v>
      </x:c>
      <x:c r="B1321" s="313" t="s">
        <x:v>16</x:v>
      </x:c>
      <x:c r="C1321" s="313" t="s">
        <x:v>22</x:v>
      </x:c>
      <x:c r="D1321" s="314">
        <x:v>3</x:v>
      </x:c>
      <x:c r="E1321" s="320">
        <x:v>2180</x:v>
      </x:c>
      <x:c r="F1321" s="320">
        <x:v>6540</x:v>
      </x:c>
      <x:c r="G1321" s="320">
        <x:v>2040</x:v>
      </x:c>
      <x:c r="H1321" s="313" t="s">
        <x:v>68</x:v>
      </x:c>
      <x:c r="I1321" s="313" t="s">
        <x:v>21</x:v>
      </x:c>
      <x:c r="J1321" s="316" t="n">
        <x:f>IFERROR(G1321/F1321,0)</x:f>
        <x:v>0.3119266055045872</x:v>
      </x:c>
      <x:c r="K1321" s="312" t="str">
        <x:f>IF(B1321="Bilinmeyen Personel","Kontrol","OK")</x:f>
        <x:v>OK</x:v>
      </x:c>
    </x:row>
    <x:row r="1322" ht="15.75">
      <x:c r="A1322" s="313" t="n">
        <x:f t="shared" si="20">ROW()-ROW($A$2)+1</x:f>
        <x:v>1321</x:v>
      </x:c>
      <x:c r="B1322" s="313" t="s">
        <x:v>40</x:v>
      </x:c>
      <x:c r="C1322" s="313" t="s">
        <x:v>53</x:v>
      </x:c>
      <x:c r="D1322" s="314">
        <x:v>3</x:v>
      </x:c>
      <x:c r="E1322" s="320">
        <x:v>1200</x:v>
      </x:c>
      <x:c r="F1322" s="320">
        <x:v>3600</x:v>
      </x:c>
      <x:c r="G1322" s="320">
        <x:v>1200</x:v>
      </x:c>
      <x:c r="H1322" s="313" t="s">
        <x:v>68</x:v>
      </x:c>
      <x:c r="I1322" s="313" t="s">
        <x:v>54</x:v>
      </x:c>
      <x:c r="J1322" s="316" t="n">
        <x:f>IFERROR(G1322/F1322,0)</x:f>
        <x:v>0.3333333333333333</x:v>
      </x:c>
      <x:c r="K1322" s="312" t="str">
        <x:f>IF(B1322="Bilinmeyen Personel","Kontrol","OK")</x:f>
        <x:v>OK</x:v>
      </x:c>
    </x:row>
    <x:row r="1323" ht="15.75">
      <x:c r="A1323" s="313" t="n">
        <x:f t="shared" si="20">ROW()-ROW($A$2)+1</x:f>
        <x:v>1322</x:v>
      </x:c>
      <x:c r="B1323" s="313" t="s">
        <x:v>9</x:v>
      </x:c>
      <x:c r="C1323" s="313" t="s">
        <x:v>33</x:v>
      </x:c>
      <x:c r="D1323" s="314">
        <x:v>1</x:v>
      </x:c>
      <x:c r="E1323" s="320">
        <x:v>1800</x:v>
      </x:c>
      <x:c r="F1323" s="320">
        <x:v>1800</x:v>
      </x:c>
      <x:c r="G1323" s="320">
        <x:v>1000</x:v>
      </x:c>
      <x:c r="H1323" s="313" t="s">
        <x:v>68</x:v>
      </x:c>
      <x:c r="I1323" s="313" t="s">
        <x:v>25</x:v>
      </x:c>
      <x:c r="J1323" s="316" t="n">
        <x:f>IFERROR(G1323/F1323,0)</x:f>
        <x:v>0.5555555555555556</x:v>
      </x:c>
      <x:c r="K1323" s="312" t="str">
        <x:f>IF(B1323="Bilinmeyen Personel","Kontrol","OK")</x:f>
        <x:v>OK</x:v>
      </x:c>
    </x:row>
    <x:row r="1324" ht="15.75">
      <x:c r="A1324" s="313" t="n">
        <x:f t="shared" si="20">ROW()-ROW($A$2)+1</x:f>
        <x:v>1323</x:v>
      </x:c>
      <x:c r="B1324" s="313" t="s">
        <x:v>16</x:v>
      </x:c>
      <x:c r="C1324" s="313" t="s">
        <x:v>24</x:v>
      </x:c>
      <x:c r="D1324" s="314">
        <x:v>1</x:v>
      </x:c>
      <x:c r="E1324" s="320">
        <x:v>7600</x:v>
      </x:c>
      <x:c r="F1324" s="320">
        <x:v>7600</x:v>
      </x:c>
      <x:c r="G1324" s="320">
        <x:v>1600</x:v>
      </x:c>
      <x:c r="H1324" s="313" t="s">
        <x:v>68</x:v>
      </x:c>
      <x:c r="I1324" s="313" t="s">
        <x:v>28</x:v>
      </x:c>
      <x:c r="J1324" s="316" t="n">
        <x:f>IFERROR(G1324/F1324,0)</x:f>
        <x:v>0.21052631578947367</x:v>
      </x:c>
      <x:c r="K1324" s="312" t="str">
        <x:f>IF(B1324="Bilinmeyen Personel","Kontrol","OK")</x:f>
        <x:v>OK</x:v>
      </x:c>
    </x:row>
    <x:row r="1325" ht="15.75">
      <x:c r="A1325" s="313" t="n">
        <x:f t="shared" si="20">ROW()-ROW($A$2)+1</x:f>
        <x:v>1324</x:v>
      </x:c>
      <x:c r="B1325" s="313" t="s">
        <x:v>35</x:v>
      </x:c>
      <x:c r="C1325" s="313" t="s">
        <x:v>55</x:v>
      </x:c>
      <x:c r="D1325" s="314">
        <x:v>1</x:v>
      </x:c>
      <x:c r="E1325" s="320">
        <x:v>7530</x:v>
      </x:c>
      <x:c r="F1325" s="320">
        <x:v>7530</x:v>
      </x:c>
      <x:c r="G1325" s="320">
        <x:v>1530</x:v>
      </x:c>
      <x:c r="H1325" s="313" t="s">
        <x:v>68</x:v>
      </x:c>
      <x:c r="I1325" s="313" t="s">
        <x:v>18</x:v>
      </x:c>
      <x:c r="J1325" s="316" t="n">
        <x:f>IFERROR(G1325/F1325,0)</x:f>
        <x:v>0.20318725099601595</x:v>
      </x:c>
      <x:c r="K1325" s="312" t="str">
        <x:f>IF(B1325="Bilinmeyen Personel","Kontrol","OK")</x:f>
        <x:v>OK</x:v>
      </x:c>
    </x:row>
    <x:row r="1326" ht="15.75">
      <x:c r="A1326" s="313" t="n">
        <x:f t="shared" si="20">ROW()-ROW($A$2)+1</x:f>
        <x:v>1325</x:v>
      </x:c>
      <x:c r="B1326" s="313" t="s">
        <x:v>50</x:v>
      </x:c>
      <x:c r="C1326" s="313" t="s">
        <x:v>43</x:v>
      </x:c>
      <x:c r="D1326" s="314">
        <x:v>2</x:v>
      </x:c>
      <x:c r="E1326" s="320">
        <x:v>1490</x:v>
      </x:c>
      <x:c r="F1326" s="320">
        <x:v>2980</x:v>
      </x:c>
      <x:c r="G1326" s="320">
        <x:v>1380</x:v>
      </x:c>
      <x:c r="H1326" s="313" t="s">
        <x:v>68</x:v>
      </x:c>
      <x:c r="I1326" s="313" t="s">
        <x:v>12</x:v>
      </x:c>
      <x:c r="J1326" s="316" t="n">
        <x:f>IFERROR(G1326/F1326,0)</x:f>
        <x:v>0.46308724832214765</x:v>
      </x:c>
      <x:c r="K1326" s="312" t="str">
        <x:f>IF(B1326="Bilinmeyen Personel","Kontrol","OK")</x:f>
        <x:v>OK</x:v>
      </x:c>
    </x:row>
    <x:row r="1327" ht="15.75">
      <x:c r="A1327" s="313" t="n">
        <x:f t="shared" si="20">ROW()-ROW($A$2)+1</x:f>
        <x:v>1326</x:v>
      </x:c>
      <x:c r="B1327" s="313" t="s">
        <x:v>9</x:v>
      </x:c>
      <x:c r="C1327" s="313" t="s">
        <x:v>56</x:v>
      </x:c>
      <x:c r="D1327" s="314">
        <x:v>1</x:v>
      </x:c>
      <x:c r="E1327" s="320">
        <x:v>5300</x:v>
      </x:c>
      <x:c r="F1327" s="320">
        <x:v>5300</x:v>
      </x:c>
      <x:c r="G1327" s="320">
        <x:v>1300</x:v>
      </x:c>
      <x:c r="H1327" s="313" t="s">
        <x:v>68</x:v>
      </x:c>
      <x:c r="I1327" s="313" t="s">
        <x:v>42</x:v>
      </x:c>
      <x:c r="J1327" s="316" t="n">
        <x:f>IFERROR(G1327/F1327,0)</x:f>
        <x:v>0.24528301886792453</x:v>
      </x:c>
      <x:c r="K1327" s="312" t="str">
        <x:f>IF(B1327="Bilinmeyen Personel","Kontrol","OK")</x:f>
        <x:v>OK</x:v>
      </x:c>
    </x:row>
    <x:row r="1328" ht="15.75">
      <x:c r="A1328" s="313" t="n">
        <x:f t="shared" si="20">ROW()-ROW($A$2)+1</x:f>
        <x:v>1327</x:v>
      </x:c>
      <x:c r="B1328" s="313" t="s">
        <x:v>23</x:v>
      </x:c>
      <x:c r="C1328" s="313" t="s">
        <x:v>30</x:v>
      </x:c>
      <x:c r="D1328" s="314">
        <x:v>2</x:v>
      </x:c>
      <x:c r="E1328" s="320">
        <x:v>1200</x:v>
      </x:c>
      <x:c r="F1328" s="320">
        <x:v>2400</x:v>
      </x:c>
      <x:c r="G1328" s="320">
        <x:v>800</x:v>
      </x:c>
      <x:c r="H1328" s="313" t="s">
        <x:v>68</x:v>
      </x:c>
      <x:c r="I1328" s="313" t="s">
        <x:v>44</x:v>
      </x:c>
      <x:c r="J1328" s="316" t="n">
        <x:f>IFERROR(G1328/F1328,0)</x:f>
        <x:v>0.3333333333333333</x:v>
      </x:c>
      <x:c r="K1328" s="312" t="str">
        <x:f>IF(B1328="Bilinmeyen Personel","Kontrol","OK")</x:f>
        <x:v>OK</x:v>
      </x:c>
    </x:row>
    <x:row r="1329" ht="15.75">
      <x:c r="A1329" s="313" t="n">
        <x:f t="shared" si="20">ROW()-ROW($A$2)+1</x:f>
        <x:v>1328</x:v>
      </x:c>
      <x:c r="B1329" s="313" t="s">
        <x:v>40</x:v>
      </x:c>
      <x:c r="C1329" s="313" t="s">
        <x:v>34</x:v>
      </x:c>
      <x:c r="D1329" s="314">
        <x:v>1</x:v>
      </x:c>
      <x:c r="E1329" s="320">
        <x:v>1090</x:v>
      </x:c>
      <x:c r="F1329" s="320">
        <x:v>1090</x:v>
      </x:c>
      <x:c r="G1329" s="320">
        <x:v>290</x:v>
      </x:c>
      <x:c r="H1329" s="313" t="s">
        <x:v>68</x:v>
      </x:c>
      <x:c r="I1329" s="313" t="s">
        <x:v>18</x:v>
      </x:c>
      <x:c r="J1329" s="316" t="n">
        <x:f>IFERROR(G1329/F1329,0)</x:f>
        <x:v>0.26605504587155965</x:v>
      </x:c>
      <x:c r="K1329" s="312" t="str">
        <x:f>IF(B1329="Bilinmeyen Personel","Kontrol","OK")</x:f>
        <x:v>OK</x:v>
      </x:c>
    </x:row>
    <x:row r="1330" ht="15.75">
      <x:c r="A1330" s="313" t="n">
        <x:f t="shared" si="20">ROW()-ROW($A$2)+1</x:f>
        <x:v>1329</x:v>
      </x:c>
      <x:c r="B1330" s="313" t="s">
        <x:v>23</x:v>
      </x:c>
      <x:c r="C1330" s="313" t="s">
        <x:v>26</x:v>
      </x:c>
      <x:c r="D1330" s="314">
        <x:v>1</x:v>
      </x:c>
      <x:c r="E1330" s="320">
        <x:v>7250</x:v>
      </x:c>
      <x:c r="F1330" s="320">
        <x:v>7250</x:v>
      </x:c>
      <x:c r="G1330" s="320">
        <x:v>2250</x:v>
      </x:c>
      <x:c r="H1330" s="313" t="s">
        <x:v>68</x:v>
      </x:c>
      <x:c r="I1330" s="313" t="s">
        <x:v>15</x:v>
      </x:c>
      <x:c r="J1330" s="316" t="n">
        <x:f>IFERROR(G1330/F1330,0)</x:f>
        <x:v>0.3103448275862069</x:v>
      </x:c>
      <x:c r="K1330" s="312" t="str">
        <x:f>IF(B1330="Bilinmeyen Personel","Kontrol","OK")</x:f>
        <x:v>OK</x:v>
      </x:c>
    </x:row>
    <x:row r="1331" ht="15.75">
      <x:c r="A1331" s="313" t="n">
        <x:f t="shared" si="20">ROW()-ROW($A$2)+1</x:f>
        <x:v>1330</x:v>
      </x:c>
      <x:c r="B1331" s="313" t="s">
        <x:v>48</x:v>
      </x:c>
      <x:c r="C1331" s="313" t="s">
        <x:v>14</x:v>
      </x:c>
      <x:c r="D1331" s="314">
        <x:v>3</x:v>
      </x:c>
      <x:c r="E1331" s="320">
        <x:v>1400</x:v>
      </x:c>
      <x:c r="F1331" s="320">
        <x:v>4200</x:v>
      </x:c>
      <x:c r="G1331" s="320">
        <x:v>1800</x:v>
      </x:c>
      <x:c r="H1331" s="313" t="s">
        <x:v>68</x:v>
      </x:c>
      <x:c r="I1331" s="313" t="s">
        <x:v>37</x:v>
      </x:c>
      <x:c r="J1331" s="316" t="n">
        <x:f>IFERROR(G1331/F1331,0)</x:f>
        <x:v>0.42857142857142855</x:v>
      </x:c>
      <x:c r="K1331" s="312" t="str">
        <x:f>IF(B1331="Bilinmeyen Personel","Kontrol","OK")</x:f>
        <x:v>OK</x:v>
      </x:c>
    </x:row>
    <x:row r="1332" ht="15.75">
      <x:c r="A1332" s="313" t="n">
        <x:f t="shared" si="20">ROW()-ROW($A$2)+1</x:f>
        <x:v>1331</x:v>
      </x:c>
      <x:c r="B1332" s="313" t="s">
        <x:v>16</x:v>
      </x:c>
      <x:c r="C1332" s="313" t="s">
        <x:v>57</x:v>
      </x:c>
      <x:c r="D1332" s="314">
        <x:v>1</x:v>
      </x:c>
      <x:c r="E1332" s="320">
        <x:v>1500</x:v>
      </x:c>
      <x:c r="F1332" s="320">
        <x:v>1500</x:v>
      </x:c>
      <x:c r="G1332" s="320">
        <x:v>700</x:v>
      </x:c>
      <x:c r="H1332" s="313" t="s">
        <x:v>68</x:v>
      </x:c>
      <x:c r="I1332" s="313" t="s">
        <x:v>12</x:v>
      </x:c>
      <x:c r="J1332" s="316" t="n">
        <x:f>IFERROR(G1332/F1332,0)</x:f>
        <x:v>0.4666666666666667</x:v>
      </x:c>
      <x:c r="K1332" s="312" t="str">
        <x:f>IF(B1332="Bilinmeyen Personel","Kontrol","OK")</x:f>
        <x:v>OK</x:v>
      </x:c>
    </x:row>
    <x:row r="1333" ht="15.75">
      <x:c r="A1333" s="313" t="n">
        <x:f t="shared" si="20">ROW()-ROW($A$2)+1</x:f>
        <x:v>1332</x:v>
      </x:c>
      <x:c r="B1333" s="313" t="s">
        <x:v>35</x:v>
      </x:c>
      <x:c r="C1333" s="313" t="s">
        <x:v>20</x:v>
      </x:c>
      <x:c r="D1333" s="314">
        <x:v>1</x:v>
      </x:c>
      <x:c r="E1333" s="320">
        <x:v>1350</x:v>
      </x:c>
      <x:c r="F1333" s="320">
        <x:v>1350</x:v>
      </x:c>
      <x:c r="G1333" s="320">
        <x:v>550</x:v>
      </x:c>
      <x:c r="H1333" s="313" t="s">
        <x:v>68</x:v>
      </x:c>
      <x:c r="I1333" s="313" t="s">
        <x:v>42</x:v>
      </x:c>
      <x:c r="J1333" s="316" t="n">
        <x:f>IFERROR(G1333/F1333,0)</x:f>
        <x:v>0.4074074074074074</x:v>
      </x:c>
      <x:c r="K1333" s="312" t="str">
        <x:f>IF(B1333="Bilinmeyen Personel","Kontrol","OK")</x:f>
        <x:v>OK</x:v>
      </x:c>
    </x:row>
    <x:row r="1334" ht="15.75">
      <x:c r="A1334" s="313" t="n">
        <x:f t="shared" si="20">ROW()-ROW($A$2)+1</x:f>
        <x:v>1333</x:v>
      </x:c>
      <x:c r="B1334" s="313" t="s">
        <x:v>35</x:v>
      </x:c>
      <x:c r="C1334" s="313" t="s">
        <x:v>30</x:v>
      </x:c>
      <x:c r="D1334" s="314">
        <x:v>3</x:v>
      </x:c>
      <x:c r="E1334" s="320">
        <x:v>1200</x:v>
      </x:c>
      <x:c r="F1334" s="320">
        <x:v>3600</x:v>
      </x:c>
      <x:c r="G1334" s="320">
        <x:v>1200</x:v>
      </x:c>
      <x:c r="H1334" s="313" t="s">
        <x:v>68</x:v>
      </x:c>
      <x:c r="I1334" s="313" t="s">
        <x:v>18</x:v>
      </x:c>
      <x:c r="J1334" s="316" t="n">
        <x:f>IFERROR(G1334/F1334,0)</x:f>
        <x:v>0.3333333333333333</x:v>
      </x:c>
      <x:c r="K1334" s="312" t="str">
        <x:f>IF(B1334="Bilinmeyen Personel","Kontrol","OK")</x:f>
        <x:v>OK</x:v>
      </x:c>
    </x:row>
    <x:row r="1335" ht="15.75">
      <x:c r="A1335" s="313" t="n">
        <x:f t="shared" si="20">ROW()-ROW($A$2)+1</x:f>
        <x:v>1334</x:v>
      </x:c>
      <x:c r="B1335" s="313" t="s">
        <x:v>13</x:v>
      </x:c>
      <x:c r="C1335" s="313" t="s">
        <x:v>55</x:v>
      </x:c>
      <x:c r="D1335" s="314">
        <x:v>3</x:v>
      </x:c>
      <x:c r="E1335" s="320">
        <x:v>7530</x:v>
      </x:c>
      <x:c r="F1335" s="320">
        <x:v>22590</x:v>
      </x:c>
      <x:c r="G1335" s="320">
        <x:v>4590</x:v>
      </x:c>
      <x:c r="H1335" s="313" t="s">
        <x:v>68</x:v>
      </x:c>
      <x:c r="I1335" s="313" t="s">
        <x:v>28</x:v>
      </x:c>
      <x:c r="J1335" s="316" t="n">
        <x:f>IFERROR(G1335/F1335,0)</x:f>
        <x:v>0.20318725099601595</x:v>
      </x:c>
      <x:c r="K1335" s="312" t="str">
        <x:f>IF(B1335="Bilinmeyen Personel","Kontrol","OK")</x:f>
        <x:v>OK</x:v>
      </x:c>
    </x:row>
    <x:row r="1336" ht="15.75">
      <x:c r="A1336" s="313" t="n">
        <x:f t="shared" si="20">ROW()-ROW($A$2)+1</x:f>
        <x:v>1335</x:v>
      </x:c>
      <x:c r="B1336" s="313" t="s">
        <x:v>48</x:v>
      </x:c>
      <x:c r="C1336" s="313" t="s">
        <x:v>30</x:v>
      </x:c>
      <x:c r="D1336" s="314">
        <x:v>1</x:v>
      </x:c>
      <x:c r="E1336" s="320">
        <x:v>1200</x:v>
      </x:c>
      <x:c r="F1336" s="320">
        <x:v>1200</x:v>
      </x:c>
      <x:c r="G1336" s="320">
        <x:v>400</x:v>
      </x:c>
      <x:c r="H1336" s="313" t="s">
        <x:v>68</x:v>
      </x:c>
      <x:c r="I1336" s="313" t="s">
        <x:v>15</x:v>
      </x:c>
      <x:c r="J1336" s="316" t="n">
        <x:f>IFERROR(G1336/F1336,0)</x:f>
        <x:v>0.3333333333333333</x:v>
      </x:c>
      <x:c r="K1336" s="312" t="str">
        <x:f>IF(B1336="Bilinmeyen Personel","Kontrol","OK")</x:f>
        <x:v>OK</x:v>
      </x:c>
    </x:row>
    <x:row r="1337" ht="15.75">
      <x:c r="A1337" s="313" t="n">
        <x:f t="shared" si="20">ROW()-ROW($A$2)+1</x:f>
        <x:v>1336</x:v>
      </x:c>
      <x:c r="B1337" s="313" t="s">
        <x:v>38</x:v>
      </x:c>
      <x:c r="C1337" s="313" t="s">
        <x:v>33</x:v>
      </x:c>
      <x:c r="D1337" s="314">
        <x:v>3</x:v>
      </x:c>
      <x:c r="E1337" s="320">
        <x:v>1800</x:v>
      </x:c>
      <x:c r="F1337" s="320">
        <x:v>5400</x:v>
      </x:c>
      <x:c r="G1337" s="320">
        <x:v>3000</x:v>
      </x:c>
      <x:c r="H1337" s="313" t="s">
        <x:v>68</x:v>
      </x:c>
      <x:c r="I1337" s="313" t="s">
        <x:v>28</x:v>
      </x:c>
      <x:c r="J1337" s="316" t="n">
        <x:f>IFERROR(G1337/F1337,0)</x:f>
        <x:v>0.5555555555555556</x:v>
      </x:c>
      <x:c r="K1337" s="312" t="str">
        <x:f>IF(B1337="Bilinmeyen Personel","Kontrol","OK")</x:f>
        <x:v>OK</x:v>
      </x:c>
    </x:row>
    <x:row r="1338" ht="15.75">
      <x:c r="A1338" s="313" t="n">
        <x:f t="shared" si="20">ROW()-ROW($A$2)+1</x:f>
        <x:v>1337</x:v>
      </x:c>
      <x:c r="B1338" s="313" t="s">
        <x:v>9</x:v>
      </x:c>
      <x:c r="C1338" s="313" t="s">
        <x:v>26</x:v>
      </x:c>
      <x:c r="D1338" s="314">
        <x:v>1</x:v>
      </x:c>
      <x:c r="E1338" s="320">
        <x:v>7250</x:v>
      </x:c>
      <x:c r="F1338" s="320">
        <x:v>7250</x:v>
      </x:c>
      <x:c r="G1338" s="320">
        <x:v>2250</x:v>
      </x:c>
      <x:c r="H1338" s="313" t="s">
        <x:v>68</x:v>
      </x:c>
      <x:c r="I1338" s="313" t="s">
        <x:v>25</x:v>
      </x:c>
      <x:c r="J1338" s="316" t="n">
        <x:f>IFERROR(G1338/F1338,0)</x:f>
        <x:v>0.3103448275862069</x:v>
      </x:c>
      <x:c r="K1338" s="312" t="str">
        <x:f>IF(B1338="Bilinmeyen Personel","Kontrol","OK")</x:f>
        <x:v>OK</x:v>
      </x:c>
    </x:row>
    <x:row r="1339" ht="15.75">
      <x:c r="A1339" s="313" t="n">
        <x:f t="shared" si="20">ROW()-ROW($A$2)+1</x:f>
        <x:v>1338</x:v>
      </x:c>
      <x:c r="B1339" s="313" t="s">
        <x:v>40</x:v>
      </x:c>
      <x:c r="C1339" s="313" t="s">
        <x:v>43</x:v>
      </x:c>
      <x:c r="D1339" s="314">
        <x:v>3</x:v>
      </x:c>
      <x:c r="E1339" s="320">
        <x:v>1490</x:v>
      </x:c>
      <x:c r="F1339" s="320">
        <x:v>4470</x:v>
      </x:c>
      <x:c r="G1339" s="320">
        <x:v>2070</x:v>
      </x:c>
      <x:c r="H1339" s="313" t="s">
        <x:v>68</x:v>
      </x:c>
      <x:c r="I1339" s="313" t="s">
        <x:v>44</x:v>
      </x:c>
      <x:c r="J1339" s="316" t="n">
        <x:f>IFERROR(G1339/F1339,0)</x:f>
        <x:v>0.46308724832214765</x:v>
      </x:c>
      <x:c r="K1339" s="312" t="str">
        <x:f>IF(B1339="Bilinmeyen Personel","Kontrol","OK")</x:f>
        <x:v>OK</x:v>
      </x:c>
    </x:row>
    <x:row r="1340" ht="15.75">
      <x:c r="A1340" s="313" t="n">
        <x:f t="shared" si="20">ROW()-ROW($A$2)+1</x:f>
        <x:v>1339</x:v>
      </x:c>
      <x:c r="B1340" s="313" t="s">
        <x:v>40</x:v>
      </x:c>
      <x:c r="C1340" s="313" t="s">
        <x:v>53</x:v>
      </x:c>
      <x:c r="D1340" s="314">
        <x:v>1</x:v>
      </x:c>
      <x:c r="E1340" s="320">
        <x:v>1200</x:v>
      </x:c>
      <x:c r="F1340" s="320">
        <x:v>1200</x:v>
      </x:c>
      <x:c r="G1340" s="320">
        <x:v>400</x:v>
      </x:c>
      <x:c r="H1340" s="313" t="s">
        <x:v>68</x:v>
      </x:c>
      <x:c r="I1340" s="313" t="s">
        <x:v>25</x:v>
      </x:c>
      <x:c r="J1340" s="316" t="n">
        <x:f>IFERROR(G1340/F1340,0)</x:f>
        <x:v>0.3333333333333333</x:v>
      </x:c>
      <x:c r="K1340" s="312" t="str">
        <x:f>IF(B1340="Bilinmeyen Personel","Kontrol","OK")</x:f>
        <x:v>OK</x:v>
      </x:c>
    </x:row>
    <x:row r="1341" ht="15.75">
      <x:c r="A1341" s="313" t="n">
        <x:f t="shared" si="20">ROW()-ROW($A$2)+1</x:f>
        <x:v>1340</x:v>
      </x:c>
      <x:c r="B1341" s="313" t="s">
        <x:v>13</x:v>
      </x:c>
      <x:c r="C1341" s="313" t="s">
        <x:v>36</x:v>
      </x:c>
      <x:c r="D1341" s="314">
        <x:v>1</x:v>
      </x:c>
      <x:c r="E1341" s="320">
        <x:v>8000</x:v>
      </x:c>
      <x:c r="F1341" s="320">
        <x:v>8000</x:v>
      </x:c>
      <x:c r="G1341" s="320">
        <x:v>2000</x:v>
      </x:c>
      <x:c r="H1341" s="313" t="s">
        <x:v>68</x:v>
      </x:c>
      <x:c r="I1341" s="313" t="s">
        <x:v>37</x:v>
      </x:c>
      <x:c r="J1341" s="316" t="n">
        <x:f>IFERROR(G1341/F1341,0)</x:f>
        <x:v>0.25</x:v>
      </x:c>
      <x:c r="K1341" s="312" t="str">
        <x:f>IF(B1341="Bilinmeyen Personel","Kontrol","OK")</x:f>
        <x:v>OK</x:v>
      </x:c>
    </x:row>
    <x:row r="1342" ht="15.75">
      <x:c r="A1342" s="313" t="n">
        <x:f t="shared" si="20">ROW()-ROW($A$2)+1</x:f>
        <x:v>1341</x:v>
      </x:c>
      <x:c r="B1342" s="313" t="s">
        <x:v>32</x:v>
      </x:c>
      <x:c r="C1342" s="313" t="s">
        <x:v>14</x:v>
      </x:c>
      <x:c r="D1342" s="314">
        <x:v>1</x:v>
      </x:c>
      <x:c r="E1342" s="320">
        <x:v>1400</x:v>
      </x:c>
      <x:c r="F1342" s="320">
        <x:v>1400</x:v>
      </x:c>
      <x:c r="G1342" s="320">
        <x:v>600</x:v>
      </x:c>
      <x:c r="H1342" s="313" t="s">
        <x:v>68</x:v>
      </x:c>
      <x:c r="I1342" s="313" t="s">
        <x:v>37</x:v>
      </x:c>
      <x:c r="J1342" s="316" t="n">
        <x:f>IFERROR(G1342/F1342,0)</x:f>
        <x:v>0.42857142857142855</x:v>
      </x:c>
      <x:c r="K1342" s="312" t="str">
        <x:f>IF(B1342="Bilinmeyen Personel","Kontrol","OK")</x:f>
        <x:v>OK</x:v>
      </x:c>
    </x:row>
    <x:row r="1343" ht="15.75">
      <x:c r="A1343" s="313" t="n">
        <x:f t="shared" si="20">ROW()-ROW($A$2)+1</x:f>
        <x:v>1342</x:v>
      </x:c>
      <x:c r="B1343" s="313" t="s">
        <x:v>29</x:v>
      </x:c>
      <x:c r="C1343" s="313" t="s">
        <x:v>20</x:v>
      </x:c>
      <x:c r="D1343" s="314">
        <x:v>1</x:v>
      </x:c>
      <x:c r="E1343" s="320">
        <x:v>1350</x:v>
      </x:c>
      <x:c r="F1343" s="320">
        <x:v>1350</x:v>
      </x:c>
      <x:c r="G1343" s="320">
        <x:v>550</x:v>
      </x:c>
      <x:c r="H1343" s="313" t="s">
        <x:v>68</x:v>
      </x:c>
      <x:c r="I1343" s="313" t="s">
        <x:v>44</x:v>
      </x:c>
      <x:c r="J1343" s="316" t="n">
        <x:f>IFERROR(G1343/F1343,0)</x:f>
        <x:v>0.4074074074074074</x:v>
      </x:c>
      <x:c r="K1343" s="312" t="str">
        <x:f>IF(B1343="Bilinmeyen Personel","Kontrol","OK")</x:f>
        <x:v>OK</x:v>
      </x:c>
    </x:row>
    <x:row r="1344" ht="15.75">
      <x:c r="A1344" s="313" t="n">
        <x:f t="shared" si="20">ROW()-ROW($A$2)+1</x:f>
        <x:v>1343</x:v>
      </x:c>
      <x:c r="B1344" s="313" t="s">
        <x:v>38</x:v>
      </x:c>
      <x:c r="C1344" s="313" t="s">
        <x:v>53</x:v>
      </x:c>
      <x:c r="D1344" s="314">
        <x:v>1</x:v>
      </x:c>
      <x:c r="E1344" s="320">
        <x:v>1200</x:v>
      </x:c>
      <x:c r="F1344" s="320">
        <x:v>1200</x:v>
      </x:c>
      <x:c r="G1344" s="320">
        <x:v>400</x:v>
      </x:c>
      <x:c r="H1344" s="313" t="s">
        <x:v>68</x:v>
      </x:c>
      <x:c r="I1344" s="313" t="s">
        <x:v>25</x:v>
      </x:c>
      <x:c r="J1344" s="316" t="n">
        <x:f>IFERROR(G1344/F1344,0)</x:f>
        <x:v>0.3333333333333333</x:v>
      </x:c>
      <x:c r="K1344" s="312" t="str">
        <x:f>IF(B1344="Bilinmeyen Personel","Kontrol","OK")</x:f>
        <x:v>OK</x:v>
      </x:c>
    </x:row>
    <x:row r="1345" ht="15.75">
      <x:c r="A1345" s="313" t="n">
        <x:f t="shared" si="20">ROW()-ROW($A$2)+1</x:f>
        <x:v>1344</x:v>
      </x:c>
      <x:c r="B1345" s="313" t="s">
        <x:v>32</x:v>
      </x:c>
      <x:c r="C1345" s="313" t="s">
        <x:v>56</x:v>
      </x:c>
      <x:c r="D1345" s="314">
        <x:v>1</x:v>
      </x:c>
      <x:c r="E1345" s="320">
        <x:v>5300</x:v>
      </x:c>
      <x:c r="F1345" s="320">
        <x:v>5300</x:v>
      </x:c>
      <x:c r="G1345" s="320">
        <x:v>1300</x:v>
      </x:c>
      <x:c r="H1345" s="313" t="s">
        <x:v>68</x:v>
      </x:c>
      <x:c r="I1345" s="313" t="s">
        <x:v>41</x:v>
      </x:c>
      <x:c r="J1345" s="316" t="n">
        <x:f>IFERROR(G1345/F1345,0)</x:f>
        <x:v>0.24528301886792453</x:v>
      </x:c>
      <x:c r="K1345" s="312" t="str">
        <x:f>IF(B1345="Bilinmeyen Personel","Kontrol","OK")</x:f>
        <x:v>OK</x:v>
      </x:c>
    </x:row>
    <x:row r="1346" ht="15.75">
      <x:c r="A1346" s="313" t="n">
        <x:f t="shared" si="20">ROW()-ROW($A$2)+1</x:f>
        <x:v>1345</x:v>
      </x:c>
      <x:c r="B1346" s="313" t="s">
        <x:v>40</x:v>
      </x:c>
      <x:c r="C1346" s="313" t="s">
        <x:v>39</x:v>
      </x:c>
      <x:c r="D1346" s="314">
        <x:v>3</x:v>
      </x:c>
      <x:c r="E1346" s="320">
        <x:v>10590</x:v>
      </x:c>
      <x:c r="F1346" s="320">
        <x:v>31770</x:v>
      </x:c>
      <x:c r="G1346" s="320">
        <x:v>13770</x:v>
      </x:c>
      <x:c r="H1346" s="313" t="s">
        <x:v>68</x:v>
      </x:c>
      <x:c r="I1346" s="313" t="s">
        <x:v>31</x:v>
      </x:c>
      <x:c r="J1346" s="316" t="n">
        <x:f>IFERROR(G1346/F1346,0)</x:f>
        <x:v>0.43342776203966005</x:v>
      </x:c>
      <x:c r="K1346" s="312" t="str">
        <x:f>IF(B1346="Bilinmeyen Personel","Kontrol","OK")</x:f>
        <x:v>OK</x:v>
      </x:c>
    </x:row>
    <x:row r="1347" ht="15.75">
      <x:c r="A1347" s="313" t="n">
        <x:f t="shared" ref="A1347:A1410" si="21">ROW()-ROW($A$2)+1</x:f>
        <x:v>1346</x:v>
      </x:c>
      <x:c r="B1347" s="313" t="s">
        <x:v>23</x:v>
      </x:c>
      <x:c r="C1347" s="313" t="s">
        <x:v>52</x:v>
      </x:c>
      <x:c r="D1347" s="314">
        <x:v>1</x:v>
      </x:c>
      <x:c r="E1347" s="320">
        <x:v>1250</x:v>
      </x:c>
      <x:c r="F1347" s="320">
        <x:v>1250</x:v>
      </x:c>
      <x:c r="G1347" s="320">
        <x:v>450</x:v>
      </x:c>
      <x:c r="H1347" s="313" t="s">
        <x:v>68</x:v>
      </x:c>
      <x:c r="I1347" s="313" t="s">
        <x:v>44</x:v>
      </x:c>
      <x:c r="J1347" s="316" t="n">
        <x:f>IFERROR(G1347/F1347,0)</x:f>
        <x:v>0.36</x:v>
      </x:c>
      <x:c r="K1347" s="312" t="str">
        <x:f>IF(B1347="Bilinmeyen Personel","Kontrol","OK")</x:f>
        <x:v>OK</x:v>
      </x:c>
    </x:row>
    <x:row r="1348" ht="15.75">
      <x:c r="A1348" s="313" t="n">
        <x:f t="shared" si="21">ROW()-ROW($A$2)+1</x:f>
        <x:v>1347</x:v>
      </x:c>
      <x:c r="B1348" s="313" t="s">
        <x:v>50</x:v>
      </x:c>
      <x:c r="C1348" s="313" t="s">
        <x:v>53</x:v>
      </x:c>
      <x:c r="D1348" s="314">
        <x:v>1</x:v>
      </x:c>
      <x:c r="E1348" s="320">
        <x:v>1200</x:v>
      </x:c>
      <x:c r="F1348" s="320">
        <x:v>1200</x:v>
      </x:c>
      <x:c r="G1348" s="320">
        <x:v>400</x:v>
      </x:c>
      <x:c r="H1348" s="313" t="s">
        <x:v>68</x:v>
      </x:c>
      <x:c r="I1348" s="313" t="s">
        <x:v>25</x:v>
      </x:c>
      <x:c r="J1348" s="316" t="n">
        <x:f>IFERROR(G1348/F1348,0)</x:f>
        <x:v>0.3333333333333333</x:v>
      </x:c>
      <x:c r="K1348" s="312" t="str">
        <x:f>IF(B1348="Bilinmeyen Personel","Kontrol","OK")</x:f>
        <x:v>OK</x:v>
      </x:c>
    </x:row>
    <x:row r="1349" ht="15.75">
      <x:c r="A1349" s="313" t="n">
        <x:f t="shared" si="21">ROW()-ROW($A$2)+1</x:f>
        <x:v>1348</x:v>
      </x:c>
      <x:c r="B1349" s="313" t="s">
        <x:v>23</x:v>
      </x:c>
      <x:c r="C1349" s="313" t="s">
        <x:v>14</x:v>
      </x:c>
      <x:c r="D1349" s="314">
        <x:v>3</x:v>
      </x:c>
      <x:c r="E1349" s="320">
        <x:v>1400</x:v>
      </x:c>
      <x:c r="F1349" s="320">
        <x:v>4200</x:v>
      </x:c>
      <x:c r="G1349" s="320">
        <x:v>1800</x:v>
      </x:c>
      <x:c r="H1349" s="313" t="s">
        <x:v>68</x:v>
      </x:c>
      <x:c r="I1349" s="313" t="s">
        <x:v>12</x:v>
      </x:c>
      <x:c r="J1349" s="316" t="n">
        <x:f>IFERROR(G1349/F1349,0)</x:f>
        <x:v>0.42857142857142855</x:v>
      </x:c>
      <x:c r="K1349" s="312" t="str">
        <x:f>IF(B1349="Bilinmeyen Personel","Kontrol","OK")</x:f>
        <x:v>OK</x:v>
      </x:c>
    </x:row>
    <x:row r="1350" ht="15.75">
      <x:c r="A1350" s="313" t="n">
        <x:f t="shared" si="21">ROW()-ROW($A$2)+1</x:f>
        <x:v>1349</x:v>
      </x:c>
      <x:c r="B1350" s="313" t="s">
        <x:v>50</x:v>
      </x:c>
      <x:c r="C1350" s="313" t="s">
        <x:v>55</x:v>
      </x:c>
      <x:c r="D1350" s="314">
        <x:v>2</x:v>
      </x:c>
      <x:c r="E1350" s="320">
        <x:v>7530</x:v>
      </x:c>
      <x:c r="F1350" s="320">
        <x:v>15060</x:v>
      </x:c>
      <x:c r="G1350" s="320">
        <x:v>3060</x:v>
      </x:c>
      <x:c r="H1350" s="313" t="s">
        <x:v>68</x:v>
      </x:c>
      <x:c r="I1350" s="313" t="s">
        <x:v>54</x:v>
      </x:c>
      <x:c r="J1350" s="316" t="n">
        <x:f>IFERROR(G1350/F1350,0)</x:f>
        <x:v>0.20318725099601595</x:v>
      </x:c>
      <x:c r="K1350" s="312" t="str">
        <x:f>IF(B1350="Bilinmeyen Personel","Kontrol","OK")</x:f>
        <x:v>OK</x:v>
      </x:c>
    </x:row>
    <x:row r="1351" ht="15.75">
      <x:c r="A1351" s="313" t="n">
        <x:f t="shared" si="21">ROW()-ROW($A$2)+1</x:f>
        <x:v>1350</x:v>
      </x:c>
      <x:c r="B1351" s="313" t="s">
        <x:v>32</x:v>
      </x:c>
      <x:c r="C1351" s="313" t="s">
        <x:v>24</x:v>
      </x:c>
      <x:c r="D1351" s="314">
        <x:v>1</x:v>
      </x:c>
      <x:c r="E1351" s="320">
        <x:v>7600</x:v>
      </x:c>
      <x:c r="F1351" s="320">
        <x:v>7600</x:v>
      </x:c>
      <x:c r="G1351" s="320">
        <x:v>1600</x:v>
      </x:c>
      <x:c r="H1351" s="313" t="s">
        <x:v>68</x:v>
      </x:c>
      <x:c r="I1351" s="313" t="s">
        <x:v>12</x:v>
      </x:c>
      <x:c r="J1351" s="316" t="n">
        <x:f>IFERROR(G1351/F1351,0)</x:f>
        <x:v>0.21052631578947367</x:v>
      </x:c>
      <x:c r="K1351" s="312" t="str">
        <x:f>IF(B1351="Bilinmeyen Personel","Kontrol","OK")</x:f>
        <x:v>OK</x:v>
      </x:c>
    </x:row>
    <x:row r="1352" ht="15.75">
      <x:c r="A1352" s="313" t="n">
        <x:f t="shared" si="21">ROW()-ROW($A$2)+1</x:f>
        <x:v>1351</x:v>
      </x:c>
      <x:c r="B1352" s="313" t="s">
        <x:v>50</x:v>
      </x:c>
      <x:c r="C1352" s="313" t="s">
        <x:v>57</x:v>
      </x:c>
      <x:c r="D1352" s="314">
        <x:v>1</x:v>
      </x:c>
      <x:c r="E1352" s="320">
        <x:v>1500</x:v>
      </x:c>
      <x:c r="F1352" s="320">
        <x:v>1500</x:v>
      </x:c>
      <x:c r="G1352" s="320">
        <x:v>700</x:v>
      </x:c>
      <x:c r="H1352" s="313" t="s">
        <x:v>68</x:v>
      </x:c>
      <x:c r="I1352" s="313" t="s">
        <x:v>37</x:v>
      </x:c>
      <x:c r="J1352" s="316" t="n">
        <x:f>IFERROR(G1352/F1352,0)</x:f>
        <x:v>0.4666666666666667</x:v>
      </x:c>
      <x:c r="K1352" s="312" t="str">
        <x:f>IF(B1352="Bilinmeyen Personel","Kontrol","OK")</x:f>
        <x:v>OK</x:v>
      </x:c>
    </x:row>
    <x:row r="1353" ht="15.75">
      <x:c r="A1353" s="313" t="n">
        <x:f t="shared" si="21">ROW()-ROW($A$2)+1</x:f>
        <x:v>1352</x:v>
      </x:c>
      <x:c r="B1353" s="313" t="s">
        <x:v>40</x:v>
      </x:c>
      <x:c r="C1353" s="313" t="s">
        <x:v>22</x:v>
      </x:c>
      <x:c r="D1353" s="314">
        <x:v>2</x:v>
      </x:c>
      <x:c r="E1353" s="320">
        <x:v>2180</x:v>
      </x:c>
      <x:c r="F1353" s="320">
        <x:v>4360</x:v>
      </x:c>
      <x:c r="G1353" s="320">
        <x:v>1360</x:v>
      </x:c>
      <x:c r="H1353" s="313" t="s">
        <x:v>68</x:v>
      </x:c>
      <x:c r="I1353" s="313" t="s">
        <x:v>42</x:v>
      </x:c>
      <x:c r="J1353" s="316" t="n">
        <x:f>IFERROR(G1353/F1353,0)</x:f>
        <x:v>0.3119266055045872</x:v>
      </x:c>
      <x:c r="K1353" s="312" t="str">
        <x:f>IF(B1353="Bilinmeyen Personel","Kontrol","OK")</x:f>
        <x:v>OK</x:v>
      </x:c>
    </x:row>
    <x:row r="1354" ht="15.75">
      <x:c r="A1354" s="313" t="n">
        <x:f t="shared" si="21">ROW()-ROW($A$2)+1</x:f>
        <x:v>1353</x:v>
      </x:c>
      <x:c r="B1354" s="313" t="s">
        <x:v>19</x:v>
      </x:c>
      <x:c r="C1354" s="313" t="s">
        <x:v>22</x:v>
      </x:c>
      <x:c r="D1354" s="314">
        <x:v>1</x:v>
      </x:c>
      <x:c r="E1354" s="320">
        <x:v>2180</x:v>
      </x:c>
      <x:c r="F1354" s="320">
        <x:v>2180</x:v>
      </x:c>
      <x:c r="G1354" s="320">
        <x:v>680</x:v>
      </x:c>
      <x:c r="H1354" s="313" t="s">
        <x:v>68</x:v>
      </x:c>
      <x:c r="I1354" s="313" t="s">
        <x:v>46</x:v>
      </x:c>
      <x:c r="J1354" s="316" t="n">
        <x:f>IFERROR(G1354/F1354,0)</x:f>
        <x:v>0.3119266055045872</x:v>
      </x:c>
      <x:c r="K1354" s="312" t="str">
        <x:f>IF(B1354="Bilinmeyen Personel","Kontrol","OK")</x:f>
        <x:v>OK</x:v>
      </x:c>
    </x:row>
    <x:row r="1355" ht="15.75">
      <x:c r="A1355" s="313" t="n">
        <x:f t="shared" si="21">ROW()-ROW($A$2)+1</x:f>
        <x:v>1354</x:v>
      </x:c>
      <x:c r="B1355" s="313" t="s">
        <x:v>40</x:v>
      </x:c>
      <x:c r="C1355" s="313" t="s">
        <x:v>47</x:v>
      </x:c>
      <x:c r="D1355" s="314">
        <x:v>1</x:v>
      </x:c>
      <x:c r="E1355" s="320">
        <x:v>5775</x:v>
      </x:c>
      <x:c r="F1355" s="320">
        <x:v>5775</x:v>
      </x:c>
      <x:c r="G1355" s="320">
        <x:v>1775</x:v>
      </x:c>
      <x:c r="H1355" s="313" t="s">
        <x:v>68</x:v>
      </x:c>
      <x:c r="I1355" s="313" t="s">
        <x:v>37</x:v>
      </x:c>
      <x:c r="J1355" s="316" t="n">
        <x:f>IFERROR(G1355/F1355,0)</x:f>
        <x:v>0.30735930735930733</x:v>
      </x:c>
      <x:c r="K1355" s="312" t="str">
        <x:f>IF(B1355="Bilinmeyen Personel","Kontrol","OK")</x:f>
        <x:v>OK</x:v>
      </x:c>
    </x:row>
    <x:row r="1356" ht="15.75">
      <x:c r="A1356" s="313" t="n">
        <x:f t="shared" si="21">ROW()-ROW($A$2)+1</x:f>
        <x:v>1355</x:v>
      </x:c>
      <x:c r="B1356" s="313" t="s">
        <x:v>40</x:v>
      </x:c>
      <x:c r="C1356" s="313" t="s">
        <x:v>27</x:v>
      </x:c>
      <x:c r="D1356" s="314">
        <x:v>3</x:v>
      </x:c>
      <x:c r="E1356" s="320">
        <x:v>1100</x:v>
      </x:c>
      <x:c r="F1356" s="320">
        <x:v>3300</x:v>
      </x:c>
      <x:c r="G1356" s="320">
        <x:v>900</x:v>
      </x:c>
      <x:c r="H1356" s="313" t="s">
        <x:v>68</x:v>
      </x:c>
      <x:c r="I1356" s="313" t="s">
        <x:v>12</x:v>
      </x:c>
      <x:c r="J1356" s="316" t="n">
        <x:f>IFERROR(G1356/F1356,0)</x:f>
        <x:v>0.2727272727272727</x:v>
      </x:c>
      <x:c r="K1356" s="312" t="str">
        <x:f>IF(B1356="Bilinmeyen Personel","Kontrol","OK")</x:f>
        <x:v>OK</x:v>
      </x:c>
    </x:row>
    <x:row r="1357" ht="15.75">
      <x:c r="A1357" s="313" t="n">
        <x:f t="shared" si="21">ROW()-ROW($A$2)+1</x:f>
        <x:v>1356</x:v>
      </x:c>
      <x:c r="B1357" s="313" t="s">
        <x:v>48</x:v>
      </x:c>
      <x:c r="C1357" s="313" t="s">
        <x:v>47</x:v>
      </x:c>
      <x:c r="D1357" s="314">
        <x:v>1</x:v>
      </x:c>
      <x:c r="E1357" s="320">
        <x:v>5775</x:v>
      </x:c>
      <x:c r="F1357" s="320">
        <x:v>5775</x:v>
      </x:c>
      <x:c r="G1357" s="320">
        <x:v>1775</x:v>
      </x:c>
      <x:c r="H1357" s="313" t="s">
        <x:v>68</x:v>
      </x:c>
      <x:c r="I1357" s="313" t="s">
        <x:v>12</x:v>
      </x:c>
      <x:c r="J1357" s="316" t="n">
        <x:f>IFERROR(G1357/F1357,0)</x:f>
        <x:v>0.30735930735930733</x:v>
      </x:c>
      <x:c r="K1357" s="312" t="str">
        <x:f>IF(B1357="Bilinmeyen Personel","Kontrol","OK")</x:f>
        <x:v>OK</x:v>
      </x:c>
    </x:row>
    <x:row r="1358" ht="15.75">
      <x:c r="A1358" s="313" t="n">
        <x:f t="shared" si="21">ROW()-ROW($A$2)+1</x:f>
        <x:v>1357</x:v>
      </x:c>
      <x:c r="B1358" s="313" t="s">
        <x:v>35</x:v>
      </x:c>
      <x:c r="C1358" s="313" t="s">
        <x:v>20</x:v>
      </x:c>
      <x:c r="D1358" s="314">
        <x:v>1</x:v>
      </x:c>
      <x:c r="E1358" s="320">
        <x:v>1350</x:v>
      </x:c>
      <x:c r="F1358" s="320">
        <x:v>1350</x:v>
      </x:c>
      <x:c r="G1358" s="320">
        <x:v>550</x:v>
      </x:c>
      <x:c r="H1358" s="313" t="s">
        <x:v>68</x:v>
      </x:c>
      <x:c r="I1358" s="313" t="s">
        <x:v>37</x:v>
      </x:c>
      <x:c r="J1358" s="316" t="n">
        <x:f>IFERROR(G1358/F1358,0)</x:f>
        <x:v>0.4074074074074074</x:v>
      </x:c>
      <x:c r="K1358" s="312" t="str">
        <x:f>IF(B1358="Bilinmeyen Personel","Kontrol","OK")</x:f>
        <x:v>OK</x:v>
      </x:c>
    </x:row>
    <x:row r="1359" ht="15.75">
      <x:c r="A1359" s="313" t="n">
        <x:f t="shared" si="21">ROW()-ROW($A$2)+1</x:f>
        <x:v>1358</x:v>
      </x:c>
      <x:c r="B1359" s="313" t="s">
        <x:v>9</x:v>
      </x:c>
      <x:c r="C1359" s="313" t="s">
        <x:v>24</x:v>
      </x:c>
      <x:c r="D1359" s="314">
        <x:v>3</x:v>
      </x:c>
      <x:c r="E1359" s="320">
        <x:v>7600</x:v>
      </x:c>
      <x:c r="F1359" s="320">
        <x:v>22800</x:v>
      </x:c>
      <x:c r="G1359" s="320">
        <x:v>4800</x:v>
      </x:c>
      <x:c r="H1359" s="313" t="s">
        <x:v>68</x:v>
      </x:c>
      <x:c r="I1359" s="313" t="s">
        <x:v>21</x:v>
      </x:c>
      <x:c r="J1359" s="316" t="n">
        <x:f>IFERROR(G1359/F1359,0)</x:f>
        <x:v>0.21052631578947367</x:v>
      </x:c>
      <x:c r="K1359" s="312" t="str">
        <x:f>IF(B1359="Bilinmeyen Personel","Kontrol","OK")</x:f>
        <x:v>OK</x:v>
      </x:c>
    </x:row>
    <x:row r="1360" ht="15.75">
      <x:c r="A1360" s="313" t="n">
        <x:f t="shared" si="21">ROW()-ROW($A$2)+1</x:f>
        <x:v>1359</x:v>
      </x:c>
      <x:c r="B1360" s="313" t="s">
        <x:v>16</x:v>
      </x:c>
      <x:c r="C1360" s="313" t="s">
        <x:v>26</x:v>
      </x:c>
      <x:c r="D1360" s="314">
        <x:v>3</x:v>
      </x:c>
      <x:c r="E1360" s="320">
        <x:v>7250</x:v>
      </x:c>
      <x:c r="F1360" s="320">
        <x:v>21750</x:v>
      </x:c>
      <x:c r="G1360" s="320">
        <x:v>6750</x:v>
      </x:c>
      <x:c r="H1360" s="313" t="s">
        <x:v>68</x:v>
      </x:c>
      <x:c r="I1360" s="313" t="s">
        <x:v>42</x:v>
      </x:c>
      <x:c r="J1360" s="316" t="n">
        <x:f>IFERROR(G1360/F1360,0)</x:f>
        <x:v>0.3103448275862069</x:v>
      </x:c>
      <x:c r="K1360" s="312" t="str">
        <x:f>IF(B1360="Bilinmeyen Personel","Kontrol","OK")</x:f>
        <x:v>OK</x:v>
      </x:c>
    </x:row>
    <x:row r="1361" ht="15.75">
      <x:c r="A1361" s="313" t="n">
        <x:f t="shared" si="21">ROW()-ROW($A$2)+1</x:f>
        <x:v>1360</x:v>
      </x:c>
      <x:c r="B1361" s="313" t="s">
        <x:v>50</x:v>
      </x:c>
      <x:c r="C1361" s="313" t="s">
        <x:v>43</x:v>
      </x:c>
      <x:c r="D1361" s="314">
        <x:v>2</x:v>
      </x:c>
      <x:c r="E1361" s="320">
        <x:v>1490</x:v>
      </x:c>
      <x:c r="F1361" s="320">
        <x:v>2980</x:v>
      </x:c>
      <x:c r="G1361" s="320">
        <x:v>1380</x:v>
      </x:c>
      <x:c r="H1361" s="313" t="s">
        <x:v>68</x:v>
      </x:c>
      <x:c r="I1361" s="313" t="s">
        <x:v>54</x:v>
      </x:c>
      <x:c r="J1361" s="316" t="n">
        <x:f>IFERROR(G1361/F1361,0)</x:f>
        <x:v>0.46308724832214765</x:v>
      </x:c>
      <x:c r="K1361" s="312" t="str">
        <x:f>IF(B1361="Bilinmeyen Personel","Kontrol","OK")</x:f>
        <x:v>OK</x:v>
      </x:c>
    </x:row>
    <x:row r="1362" ht="15.75">
      <x:c r="A1362" s="313" t="n">
        <x:f t="shared" si="21">ROW()-ROW($A$2)+1</x:f>
        <x:v>1361</x:v>
      </x:c>
      <x:c r="B1362" s="313" t="s">
        <x:v>19</x:v>
      </x:c>
      <x:c r="C1362" s="313" t="s">
        <x:v>43</x:v>
      </x:c>
      <x:c r="D1362" s="314">
        <x:v>2</x:v>
      </x:c>
      <x:c r="E1362" s="320">
        <x:v>1490</x:v>
      </x:c>
      <x:c r="F1362" s="320">
        <x:v>2980</x:v>
      </x:c>
      <x:c r="G1362" s="320">
        <x:v>1380</x:v>
      </x:c>
      <x:c r="H1362" s="313" t="s">
        <x:v>68</x:v>
      </x:c>
      <x:c r="I1362" s="313" t="s">
        <x:v>12</x:v>
      </x:c>
      <x:c r="J1362" s="316" t="n">
        <x:f>IFERROR(G1362/F1362,0)</x:f>
        <x:v>0.46308724832214765</x:v>
      </x:c>
      <x:c r="K1362" s="312" t="str">
        <x:f>IF(B1362="Bilinmeyen Personel","Kontrol","OK")</x:f>
        <x:v>OK</x:v>
      </x:c>
    </x:row>
    <x:row r="1363" ht="15.75">
      <x:c r="A1363" s="313" t="n">
        <x:f t="shared" si="21">ROW()-ROW($A$2)+1</x:f>
        <x:v>1362</x:v>
      </x:c>
      <x:c r="B1363" s="313" t="s">
        <x:v>38</x:v>
      </x:c>
      <x:c r="C1363" s="313" t="s">
        <x:v>34</x:v>
      </x:c>
      <x:c r="D1363" s="314">
        <x:v>2</x:v>
      </x:c>
      <x:c r="E1363" s="320">
        <x:v>1090</x:v>
      </x:c>
      <x:c r="F1363" s="320">
        <x:v>2180</x:v>
      </x:c>
      <x:c r="G1363" s="320">
        <x:v>580</x:v>
      </x:c>
      <x:c r="H1363" s="313" t="s">
        <x:v>68</x:v>
      </x:c>
      <x:c r="I1363" s="313" t="s">
        <x:v>31</x:v>
      </x:c>
      <x:c r="J1363" s="316" t="n">
        <x:f>IFERROR(G1363/F1363,0)</x:f>
        <x:v>0.26605504587155965</x:v>
      </x:c>
      <x:c r="K1363" s="312" t="str">
        <x:f>IF(B1363="Bilinmeyen Personel","Kontrol","OK")</x:f>
        <x:v>OK</x:v>
      </x:c>
    </x:row>
    <x:row r="1364" ht="15.75">
      <x:c r="A1364" s="313" t="n">
        <x:f t="shared" si="21">ROW()-ROW($A$2)+1</x:f>
        <x:v>1363</x:v>
      </x:c>
      <x:c r="B1364" s="313" t="s">
        <x:v>38</x:v>
      </x:c>
      <x:c r="C1364" s="313" t="s">
        <x:v>30</x:v>
      </x:c>
      <x:c r="D1364" s="314">
        <x:v>3</x:v>
      </x:c>
      <x:c r="E1364" s="320">
        <x:v>1200</x:v>
      </x:c>
      <x:c r="F1364" s="320">
        <x:v>3600</x:v>
      </x:c>
      <x:c r="G1364" s="320">
        <x:v>1200</x:v>
      </x:c>
      <x:c r="H1364" s="313" t="s">
        <x:v>68</x:v>
      </x:c>
      <x:c r="I1364" s="313" t="s">
        <x:v>31</x:v>
      </x:c>
      <x:c r="J1364" s="316" t="n">
        <x:f>IFERROR(G1364/F1364,0)</x:f>
        <x:v>0.3333333333333333</x:v>
      </x:c>
      <x:c r="K1364" s="312" t="str">
        <x:f>IF(B1364="Bilinmeyen Personel","Kontrol","OK")</x:f>
        <x:v>OK</x:v>
      </x:c>
    </x:row>
    <x:row r="1365" ht="15.75">
      <x:c r="A1365" s="313" t="n">
        <x:f t="shared" si="21">ROW()-ROW($A$2)+1</x:f>
        <x:v>1364</x:v>
      </x:c>
      <x:c r="B1365" s="313" t="s">
        <x:v>50</x:v>
      </x:c>
      <x:c r="C1365" s="313" t="s">
        <x:v>34</x:v>
      </x:c>
      <x:c r="D1365" s="314">
        <x:v>2</x:v>
      </x:c>
      <x:c r="E1365" s="320">
        <x:v>1090</x:v>
      </x:c>
      <x:c r="F1365" s="320">
        <x:v>2180</x:v>
      </x:c>
      <x:c r="G1365" s="320">
        <x:v>580</x:v>
      </x:c>
      <x:c r="H1365" s="313" t="s">
        <x:v>68</x:v>
      </x:c>
      <x:c r="I1365" s="313" t="s">
        <x:v>46</x:v>
      </x:c>
      <x:c r="J1365" s="316" t="n">
        <x:f>IFERROR(G1365/F1365,0)</x:f>
        <x:v>0.26605504587155965</x:v>
      </x:c>
      <x:c r="K1365" s="312" t="str">
        <x:f>IF(B1365="Bilinmeyen Personel","Kontrol","OK")</x:f>
        <x:v>OK</x:v>
      </x:c>
    </x:row>
    <x:row r="1366" ht="15.75">
      <x:c r="A1366" s="313" t="n">
        <x:f t="shared" si="21">ROW()-ROW($A$2)+1</x:f>
        <x:v>1365</x:v>
      </x:c>
      <x:c r="B1366" s="313" t="s">
        <x:v>50</x:v>
      </x:c>
      <x:c r="C1366" s="313" t="s">
        <x:v>22</x:v>
      </x:c>
      <x:c r="D1366" s="314">
        <x:v>3</x:v>
      </x:c>
      <x:c r="E1366" s="320">
        <x:v>2180</x:v>
      </x:c>
      <x:c r="F1366" s="320">
        <x:v>6540</x:v>
      </x:c>
      <x:c r="G1366" s="320">
        <x:v>2040</x:v>
      </x:c>
      <x:c r="H1366" s="313" t="s">
        <x:v>68</x:v>
      </x:c>
      <x:c r="I1366" s="313" t="s">
        <x:v>15</x:v>
      </x:c>
      <x:c r="J1366" s="316" t="n">
        <x:f>IFERROR(G1366/F1366,0)</x:f>
        <x:v>0.3119266055045872</x:v>
      </x:c>
      <x:c r="K1366" s="312" t="str">
        <x:f>IF(B1366="Bilinmeyen Personel","Kontrol","OK")</x:f>
        <x:v>OK</x:v>
      </x:c>
    </x:row>
    <x:row r="1367" ht="15.75">
      <x:c r="A1367" s="313" t="n">
        <x:f t="shared" si="21">ROW()-ROW($A$2)+1</x:f>
        <x:v>1366</x:v>
      </x:c>
      <x:c r="B1367" s="313" t="s">
        <x:v>16</x:v>
      </x:c>
      <x:c r="C1367" s="313" t="s">
        <x:v>56</x:v>
      </x:c>
      <x:c r="D1367" s="314">
        <x:v>3</x:v>
      </x:c>
      <x:c r="E1367" s="320">
        <x:v>5300</x:v>
      </x:c>
      <x:c r="F1367" s="320">
        <x:v>15900</x:v>
      </x:c>
      <x:c r="G1367" s="320">
        <x:v>3900</x:v>
      </x:c>
      <x:c r="H1367" s="313" t="s">
        <x:v>68</x:v>
      </x:c>
      <x:c r="I1367" s="313" t="s">
        <x:v>25</x:v>
      </x:c>
      <x:c r="J1367" s="316" t="n">
        <x:f>IFERROR(G1367/F1367,0)</x:f>
        <x:v>0.24528301886792453</x:v>
      </x:c>
      <x:c r="K1367" s="312" t="str">
        <x:f>IF(B1367="Bilinmeyen Personel","Kontrol","OK")</x:f>
        <x:v>OK</x:v>
      </x:c>
    </x:row>
    <x:row r="1368" ht="15.75">
      <x:c r="A1368" s="313" t="n">
        <x:f t="shared" si="21">ROW()-ROW($A$2)+1</x:f>
        <x:v>1367</x:v>
      </x:c>
      <x:c r="B1368" s="313" t="s">
        <x:v>50</x:v>
      </x:c>
      <x:c r="C1368" s="313" t="s">
        <x:v>56</x:v>
      </x:c>
      <x:c r="D1368" s="314">
        <x:v>2</x:v>
      </x:c>
      <x:c r="E1368" s="320">
        <x:v>5300</x:v>
      </x:c>
      <x:c r="F1368" s="320">
        <x:v>10600</x:v>
      </x:c>
      <x:c r="G1368" s="320">
        <x:v>2600</x:v>
      </x:c>
      <x:c r="H1368" s="313" t="s">
        <x:v>68</x:v>
      </x:c>
      <x:c r="I1368" s="313" t="s">
        <x:v>15</x:v>
      </x:c>
      <x:c r="J1368" s="316" t="n">
        <x:f>IFERROR(G1368/F1368,0)</x:f>
        <x:v>0.24528301886792453</x:v>
      </x:c>
      <x:c r="K1368" s="312" t="str">
        <x:f>IF(B1368="Bilinmeyen Personel","Kontrol","OK")</x:f>
        <x:v>OK</x:v>
      </x:c>
    </x:row>
    <x:row r="1369" ht="15.75">
      <x:c r="A1369" s="313" t="n">
        <x:f t="shared" si="21">ROW()-ROW($A$2)+1</x:f>
        <x:v>1368</x:v>
      </x:c>
      <x:c r="B1369" s="313" t="s">
        <x:v>29</x:v>
      </x:c>
      <x:c r="C1369" s="313" t="s">
        <x:v>26</x:v>
      </x:c>
      <x:c r="D1369" s="314">
        <x:v>2</x:v>
      </x:c>
      <x:c r="E1369" s="320">
        <x:v>7250</x:v>
      </x:c>
      <x:c r="F1369" s="320">
        <x:v>14500</x:v>
      </x:c>
      <x:c r="G1369" s="320">
        <x:v>4500</x:v>
      </x:c>
      <x:c r="H1369" s="313" t="s">
        <x:v>68</x:v>
      </x:c>
      <x:c r="I1369" s="313" t="s">
        <x:v>12</x:v>
      </x:c>
      <x:c r="J1369" s="316" t="n">
        <x:f>IFERROR(G1369/F1369,0)</x:f>
        <x:v>0.3103448275862069</x:v>
      </x:c>
      <x:c r="K1369" s="312" t="str">
        <x:f>IF(B1369="Bilinmeyen Personel","Kontrol","OK")</x:f>
        <x:v>OK</x:v>
      </x:c>
    </x:row>
    <x:row r="1370" ht="15.75">
      <x:c r="A1370" s="313" t="n">
        <x:f t="shared" si="21">ROW()-ROW($A$2)+1</x:f>
        <x:v>1369</x:v>
      </x:c>
      <x:c r="B1370" s="313" t="s">
        <x:v>29</x:v>
      </x:c>
      <x:c r="C1370" s="313" t="s">
        <x:v>53</x:v>
      </x:c>
      <x:c r="D1370" s="314">
        <x:v>3</x:v>
      </x:c>
      <x:c r="E1370" s="320">
        <x:v>1200</x:v>
      </x:c>
      <x:c r="F1370" s="320">
        <x:v>3600</x:v>
      </x:c>
      <x:c r="G1370" s="320">
        <x:v>1200</x:v>
      </x:c>
      <x:c r="H1370" s="313" t="s">
        <x:v>68</x:v>
      </x:c>
      <x:c r="I1370" s="313" t="s">
        <x:v>37</x:v>
      </x:c>
      <x:c r="J1370" s="316" t="n">
        <x:f>IFERROR(G1370/F1370,0)</x:f>
        <x:v>0.3333333333333333</x:v>
      </x:c>
      <x:c r="K1370" s="312" t="str">
        <x:f>IF(B1370="Bilinmeyen Personel","Kontrol","OK")</x:f>
        <x:v>OK</x:v>
      </x:c>
    </x:row>
    <x:row r="1371" ht="15.75">
      <x:c r="A1371" s="313" t="n">
        <x:f t="shared" si="21">ROW()-ROW($A$2)+1</x:f>
        <x:v>1370</x:v>
      </x:c>
      <x:c r="B1371" s="313" t="s">
        <x:v>19</x:v>
      </x:c>
      <x:c r="C1371" s="313" t="s">
        <x:v>10</x:v>
      </x:c>
      <x:c r="D1371" s="314">
        <x:v>1</x:v>
      </x:c>
      <x:c r="E1371" s="320">
        <x:v>6000</x:v>
      </x:c>
      <x:c r="F1371" s="320">
        <x:v>6000</x:v>
      </x:c>
      <x:c r="G1371" s="320">
        <x:v>2000</x:v>
      </x:c>
      <x:c r="H1371" s="313" t="s">
        <x:v>68</x:v>
      </x:c>
      <x:c r="I1371" s="313" t="s">
        <x:v>41</x:v>
      </x:c>
      <x:c r="J1371" s="316" t="n">
        <x:f>IFERROR(G1371/F1371,0)</x:f>
        <x:v>0.3333333333333333</x:v>
      </x:c>
      <x:c r="K1371" s="312" t="str">
        <x:f>IF(B1371="Bilinmeyen Personel","Kontrol","OK")</x:f>
        <x:v>OK</x:v>
      </x:c>
    </x:row>
    <x:row r="1372" ht="15.75">
      <x:c r="A1372" s="313" t="n">
        <x:f t="shared" si="21">ROW()-ROW($A$2)+1</x:f>
        <x:v>1371</x:v>
      </x:c>
      <x:c r="B1372" s="313" t="s">
        <x:v>16</x:v>
      </x:c>
      <x:c r="C1372" s="313" t="s">
        <x:v>17</x:v>
      </x:c>
      <x:c r="D1372" s="314">
        <x:v>3</x:v>
      </x:c>
      <x:c r="E1372" s="320">
        <x:v>8450</x:v>
      </x:c>
      <x:c r="F1372" s="320">
        <x:v>25350</x:v>
      </x:c>
      <x:c r="G1372" s="320">
        <x:v>7350</x:v>
      </x:c>
      <x:c r="H1372" s="313" t="s">
        <x:v>68</x:v>
      </x:c>
      <x:c r="I1372" s="313" t="s">
        <x:v>25</x:v>
      </x:c>
      <x:c r="J1372" s="316" t="n">
        <x:f>IFERROR(G1372/F1372,0)</x:f>
        <x:v>0.28994082840236685</x:v>
      </x:c>
      <x:c r="K1372" s="312" t="str">
        <x:f>IF(B1372="Bilinmeyen Personel","Kontrol","OK")</x:f>
        <x:v>OK</x:v>
      </x:c>
    </x:row>
    <x:row r="1373" ht="15.75">
      <x:c r="A1373" s="313" t="n">
        <x:f t="shared" si="21">ROW()-ROW($A$2)+1</x:f>
        <x:v>1372</x:v>
      </x:c>
      <x:c r="B1373" s="313" t="s">
        <x:v>32</x:v>
      </x:c>
      <x:c r="C1373" s="313" t="s">
        <x:v>45</x:v>
      </x:c>
      <x:c r="D1373" s="314">
        <x:v>1</x:v>
      </x:c>
      <x:c r="E1373" s="320">
        <x:v>4200</x:v>
      </x:c>
      <x:c r="F1373" s="320">
        <x:v>4200</x:v>
      </x:c>
      <x:c r="G1373" s="320">
        <x:v>1200</x:v>
      </x:c>
      <x:c r="H1373" s="313" t="s">
        <x:v>68</x:v>
      </x:c>
      <x:c r="I1373" s="313" t="s">
        <x:v>37</x:v>
      </x:c>
      <x:c r="J1373" s="316" t="n">
        <x:f>IFERROR(G1373/F1373,0)</x:f>
        <x:v>0.2857142857142857</x:v>
      </x:c>
      <x:c r="K1373" s="312" t="str">
        <x:f>IF(B1373="Bilinmeyen Personel","Kontrol","OK")</x:f>
        <x:v>OK</x:v>
      </x:c>
    </x:row>
    <x:row r="1374" ht="15.75">
      <x:c r="A1374" s="313" t="n">
        <x:f t="shared" si="21">ROW()-ROW($A$2)+1</x:f>
        <x:v>1373</x:v>
      </x:c>
      <x:c r="B1374" s="313" t="s">
        <x:v>32</x:v>
      </x:c>
      <x:c r="C1374" s="313" t="s">
        <x:v>39</x:v>
      </x:c>
      <x:c r="D1374" s="314">
        <x:v>3</x:v>
      </x:c>
      <x:c r="E1374" s="320">
        <x:v>10590</x:v>
      </x:c>
      <x:c r="F1374" s="320">
        <x:v>31770</x:v>
      </x:c>
      <x:c r="G1374" s="320">
        <x:v>13770</x:v>
      </x:c>
      <x:c r="H1374" s="313" t="s">
        <x:v>68</x:v>
      </x:c>
      <x:c r="I1374" s="313" t="s">
        <x:v>46</x:v>
      </x:c>
      <x:c r="J1374" s="316" t="n">
        <x:f>IFERROR(G1374/F1374,0)</x:f>
        <x:v>0.43342776203966005</x:v>
      </x:c>
      <x:c r="K1374" s="312" t="str">
        <x:f>IF(B1374="Bilinmeyen Personel","Kontrol","OK")</x:f>
        <x:v>OK</x:v>
      </x:c>
    </x:row>
    <x:row r="1375" ht="15.75">
      <x:c r="A1375" s="313" t="n">
        <x:f t="shared" si="21">ROW()-ROW($A$2)+1</x:f>
        <x:v>1374</x:v>
      </x:c>
      <x:c r="B1375" s="313" t="s">
        <x:v>29</x:v>
      </x:c>
      <x:c r="C1375" s="313" t="s">
        <x:v>53</x:v>
      </x:c>
      <x:c r="D1375" s="314">
        <x:v>1</x:v>
      </x:c>
      <x:c r="E1375" s="320">
        <x:v>1200</x:v>
      </x:c>
      <x:c r="F1375" s="320">
        <x:v>1200</x:v>
      </x:c>
      <x:c r="G1375" s="320">
        <x:v>400</x:v>
      </x:c>
      <x:c r="H1375" s="313" t="s">
        <x:v>68</x:v>
      </x:c>
      <x:c r="I1375" s="313" t="s">
        <x:v>37</x:v>
      </x:c>
      <x:c r="J1375" s="316" t="n">
        <x:f>IFERROR(G1375/F1375,0)</x:f>
        <x:v>0.3333333333333333</x:v>
      </x:c>
      <x:c r="K1375" s="312" t="str">
        <x:f>IF(B1375="Bilinmeyen Personel","Kontrol","OK")</x:f>
        <x:v>OK</x:v>
      </x:c>
    </x:row>
    <x:row r="1376" ht="15.75">
      <x:c r="A1376" s="313" t="n">
        <x:f t="shared" si="21">ROW()-ROW($A$2)+1</x:f>
        <x:v>1375</x:v>
      </x:c>
      <x:c r="B1376" s="313" t="s">
        <x:v>48</x:v>
      </x:c>
      <x:c r="C1376" s="313" t="s">
        <x:v>27</x:v>
      </x:c>
      <x:c r="D1376" s="314">
        <x:v>2</x:v>
      </x:c>
      <x:c r="E1376" s="320">
        <x:v>1100</x:v>
      </x:c>
      <x:c r="F1376" s="320">
        <x:v>2200</x:v>
      </x:c>
      <x:c r="G1376" s="320">
        <x:v>600</x:v>
      </x:c>
      <x:c r="H1376" s="313" t="s">
        <x:v>68</x:v>
      </x:c>
      <x:c r="I1376" s="313" t="s">
        <x:v>28</x:v>
      </x:c>
      <x:c r="J1376" s="316" t="n">
        <x:f>IFERROR(G1376/F1376,0)</x:f>
        <x:v>0.2727272727272727</x:v>
      </x:c>
      <x:c r="K1376" s="312" t="str">
        <x:f>IF(B1376="Bilinmeyen Personel","Kontrol","OK")</x:f>
        <x:v>OK</x:v>
      </x:c>
    </x:row>
    <x:row r="1377" ht="15.75">
      <x:c r="A1377" s="313" t="n">
        <x:f t="shared" si="21">ROW()-ROW($A$2)+1</x:f>
        <x:v>1376</x:v>
      </x:c>
      <x:c r="B1377" s="313" t="s">
        <x:v>40</x:v>
      </x:c>
      <x:c r="C1377" s="313" t="s">
        <x:v>58</x:v>
      </x:c>
      <x:c r="D1377" s="314">
        <x:v>2</x:v>
      </x:c>
      <x:c r="E1377" s="320">
        <x:v>3700</x:v>
      </x:c>
      <x:c r="F1377" s="320">
        <x:v>7400</x:v>
      </x:c>
      <x:c r="G1377" s="320">
        <x:v>1400</x:v>
      </x:c>
      <x:c r="H1377" s="313" t="s">
        <x:v>68</x:v>
      </x:c>
      <x:c r="I1377" s="313" t="s">
        <x:v>46</x:v>
      </x:c>
      <x:c r="J1377" s="316" t="n">
        <x:f>IFERROR(G1377/F1377,0)</x:f>
        <x:v>0.1891891891891892</x:v>
      </x:c>
      <x:c r="K1377" s="312" t="str">
        <x:f>IF(B1377="Bilinmeyen Personel","Kontrol","OK")</x:f>
        <x:v>OK</x:v>
      </x:c>
    </x:row>
    <x:row r="1378" ht="15.75">
      <x:c r="A1378" s="313" t="n">
        <x:f t="shared" si="21">ROW()-ROW($A$2)+1</x:f>
        <x:v>1377</x:v>
      </x:c>
      <x:c r="B1378" s="313" t="s">
        <x:v>13</x:v>
      </x:c>
      <x:c r="C1378" s="313" t="s">
        <x:v>58</x:v>
      </x:c>
      <x:c r="D1378" s="314">
        <x:v>1</x:v>
      </x:c>
      <x:c r="E1378" s="320">
        <x:v>3700</x:v>
      </x:c>
      <x:c r="F1378" s="320">
        <x:v>3700</x:v>
      </x:c>
      <x:c r="G1378" s="320">
        <x:v>700</x:v>
      </x:c>
      <x:c r="H1378" s="313" t="s">
        <x:v>68</x:v>
      </x:c>
      <x:c r="I1378" s="313" t="s">
        <x:v>28</x:v>
      </x:c>
      <x:c r="J1378" s="316" t="n">
        <x:f>IFERROR(G1378/F1378,0)</x:f>
        <x:v>0.1891891891891892</x:v>
      </x:c>
      <x:c r="K1378" s="312" t="str">
        <x:f>IF(B1378="Bilinmeyen Personel","Kontrol","OK")</x:f>
        <x:v>OK</x:v>
      </x:c>
    </x:row>
    <x:row r="1379" ht="15.75">
      <x:c r="A1379" s="313" t="n">
        <x:f t="shared" si="21">ROW()-ROW($A$2)+1</x:f>
        <x:v>1378</x:v>
      </x:c>
      <x:c r="B1379" s="313" t="s">
        <x:v>32</x:v>
      </x:c>
      <x:c r="C1379" s="313" t="s">
        <x:v>27</x:v>
      </x:c>
      <x:c r="D1379" s="314">
        <x:v>3</x:v>
      </x:c>
      <x:c r="E1379" s="320">
        <x:v>1100</x:v>
      </x:c>
      <x:c r="F1379" s="320">
        <x:v>3300</x:v>
      </x:c>
      <x:c r="G1379" s="320">
        <x:v>900</x:v>
      </x:c>
      <x:c r="H1379" s="313" t="s">
        <x:v>68</x:v>
      </x:c>
      <x:c r="I1379" s="313" t="s">
        <x:v>31</x:v>
      </x:c>
      <x:c r="J1379" s="316" t="n">
        <x:f>IFERROR(G1379/F1379,0)</x:f>
        <x:v>0.2727272727272727</x:v>
      </x:c>
      <x:c r="K1379" s="312" t="str">
        <x:f>IF(B1379="Bilinmeyen Personel","Kontrol","OK")</x:f>
        <x:v>OK</x:v>
      </x:c>
    </x:row>
    <x:row r="1380" ht="15.75">
      <x:c r="A1380" s="313" t="n">
        <x:f t="shared" si="21">ROW()-ROW($A$2)+1</x:f>
        <x:v>1379</x:v>
      </x:c>
      <x:c r="B1380" s="313" t="s">
        <x:v>29</x:v>
      </x:c>
      <x:c r="C1380" s="313" t="s">
        <x:v>58</x:v>
      </x:c>
      <x:c r="D1380" s="314">
        <x:v>1</x:v>
      </x:c>
      <x:c r="E1380" s="320">
        <x:v>3700</x:v>
      </x:c>
      <x:c r="F1380" s="320">
        <x:v>3700</x:v>
      </x:c>
      <x:c r="G1380" s="320">
        <x:v>700</x:v>
      </x:c>
      <x:c r="H1380" s="313" t="s">
        <x:v>68</x:v>
      </x:c>
      <x:c r="I1380" s="313" t="s">
        <x:v>54</x:v>
      </x:c>
      <x:c r="J1380" s="316" t="n">
        <x:f>IFERROR(G1380/F1380,0)</x:f>
        <x:v>0.1891891891891892</x:v>
      </x:c>
      <x:c r="K1380" s="312" t="str">
        <x:f>IF(B1380="Bilinmeyen Personel","Kontrol","OK")</x:f>
        <x:v>OK</x:v>
      </x:c>
    </x:row>
    <x:row r="1381" ht="15.75">
      <x:c r="A1381" s="313" t="n">
        <x:f t="shared" si="21">ROW()-ROW($A$2)+1</x:f>
        <x:v>1380</x:v>
      </x:c>
      <x:c r="B1381" s="313" t="s">
        <x:v>48</x:v>
      </x:c>
      <x:c r="C1381" s="313" t="s">
        <x:v>43</x:v>
      </x:c>
      <x:c r="D1381" s="314">
        <x:v>1</x:v>
      </x:c>
      <x:c r="E1381" s="320">
        <x:v>1490</x:v>
      </x:c>
      <x:c r="F1381" s="320">
        <x:v>1490</x:v>
      </x:c>
      <x:c r="G1381" s="320">
        <x:v>690</x:v>
      </x:c>
      <x:c r="H1381" s="313" t="s">
        <x:v>68</x:v>
      </x:c>
      <x:c r="I1381" s="313" t="s">
        <x:v>21</x:v>
      </x:c>
      <x:c r="J1381" s="316" t="n">
        <x:f>IFERROR(G1381/F1381,0)</x:f>
        <x:v>0.46308724832214765</x:v>
      </x:c>
      <x:c r="K1381" s="312" t="str">
        <x:f>IF(B1381="Bilinmeyen Personel","Kontrol","OK")</x:f>
        <x:v>OK</x:v>
      </x:c>
    </x:row>
    <x:row r="1382" ht="15.75">
      <x:c r="A1382" s="313" t="n">
        <x:f t="shared" si="21">ROW()-ROW($A$2)+1</x:f>
        <x:v>1381</x:v>
      </x:c>
      <x:c r="B1382" s="313" t="s">
        <x:v>40</x:v>
      </x:c>
      <x:c r="C1382" s="313" t="s">
        <x:v>57</x:v>
      </x:c>
      <x:c r="D1382" s="314">
        <x:v>1</x:v>
      </x:c>
      <x:c r="E1382" s="320">
        <x:v>1500</x:v>
      </x:c>
      <x:c r="F1382" s="320">
        <x:v>1500</x:v>
      </x:c>
      <x:c r="G1382" s="320">
        <x:v>700</x:v>
      </x:c>
      <x:c r="H1382" s="313" t="s">
        <x:v>68</x:v>
      </x:c>
      <x:c r="I1382" s="313" t="s">
        <x:v>21</x:v>
      </x:c>
      <x:c r="J1382" s="316" t="n">
        <x:f>IFERROR(G1382/F1382,0)</x:f>
        <x:v>0.4666666666666667</x:v>
      </x:c>
      <x:c r="K1382" s="312" t="str">
        <x:f>IF(B1382="Bilinmeyen Personel","Kontrol","OK")</x:f>
        <x:v>OK</x:v>
      </x:c>
    </x:row>
    <x:row r="1383" ht="15.75">
      <x:c r="A1383" s="313" t="n">
        <x:f t="shared" si="21">ROW()-ROW($A$2)+1</x:f>
        <x:v>1382</x:v>
      </x:c>
      <x:c r="B1383" s="313" t="s">
        <x:v>38</x:v>
      </x:c>
      <x:c r="C1383" s="313" t="s">
        <x:v>34</x:v>
      </x:c>
      <x:c r="D1383" s="314">
        <x:v>2</x:v>
      </x:c>
      <x:c r="E1383" s="320">
        <x:v>1090</x:v>
      </x:c>
      <x:c r="F1383" s="320">
        <x:v>2180</x:v>
      </x:c>
      <x:c r="G1383" s="320">
        <x:v>580</x:v>
      </x:c>
      <x:c r="H1383" s="313" t="s">
        <x:v>68</x:v>
      </x:c>
      <x:c r="I1383" s="313" t="s">
        <x:v>42</x:v>
      </x:c>
      <x:c r="J1383" s="316" t="n">
        <x:f>IFERROR(G1383/F1383,0)</x:f>
        <x:v>0.26605504587155965</x:v>
      </x:c>
      <x:c r="K1383" s="312" t="str">
        <x:f>IF(B1383="Bilinmeyen Personel","Kontrol","OK")</x:f>
        <x:v>OK</x:v>
      </x:c>
    </x:row>
    <x:row r="1384" ht="15.75">
      <x:c r="A1384" s="313" t="n">
        <x:f t="shared" si="21">ROW()-ROW($A$2)+1</x:f>
        <x:v>1383</x:v>
      </x:c>
      <x:c r="B1384" s="313" t="s">
        <x:v>48</x:v>
      </x:c>
      <x:c r="C1384" s="313" t="s">
        <x:v>33</x:v>
      </x:c>
      <x:c r="D1384" s="314">
        <x:v>3</x:v>
      </x:c>
      <x:c r="E1384" s="320">
        <x:v>1800</x:v>
      </x:c>
      <x:c r="F1384" s="320">
        <x:v>5400</x:v>
      </x:c>
      <x:c r="G1384" s="320">
        <x:v>3000</x:v>
      </x:c>
      <x:c r="H1384" s="313" t="s">
        <x:v>68</x:v>
      </x:c>
      <x:c r="I1384" s="313" t="s">
        <x:v>15</x:v>
      </x:c>
      <x:c r="J1384" s="316" t="n">
        <x:f>IFERROR(G1384/F1384,0)</x:f>
        <x:v>0.5555555555555556</x:v>
      </x:c>
      <x:c r="K1384" s="312" t="str">
        <x:f>IF(B1384="Bilinmeyen Personel","Kontrol","OK")</x:f>
        <x:v>OK</x:v>
      </x:c>
    </x:row>
    <x:row r="1385" ht="15.75">
      <x:c r="A1385" s="313" t="n">
        <x:f t="shared" si="21">ROW()-ROW($A$2)+1</x:f>
        <x:v>1384</x:v>
      </x:c>
      <x:c r="B1385" s="313" t="s">
        <x:v>35</x:v>
      </x:c>
      <x:c r="C1385" s="313" t="s">
        <x:v>55</x:v>
      </x:c>
      <x:c r="D1385" s="314">
        <x:v>2</x:v>
      </x:c>
      <x:c r="E1385" s="320">
        <x:v>7530</x:v>
      </x:c>
      <x:c r="F1385" s="320">
        <x:v>15060</x:v>
      </x:c>
      <x:c r="G1385" s="320">
        <x:v>3060</x:v>
      </x:c>
      <x:c r="H1385" s="313" t="s">
        <x:v>68</x:v>
      </x:c>
      <x:c r="I1385" s="313" t="s">
        <x:v>21</x:v>
      </x:c>
      <x:c r="J1385" s="316" t="n">
        <x:f>IFERROR(G1385/F1385,0)</x:f>
        <x:v>0.20318725099601595</x:v>
      </x:c>
      <x:c r="K1385" s="312" t="str">
        <x:f>IF(B1385="Bilinmeyen Personel","Kontrol","OK")</x:f>
        <x:v>OK</x:v>
      </x:c>
    </x:row>
    <x:row r="1386" ht="15.75">
      <x:c r="A1386" s="313" t="n">
        <x:f t="shared" si="21">ROW()-ROW($A$2)+1</x:f>
        <x:v>1385</x:v>
      </x:c>
      <x:c r="B1386" s="313" t="s">
        <x:v>32</x:v>
      </x:c>
      <x:c r="C1386" s="313" t="s">
        <x:v>27</x:v>
      </x:c>
      <x:c r="D1386" s="314">
        <x:v>3</x:v>
      </x:c>
      <x:c r="E1386" s="320">
        <x:v>1100</x:v>
      </x:c>
      <x:c r="F1386" s="320">
        <x:v>3300</x:v>
      </x:c>
      <x:c r="G1386" s="320">
        <x:v>900</x:v>
      </x:c>
      <x:c r="H1386" s="313" t="s">
        <x:v>68</x:v>
      </x:c>
      <x:c r="I1386" s="313" t="s">
        <x:v>31</x:v>
      </x:c>
      <x:c r="J1386" s="316" t="n">
        <x:f>IFERROR(G1386/F1386,0)</x:f>
        <x:v>0.2727272727272727</x:v>
      </x:c>
      <x:c r="K1386" s="312" t="str">
        <x:f>IF(B1386="Bilinmeyen Personel","Kontrol","OK")</x:f>
        <x:v>OK</x:v>
      </x:c>
    </x:row>
    <x:row r="1387" ht="15.75">
      <x:c r="A1387" s="313" t="n">
        <x:f t="shared" si="21">ROW()-ROW($A$2)+1</x:f>
        <x:v>1386</x:v>
      </x:c>
      <x:c r="B1387" s="313" t="s">
        <x:v>40</x:v>
      </x:c>
      <x:c r="C1387" s="313" t="s">
        <x:v>20</x:v>
      </x:c>
      <x:c r="D1387" s="314">
        <x:v>3</x:v>
      </x:c>
      <x:c r="E1387" s="320">
        <x:v>1350</x:v>
      </x:c>
      <x:c r="F1387" s="320">
        <x:v>4050</x:v>
      </x:c>
      <x:c r="G1387" s="320">
        <x:v>1650</x:v>
      </x:c>
      <x:c r="H1387" s="313" t="s">
        <x:v>68</x:v>
      </x:c>
      <x:c r="I1387" s="313" t="s">
        <x:v>18</x:v>
      </x:c>
      <x:c r="J1387" s="316" t="n">
        <x:f>IFERROR(G1387/F1387,0)</x:f>
        <x:v>0.4074074074074074</x:v>
      </x:c>
      <x:c r="K1387" s="312" t="str">
        <x:f>IF(B1387="Bilinmeyen Personel","Kontrol","OK")</x:f>
        <x:v>OK</x:v>
      </x:c>
    </x:row>
    <x:row r="1388" ht="15.75">
      <x:c r="A1388" s="313" t="n">
        <x:f t="shared" si="21">ROW()-ROW($A$2)+1</x:f>
        <x:v>1387</x:v>
      </x:c>
      <x:c r="B1388" s="313" t="s">
        <x:v>38</x:v>
      </x:c>
      <x:c r="C1388" s="313" t="s">
        <x:v>20</x:v>
      </x:c>
      <x:c r="D1388" s="314">
        <x:v>1</x:v>
      </x:c>
      <x:c r="E1388" s="320">
        <x:v>1350</x:v>
      </x:c>
      <x:c r="F1388" s="320">
        <x:v>1350</x:v>
      </x:c>
      <x:c r="G1388" s="320">
        <x:v>550</x:v>
      </x:c>
      <x:c r="H1388" s="313" t="s">
        <x:v>68</x:v>
      </x:c>
      <x:c r="I1388" s="313" t="s">
        <x:v>15</x:v>
      </x:c>
      <x:c r="J1388" s="316" t="n">
        <x:f>IFERROR(G1388/F1388,0)</x:f>
        <x:v>0.4074074074074074</x:v>
      </x:c>
      <x:c r="K1388" s="312" t="str">
        <x:f>IF(B1388="Bilinmeyen Personel","Kontrol","OK")</x:f>
        <x:v>OK</x:v>
      </x:c>
    </x:row>
    <x:row r="1389" ht="15.75">
      <x:c r="A1389" s="313" t="n">
        <x:f t="shared" si="21">ROW()-ROW($A$2)+1</x:f>
        <x:v>1388</x:v>
      </x:c>
      <x:c r="B1389" s="313" t="s">
        <x:v>35</x:v>
      </x:c>
      <x:c r="C1389" s="313" t="s">
        <x:v>34</x:v>
      </x:c>
      <x:c r="D1389" s="314">
        <x:v>2</x:v>
      </x:c>
      <x:c r="E1389" s="320">
        <x:v>1090</x:v>
      </x:c>
      <x:c r="F1389" s="320">
        <x:v>2180</x:v>
      </x:c>
      <x:c r="G1389" s="320">
        <x:v>580</x:v>
      </x:c>
      <x:c r="H1389" s="313" t="s">
        <x:v>68</x:v>
      </x:c>
      <x:c r="I1389" s="313" t="s">
        <x:v>18</x:v>
      </x:c>
      <x:c r="J1389" s="316" t="n">
        <x:f>IFERROR(G1389/F1389,0)</x:f>
        <x:v>0.26605504587155965</x:v>
      </x:c>
      <x:c r="K1389" s="312" t="str">
        <x:f>IF(B1389="Bilinmeyen Personel","Kontrol","OK")</x:f>
        <x:v>OK</x:v>
      </x:c>
    </x:row>
    <x:row r="1390" ht="15.75">
      <x:c r="A1390" s="313" t="n">
        <x:f t="shared" si="21">ROW()-ROW($A$2)+1</x:f>
        <x:v>1389</x:v>
      </x:c>
      <x:c r="B1390" s="313" t="s">
        <x:v>35</x:v>
      </x:c>
      <x:c r="C1390" s="313" t="s">
        <x:v>45</x:v>
      </x:c>
      <x:c r="D1390" s="314">
        <x:v>1</x:v>
      </x:c>
      <x:c r="E1390" s="320">
        <x:v>4200</x:v>
      </x:c>
      <x:c r="F1390" s="320">
        <x:v>4200</x:v>
      </x:c>
      <x:c r="G1390" s="320">
        <x:v>1200</x:v>
      </x:c>
      <x:c r="H1390" s="313" t="s">
        <x:v>68</x:v>
      </x:c>
      <x:c r="I1390" s="313" t="s">
        <x:v>37</x:v>
      </x:c>
      <x:c r="J1390" s="316" t="n">
        <x:f>IFERROR(G1390/F1390,0)</x:f>
        <x:v>0.2857142857142857</x:v>
      </x:c>
      <x:c r="K1390" s="312" t="str">
        <x:f>IF(B1390="Bilinmeyen Personel","Kontrol","OK")</x:f>
        <x:v>OK</x:v>
      </x:c>
    </x:row>
    <x:row r="1391" ht="15.75">
      <x:c r="A1391" s="313" t="n">
        <x:f t="shared" si="21">ROW()-ROW($A$2)+1</x:f>
        <x:v>1390</x:v>
      </x:c>
      <x:c r="B1391" s="313" t="s">
        <x:v>40</x:v>
      </x:c>
      <x:c r="C1391" s="313" t="s">
        <x:v>33</x:v>
      </x:c>
      <x:c r="D1391" s="314">
        <x:v>2</x:v>
      </x:c>
      <x:c r="E1391" s="320">
        <x:v>1800</x:v>
      </x:c>
      <x:c r="F1391" s="320">
        <x:v>3600</x:v>
      </x:c>
      <x:c r="G1391" s="320">
        <x:v>2000</x:v>
      </x:c>
      <x:c r="H1391" s="313" t="s">
        <x:v>68</x:v>
      </x:c>
      <x:c r="I1391" s="313" t="s">
        <x:v>41</x:v>
      </x:c>
      <x:c r="J1391" s="316" t="n">
        <x:f>IFERROR(G1391/F1391,0)</x:f>
        <x:v>0.5555555555555556</x:v>
      </x:c>
      <x:c r="K1391" s="312" t="str">
        <x:f>IF(B1391="Bilinmeyen Personel","Kontrol","OK")</x:f>
        <x:v>OK</x:v>
      </x:c>
    </x:row>
    <x:row r="1392" ht="15.75">
      <x:c r="A1392" s="313" t="n">
        <x:f t="shared" si="21">ROW()-ROW($A$2)+1</x:f>
        <x:v>1391</x:v>
      </x:c>
      <x:c r="B1392" s="313" t="s">
        <x:v>50</x:v>
      </x:c>
      <x:c r="C1392" s="313" t="s">
        <x:v>34</x:v>
      </x:c>
      <x:c r="D1392" s="314">
        <x:v>1</x:v>
      </x:c>
      <x:c r="E1392" s="320">
        <x:v>1090</x:v>
      </x:c>
      <x:c r="F1392" s="320">
        <x:v>1090</x:v>
      </x:c>
      <x:c r="G1392" s="320">
        <x:v>290</x:v>
      </x:c>
      <x:c r="H1392" s="313" t="s">
        <x:v>68</x:v>
      </x:c>
      <x:c r="I1392" s="313" t="s">
        <x:v>37</x:v>
      </x:c>
      <x:c r="J1392" s="316" t="n">
        <x:f>IFERROR(G1392/F1392,0)</x:f>
        <x:v>0.26605504587155965</x:v>
      </x:c>
      <x:c r="K1392" s="312" t="str">
        <x:f>IF(B1392="Bilinmeyen Personel","Kontrol","OK")</x:f>
        <x:v>OK</x:v>
      </x:c>
    </x:row>
    <x:row r="1393" ht="15.75">
      <x:c r="A1393" s="313" t="n">
        <x:f t="shared" si="21">ROW()-ROW($A$2)+1</x:f>
        <x:v>1392</x:v>
      </x:c>
      <x:c r="B1393" s="313" t="s">
        <x:v>9</x:v>
      </x:c>
      <x:c r="C1393" s="313" t="s">
        <x:v>24</x:v>
      </x:c>
      <x:c r="D1393" s="314">
        <x:v>1</x:v>
      </x:c>
      <x:c r="E1393" s="320">
        <x:v>7600</x:v>
      </x:c>
      <x:c r="F1393" s="320">
        <x:v>7600</x:v>
      </x:c>
      <x:c r="G1393" s="320">
        <x:v>1600</x:v>
      </x:c>
      <x:c r="H1393" s="313" t="s">
        <x:v>68</x:v>
      </x:c>
      <x:c r="I1393" s="313" t="s">
        <x:v>31</x:v>
      </x:c>
      <x:c r="J1393" s="316" t="n">
        <x:f>IFERROR(G1393/F1393,0)</x:f>
        <x:v>0.21052631578947367</x:v>
      </x:c>
      <x:c r="K1393" s="312" t="str">
        <x:f>IF(B1393="Bilinmeyen Personel","Kontrol","OK")</x:f>
        <x:v>OK</x:v>
      </x:c>
    </x:row>
    <x:row r="1394" ht="15.75">
      <x:c r="A1394" s="313" t="n">
        <x:f t="shared" si="21">ROW()-ROW($A$2)+1</x:f>
        <x:v>1393</x:v>
      </x:c>
      <x:c r="B1394" s="313" t="s">
        <x:v>38</x:v>
      </x:c>
      <x:c r="C1394" s="313" t="s">
        <x:v>24</x:v>
      </x:c>
      <x:c r="D1394" s="314">
        <x:v>3</x:v>
      </x:c>
      <x:c r="E1394" s="320">
        <x:v>7600</x:v>
      </x:c>
      <x:c r="F1394" s="320">
        <x:v>22800</x:v>
      </x:c>
      <x:c r="G1394" s="320">
        <x:v>4800</x:v>
      </x:c>
      <x:c r="H1394" s="313" t="s">
        <x:v>68</x:v>
      </x:c>
      <x:c r="I1394" s="313" t="s">
        <x:v>18</x:v>
      </x:c>
      <x:c r="J1394" s="316" t="n">
        <x:f>IFERROR(G1394/F1394,0)</x:f>
        <x:v>0.21052631578947367</x:v>
      </x:c>
      <x:c r="K1394" s="312" t="str">
        <x:f>IF(B1394="Bilinmeyen Personel","Kontrol","OK")</x:f>
        <x:v>OK</x:v>
      </x:c>
    </x:row>
    <x:row r="1395" ht="15.75">
      <x:c r="A1395" s="313" t="n">
        <x:f t="shared" si="21">ROW()-ROW($A$2)+1</x:f>
        <x:v>1394</x:v>
      </x:c>
      <x:c r="B1395" s="313" t="s">
        <x:v>16</x:v>
      </x:c>
      <x:c r="C1395" s="313" t="s">
        <x:v>58</x:v>
      </x:c>
      <x:c r="D1395" s="314">
        <x:v>1</x:v>
      </x:c>
      <x:c r="E1395" s="320">
        <x:v>3700</x:v>
      </x:c>
      <x:c r="F1395" s="320">
        <x:v>3700</x:v>
      </x:c>
      <x:c r="G1395" s="320">
        <x:v>700</x:v>
      </x:c>
      <x:c r="H1395" s="313" t="s">
        <x:v>68</x:v>
      </x:c>
      <x:c r="I1395" s="313" t="s">
        <x:v>44</x:v>
      </x:c>
      <x:c r="J1395" s="316" t="n">
        <x:f>IFERROR(G1395/F1395,0)</x:f>
        <x:v>0.1891891891891892</x:v>
      </x:c>
      <x:c r="K1395" s="312" t="str">
        <x:f>IF(B1395="Bilinmeyen Personel","Kontrol","OK")</x:f>
        <x:v>OK</x:v>
      </x:c>
    </x:row>
    <x:row r="1396" ht="15.75">
      <x:c r="A1396" s="313" t="n">
        <x:f t="shared" si="21">ROW()-ROW($A$2)+1</x:f>
        <x:v>1395</x:v>
      </x:c>
      <x:c r="B1396" s="313" t="s">
        <x:v>23</x:v>
      </x:c>
      <x:c r="C1396" s="313" t="s">
        <x:v>26</x:v>
      </x:c>
      <x:c r="D1396" s="314">
        <x:v>3</x:v>
      </x:c>
      <x:c r="E1396" s="320">
        <x:v>7250</x:v>
      </x:c>
      <x:c r="F1396" s="320">
        <x:v>21750</x:v>
      </x:c>
      <x:c r="G1396" s="320">
        <x:v>6750</x:v>
      </x:c>
      <x:c r="H1396" s="313" t="s">
        <x:v>68</x:v>
      </x:c>
      <x:c r="I1396" s="313" t="s">
        <x:v>41</x:v>
      </x:c>
      <x:c r="J1396" s="316" t="n">
        <x:f>IFERROR(G1396/F1396,0)</x:f>
        <x:v>0.3103448275862069</x:v>
      </x:c>
      <x:c r="K1396" s="312" t="str">
        <x:f>IF(B1396="Bilinmeyen Personel","Kontrol","OK")</x:f>
        <x:v>OK</x:v>
      </x:c>
    </x:row>
    <x:row r="1397" ht="15.75">
      <x:c r="A1397" s="313" t="n">
        <x:f t="shared" si="21">ROW()-ROW($A$2)+1</x:f>
        <x:v>1396</x:v>
      </x:c>
      <x:c r="B1397" s="313" t="s">
        <x:v>13</x:v>
      </x:c>
      <x:c r="C1397" s="313" t="s">
        <x:v>24</x:v>
      </x:c>
      <x:c r="D1397" s="314">
        <x:v>3</x:v>
      </x:c>
      <x:c r="E1397" s="320">
        <x:v>7600</x:v>
      </x:c>
      <x:c r="F1397" s="320">
        <x:v>22800</x:v>
      </x:c>
      <x:c r="G1397" s="320">
        <x:v>4800</x:v>
      </x:c>
      <x:c r="H1397" s="313" t="s">
        <x:v>68</x:v>
      </x:c>
      <x:c r="I1397" s="313" t="s">
        <x:v>18</x:v>
      </x:c>
      <x:c r="J1397" s="316" t="n">
        <x:f>IFERROR(G1397/F1397,0)</x:f>
        <x:v>0.21052631578947367</x:v>
      </x:c>
      <x:c r="K1397" s="312" t="str">
        <x:f>IF(B1397="Bilinmeyen Personel","Kontrol","OK")</x:f>
        <x:v>OK</x:v>
      </x:c>
    </x:row>
    <x:row r="1398" ht="15.75">
      <x:c r="A1398" s="313" t="n">
        <x:f t="shared" si="21">ROW()-ROW($A$2)+1</x:f>
        <x:v>1397</x:v>
      </x:c>
      <x:c r="B1398" s="313" t="s">
        <x:v>48</x:v>
      </x:c>
      <x:c r="C1398" s="313" t="s">
        <x:v>45</x:v>
      </x:c>
      <x:c r="D1398" s="314">
        <x:v>1</x:v>
      </x:c>
      <x:c r="E1398" s="320">
        <x:v>4200</x:v>
      </x:c>
      <x:c r="F1398" s="320">
        <x:v>4200</x:v>
      </x:c>
      <x:c r="G1398" s="320">
        <x:v>1200</x:v>
      </x:c>
      <x:c r="H1398" s="313" t="s">
        <x:v>68</x:v>
      </x:c>
      <x:c r="I1398" s="313" t="s">
        <x:v>21</x:v>
      </x:c>
      <x:c r="J1398" s="316" t="n">
        <x:f>IFERROR(G1398/F1398,0)</x:f>
        <x:v>0.2857142857142857</x:v>
      </x:c>
      <x:c r="K1398" s="312" t="str">
        <x:f>IF(B1398="Bilinmeyen Personel","Kontrol","OK")</x:f>
        <x:v>OK</x:v>
      </x:c>
    </x:row>
    <x:row r="1399" ht="15.75">
      <x:c r="A1399" s="313" t="n">
        <x:f t="shared" si="21">ROW()-ROW($A$2)+1</x:f>
        <x:v>1398</x:v>
      </x:c>
      <x:c r="B1399" s="313" t="s">
        <x:v>32</x:v>
      </x:c>
      <x:c r="C1399" s="313" t="s">
        <x:v>52</x:v>
      </x:c>
      <x:c r="D1399" s="314">
        <x:v>3</x:v>
      </x:c>
      <x:c r="E1399" s="320">
        <x:v>1250</x:v>
      </x:c>
      <x:c r="F1399" s="320">
        <x:v>3750</x:v>
      </x:c>
      <x:c r="G1399" s="320">
        <x:v>1350</x:v>
      </x:c>
      <x:c r="H1399" s="313" t="s">
        <x:v>68</x:v>
      </x:c>
      <x:c r="I1399" s="313" t="s">
        <x:v>42</x:v>
      </x:c>
      <x:c r="J1399" s="316" t="n">
        <x:f>IFERROR(G1399/F1399,0)</x:f>
        <x:v>0.36</x:v>
      </x:c>
      <x:c r="K1399" s="312" t="str">
        <x:f>IF(B1399="Bilinmeyen Personel","Kontrol","OK")</x:f>
        <x:v>OK</x:v>
      </x:c>
    </x:row>
    <x:row r="1400" ht="15.75">
      <x:c r="A1400" s="313" t="n">
        <x:f t="shared" si="21">ROW()-ROW($A$2)+1</x:f>
        <x:v>1399</x:v>
      </x:c>
      <x:c r="B1400" s="313" t="s">
        <x:v>38</x:v>
      </x:c>
      <x:c r="C1400" s="313" t="s">
        <x:v>34</x:v>
      </x:c>
      <x:c r="D1400" s="314">
        <x:v>1</x:v>
      </x:c>
      <x:c r="E1400" s="320">
        <x:v>1090</x:v>
      </x:c>
      <x:c r="F1400" s="320">
        <x:v>1090</x:v>
      </x:c>
      <x:c r="G1400" s="320">
        <x:v>290</x:v>
      </x:c>
      <x:c r="H1400" s="313" t="s">
        <x:v>68</x:v>
      </x:c>
      <x:c r="I1400" s="313" t="s">
        <x:v>18</x:v>
      </x:c>
      <x:c r="J1400" s="316" t="n">
        <x:f>IFERROR(G1400/F1400,0)</x:f>
        <x:v>0.26605504587155965</x:v>
      </x:c>
      <x:c r="K1400" s="312" t="str">
        <x:f>IF(B1400="Bilinmeyen Personel","Kontrol","OK")</x:f>
        <x:v>OK</x:v>
      </x:c>
    </x:row>
    <x:row r="1401" ht="15.75">
      <x:c r="A1401" s="313" t="n">
        <x:f t="shared" si="21">ROW()-ROW($A$2)+1</x:f>
        <x:v>1400</x:v>
      </x:c>
      <x:c r="B1401" s="313" t="s">
        <x:v>19</x:v>
      </x:c>
      <x:c r="C1401" s="313" t="s">
        <x:v>22</x:v>
      </x:c>
      <x:c r="D1401" s="314">
        <x:v>1</x:v>
      </x:c>
      <x:c r="E1401" s="320">
        <x:v>2180</x:v>
      </x:c>
      <x:c r="F1401" s="320">
        <x:v>2180</x:v>
      </x:c>
      <x:c r="G1401" s="320">
        <x:v>680</x:v>
      </x:c>
      <x:c r="H1401" s="313" t="s">
        <x:v>68</x:v>
      </x:c>
      <x:c r="I1401" s="313" t="s">
        <x:v>15</x:v>
      </x:c>
      <x:c r="J1401" s="316" t="n">
        <x:f>IFERROR(G1401/F1401,0)</x:f>
        <x:v>0.3119266055045872</x:v>
      </x:c>
      <x:c r="K1401" s="312" t="str">
        <x:f>IF(B1401="Bilinmeyen Personel","Kontrol","OK")</x:f>
        <x:v>OK</x:v>
      </x:c>
    </x:row>
    <x:row r="1402" ht="15.75">
      <x:c r="A1402" s="313" t="n">
        <x:f t="shared" si="21">ROW()-ROW($A$2)+1</x:f>
        <x:v>1401</x:v>
      </x:c>
      <x:c r="B1402" s="313" t="s">
        <x:v>50</x:v>
      </x:c>
      <x:c r="C1402" s="313" t="s">
        <x:v>58</x:v>
      </x:c>
      <x:c r="D1402" s="314">
        <x:v>2</x:v>
      </x:c>
      <x:c r="E1402" s="320">
        <x:v>3700</x:v>
      </x:c>
      <x:c r="F1402" s="320">
        <x:v>7400</x:v>
      </x:c>
      <x:c r="G1402" s="320">
        <x:v>1400</x:v>
      </x:c>
      <x:c r="H1402" s="313" t="s">
        <x:v>68</x:v>
      </x:c>
      <x:c r="I1402" s="313" t="s">
        <x:v>18</x:v>
      </x:c>
      <x:c r="J1402" s="316" t="n">
        <x:f>IFERROR(G1402/F1402,0)</x:f>
        <x:v>0.1891891891891892</x:v>
      </x:c>
      <x:c r="K1402" s="312" t="str">
        <x:f>IF(B1402="Bilinmeyen Personel","Kontrol","OK")</x:f>
        <x:v>OK</x:v>
      </x:c>
    </x:row>
    <x:row r="1403" ht="15.75">
      <x:c r="A1403" s="313" t="n">
        <x:f t="shared" si="21">ROW()-ROW($A$2)+1</x:f>
        <x:v>1402</x:v>
      </x:c>
      <x:c r="B1403" s="313" t="s">
        <x:v>40</x:v>
      </x:c>
      <x:c r="C1403" s="313" t="s">
        <x:v>10</x:v>
      </x:c>
      <x:c r="D1403" s="314">
        <x:v>2</x:v>
      </x:c>
      <x:c r="E1403" s="320">
        <x:v>6000</x:v>
      </x:c>
      <x:c r="F1403" s="320">
        <x:v>12000</x:v>
      </x:c>
      <x:c r="G1403" s="320">
        <x:v>4000</x:v>
      </x:c>
      <x:c r="H1403" s="313" t="s">
        <x:v>68</x:v>
      </x:c>
      <x:c r="I1403" s="313" t="s">
        <x:v>31</x:v>
      </x:c>
      <x:c r="J1403" s="316" t="n">
        <x:f>IFERROR(G1403/F1403,0)</x:f>
        <x:v>0.3333333333333333</x:v>
      </x:c>
      <x:c r="K1403" s="312" t="str">
        <x:f>IF(B1403="Bilinmeyen Personel","Kontrol","OK")</x:f>
        <x:v>OK</x:v>
      </x:c>
    </x:row>
    <x:row r="1404" ht="15.75">
      <x:c r="A1404" s="313" t="n">
        <x:f t="shared" si="21">ROW()-ROW($A$2)+1</x:f>
        <x:v>1403</x:v>
      </x:c>
      <x:c r="B1404" s="313" t="s">
        <x:v>48</x:v>
      </x:c>
      <x:c r="C1404" s="313" t="s">
        <x:v>52</x:v>
      </x:c>
      <x:c r="D1404" s="314">
        <x:v>2</x:v>
      </x:c>
      <x:c r="E1404" s="320">
        <x:v>1250</x:v>
      </x:c>
      <x:c r="F1404" s="320">
        <x:v>2500</x:v>
      </x:c>
      <x:c r="G1404" s="320">
        <x:v>900</x:v>
      </x:c>
      <x:c r="H1404" s="313" t="s">
        <x:v>68</x:v>
      </x:c>
      <x:c r="I1404" s="313" t="s">
        <x:v>42</x:v>
      </x:c>
      <x:c r="J1404" s="316" t="n">
        <x:f>IFERROR(G1404/F1404,0)</x:f>
        <x:v>0.36</x:v>
      </x:c>
      <x:c r="K1404" s="312" t="str">
        <x:f>IF(B1404="Bilinmeyen Personel","Kontrol","OK")</x:f>
        <x:v>OK</x:v>
      </x:c>
    </x:row>
    <x:row r="1405" ht="15.75">
      <x:c r="A1405" s="313" t="n">
        <x:f t="shared" si="21">ROW()-ROW($A$2)+1</x:f>
        <x:v>1404</x:v>
      </x:c>
      <x:c r="B1405" s="313" t="s">
        <x:v>50</x:v>
      </x:c>
      <x:c r="C1405" s="313" t="s">
        <x:v>24</x:v>
      </x:c>
      <x:c r="D1405" s="314">
        <x:v>1</x:v>
      </x:c>
      <x:c r="E1405" s="320">
        <x:v>7600</x:v>
      </x:c>
      <x:c r="F1405" s="320">
        <x:v>7600</x:v>
      </x:c>
      <x:c r="G1405" s="320">
        <x:v>1600</x:v>
      </x:c>
      <x:c r="H1405" s="313" t="s">
        <x:v>68</x:v>
      </x:c>
      <x:c r="I1405" s="313" t="s">
        <x:v>25</x:v>
      </x:c>
      <x:c r="J1405" s="316" t="n">
        <x:f>IFERROR(G1405/F1405,0)</x:f>
        <x:v>0.21052631578947367</x:v>
      </x:c>
      <x:c r="K1405" s="312" t="str">
        <x:f>IF(B1405="Bilinmeyen Personel","Kontrol","OK")</x:f>
        <x:v>OK</x:v>
      </x:c>
    </x:row>
    <x:row r="1406" ht="15.75">
      <x:c r="A1406" s="313" t="n">
        <x:f t="shared" si="21">ROW()-ROW($A$2)+1</x:f>
        <x:v>1405</x:v>
      </x:c>
      <x:c r="B1406" s="313" t="s">
        <x:v>9</x:v>
      </x:c>
      <x:c r="C1406" s="313" t="s">
        <x:v>14</x:v>
      </x:c>
      <x:c r="D1406" s="314">
        <x:v>2</x:v>
      </x:c>
      <x:c r="E1406" s="320">
        <x:v>1400</x:v>
      </x:c>
      <x:c r="F1406" s="320">
        <x:v>2800</x:v>
      </x:c>
      <x:c r="G1406" s="320">
        <x:v>1200</x:v>
      </x:c>
      <x:c r="H1406" s="313" t="s">
        <x:v>68</x:v>
      </x:c>
      <x:c r="I1406" s="313" t="s">
        <x:v>18</x:v>
      </x:c>
      <x:c r="J1406" s="316" t="n">
        <x:f>IFERROR(G1406/F1406,0)</x:f>
        <x:v>0.42857142857142855</x:v>
      </x:c>
      <x:c r="K1406" s="312" t="str">
        <x:f>IF(B1406="Bilinmeyen Personel","Kontrol","OK")</x:f>
        <x:v>OK</x:v>
      </x:c>
    </x:row>
    <x:row r="1407" ht="15.75">
      <x:c r="A1407" s="313" t="n">
        <x:f t="shared" si="21">ROW()-ROW($A$2)+1</x:f>
        <x:v>1406</x:v>
      </x:c>
      <x:c r="B1407" s="313" t="s">
        <x:v>23</x:v>
      </x:c>
      <x:c r="C1407" s="313" t="s">
        <x:v>22</x:v>
      </x:c>
      <x:c r="D1407" s="314">
        <x:v>2</x:v>
      </x:c>
      <x:c r="E1407" s="320">
        <x:v>2180</x:v>
      </x:c>
      <x:c r="F1407" s="320">
        <x:v>4360</x:v>
      </x:c>
      <x:c r="G1407" s="320">
        <x:v>1360</x:v>
      </x:c>
      <x:c r="H1407" s="313" t="s">
        <x:v>68</x:v>
      </x:c>
      <x:c r="I1407" s="313" t="s">
        <x:v>54</x:v>
      </x:c>
      <x:c r="J1407" s="316" t="n">
        <x:f>IFERROR(G1407/F1407,0)</x:f>
        <x:v>0.3119266055045872</x:v>
      </x:c>
      <x:c r="K1407" s="312" t="str">
        <x:f>IF(B1407="Bilinmeyen Personel","Kontrol","OK")</x:f>
        <x:v>OK</x:v>
      </x:c>
    </x:row>
    <x:row r="1408" ht="15.75">
      <x:c r="A1408" s="313" t="n">
        <x:f t="shared" si="21">ROW()-ROW($A$2)+1</x:f>
        <x:v>1407</x:v>
      </x:c>
      <x:c r="B1408" s="313" t="s">
        <x:v>9</x:v>
      </x:c>
      <x:c r="C1408" s="313" t="s">
        <x:v>33</x:v>
      </x:c>
      <x:c r="D1408" s="314">
        <x:v>3</x:v>
      </x:c>
      <x:c r="E1408" s="320">
        <x:v>1800</x:v>
      </x:c>
      <x:c r="F1408" s="320">
        <x:v>5400</x:v>
      </x:c>
      <x:c r="G1408" s="320">
        <x:v>3000</x:v>
      </x:c>
      <x:c r="H1408" s="313" t="s">
        <x:v>68</x:v>
      </x:c>
      <x:c r="I1408" s="313" t="s">
        <x:v>42</x:v>
      </x:c>
      <x:c r="J1408" s="316" t="n">
        <x:f>IFERROR(G1408/F1408,0)</x:f>
        <x:v>0.5555555555555556</x:v>
      </x:c>
      <x:c r="K1408" s="312" t="str">
        <x:f>IF(B1408="Bilinmeyen Personel","Kontrol","OK")</x:f>
        <x:v>OK</x:v>
      </x:c>
    </x:row>
    <x:row r="1409" ht="15.75">
      <x:c r="A1409" s="313" t="n">
        <x:f t="shared" si="21">ROW()-ROW($A$2)+1</x:f>
        <x:v>1408</x:v>
      </x:c>
      <x:c r="B1409" s="313" t="s">
        <x:v>16</x:v>
      </x:c>
      <x:c r="C1409" s="313" t="s">
        <x:v>57</x:v>
      </x:c>
      <x:c r="D1409" s="314">
        <x:v>1</x:v>
      </x:c>
      <x:c r="E1409" s="320">
        <x:v>1500</x:v>
      </x:c>
      <x:c r="F1409" s="320">
        <x:v>1500</x:v>
      </x:c>
      <x:c r="G1409" s="320">
        <x:v>700</x:v>
      </x:c>
      <x:c r="H1409" s="313" t="s">
        <x:v>68</x:v>
      </x:c>
      <x:c r="I1409" s="313" t="s">
        <x:v>12</x:v>
      </x:c>
      <x:c r="J1409" s="316" t="n">
        <x:f>IFERROR(G1409/F1409,0)</x:f>
        <x:v>0.4666666666666667</x:v>
      </x:c>
      <x:c r="K1409" s="312" t="str">
        <x:f>IF(B1409="Bilinmeyen Personel","Kontrol","OK")</x:f>
        <x:v>OK</x:v>
      </x:c>
    </x:row>
    <x:row r="1410" ht="15.75">
      <x:c r="A1410" s="313" t="n">
        <x:f t="shared" si="21">ROW()-ROW($A$2)+1</x:f>
        <x:v>1409</x:v>
      </x:c>
      <x:c r="B1410" s="313" t="s">
        <x:v>32</x:v>
      </x:c>
      <x:c r="C1410" s="313" t="s">
        <x:v>17</x:v>
      </x:c>
      <x:c r="D1410" s="314">
        <x:v>3</x:v>
      </x:c>
      <x:c r="E1410" s="320">
        <x:v>8450</x:v>
      </x:c>
      <x:c r="F1410" s="320">
        <x:v>25350</x:v>
      </x:c>
      <x:c r="G1410" s="320">
        <x:v>7350</x:v>
      </x:c>
      <x:c r="H1410" s="313" t="s">
        <x:v>68</x:v>
      </x:c>
      <x:c r="I1410" s="313" t="s">
        <x:v>42</x:v>
      </x:c>
      <x:c r="J1410" s="316" t="n">
        <x:f>IFERROR(G1410/F1410,0)</x:f>
        <x:v>0.28994082840236685</x:v>
      </x:c>
      <x:c r="K1410" s="312" t="str">
        <x:f>IF(B1410="Bilinmeyen Personel","Kontrol","OK")</x:f>
        <x:v>OK</x:v>
      </x:c>
    </x:row>
    <x:row r="1411" ht="15.75">
      <x:c r="A1411" s="313" t="n">
        <x:f t="shared" ref="A1411:A1415" si="22">ROW()-ROW($A$2)+1</x:f>
        <x:v>1410</x:v>
      </x:c>
      <x:c r="B1411" s="313" t="s">
        <x:v>40</x:v>
      </x:c>
      <x:c r="C1411" s="313" t="s">
        <x:v>57</x:v>
      </x:c>
      <x:c r="D1411" s="314">
        <x:v>3</x:v>
      </x:c>
      <x:c r="E1411" s="320">
        <x:v>1500</x:v>
      </x:c>
      <x:c r="F1411" s="320">
        <x:v>4500</x:v>
      </x:c>
      <x:c r="G1411" s="320">
        <x:v>2100</x:v>
      </x:c>
      <x:c r="H1411" s="313" t="s">
        <x:v>68</x:v>
      </x:c>
      <x:c r="I1411" s="313" t="s">
        <x:v>42</x:v>
      </x:c>
      <x:c r="J1411" s="316" t="n">
        <x:f>IFERROR(G1411/F1411,0)</x:f>
        <x:v>0.4666666666666667</x:v>
      </x:c>
      <x:c r="K1411" s="312" t="str">
        <x:f>IF(B1411="Bilinmeyen Personel","Kontrol","OK")</x:f>
        <x:v>OK</x:v>
      </x:c>
    </x:row>
    <x:row r="1412" ht="15.75">
      <x:c r="A1412" s="313" t="n">
        <x:f t="shared" si="22">ROW()-ROW($A$2)+1</x:f>
        <x:v>1411</x:v>
      </x:c>
      <x:c r="B1412" s="313" t="s">
        <x:v>29</x:v>
      </x:c>
      <x:c r="C1412" s="313" t="s">
        <x:v>10</x:v>
      </x:c>
      <x:c r="D1412" s="314">
        <x:v>3</x:v>
      </x:c>
      <x:c r="E1412" s="320">
        <x:v>6000</x:v>
      </x:c>
      <x:c r="F1412" s="320">
        <x:v>18000</x:v>
      </x:c>
      <x:c r="G1412" s="320">
        <x:v>6000</x:v>
      </x:c>
      <x:c r="H1412" s="313" t="s">
        <x:v>68</x:v>
      </x:c>
      <x:c r="I1412" s="313" t="s">
        <x:v>42</x:v>
      </x:c>
      <x:c r="J1412" s="316" t="n">
        <x:f>IFERROR(G1412/F1412,0)</x:f>
        <x:v>0.3333333333333333</x:v>
      </x:c>
      <x:c r="K1412" s="312" t="str">
        <x:f>IF(B1412="Bilinmeyen Personel","Kontrol","OK")</x:f>
        <x:v>OK</x:v>
      </x:c>
    </x:row>
    <x:row r="1413" ht="15.75">
      <x:c r="A1413" s="313" t="n">
        <x:f t="shared" si="22">ROW()-ROW($A$2)+1</x:f>
        <x:v>1412</x:v>
      </x:c>
      <x:c r="B1413" s="313" t="s">
        <x:v>50</x:v>
      </x:c>
      <x:c r="C1413" s="313" t="s">
        <x:v>53</x:v>
      </x:c>
      <x:c r="D1413" s="314">
        <x:v>1</x:v>
      </x:c>
      <x:c r="E1413" s="320">
        <x:v>1200</x:v>
      </x:c>
      <x:c r="F1413" s="320">
        <x:v>1200</x:v>
      </x:c>
      <x:c r="G1413" s="320">
        <x:v>400</x:v>
      </x:c>
      <x:c r="H1413" s="313" t="s">
        <x:v>68</x:v>
      </x:c>
      <x:c r="I1413" s="313" t="s">
        <x:v>54</x:v>
      </x:c>
      <x:c r="J1413" s="316" t="n">
        <x:f>IFERROR(G1413/F1413,0)</x:f>
        <x:v>0.3333333333333333</x:v>
      </x:c>
      <x:c r="K1413" s="312" t="str">
        <x:f>IF(B1413="Bilinmeyen Personel","Kontrol","OK")</x:f>
        <x:v>OK</x:v>
      </x:c>
    </x:row>
    <x:row r="1414" ht="15.75">
      <x:c r="A1414" s="313" t="n">
        <x:f t="shared" si="22">ROW()-ROW($A$2)+1</x:f>
        <x:v>1413</x:v>
      </x:c>
      <x:c r="B1414" s="313" t="s">
        <x:v>9</x:v>
      </x:c>
      <x:c r="C1414" s="313" t="s">
        <x:v>45</x:v>
      </x:c>
      <x:c r="D1414" s="314">
        <x:v>3</x:v>
      </x:c>
      <x:c r="E1414" s="320">
        <x:v>4200</x:v>
      </x:c>
      <x:c r="F1414" s="320">
        <x:v>12600</x:v>
      </x:c>
      <x:c r="G1414" s="320">
        <x:v>3600</x:v>
      </x:c>
      <x:c r="H1414" s="313" t="s">
        <x:v>68</x:v>
      </x:c>
      <x:c r="I1414" s="313" t="s">
        <x:v>28</x:v>
      </x:c>
      <x:c r="J1414" s="316" t="n">
        <x:f>IFERROR(G1414/F1414,0)</x:f>
        <x:v>0.2857142857142857</x:v>
      </x:c>
      <x:c r="K1414" s="312" t="str">
        <x:f>IF(B1414="Bilinmeyen Personel","Kontrol","OK")</x:f>
        <x:v>OK</x:v>
      </x:c>
    </x:row>
    <x:row r="1415" ht="15.75">
      <x:c r="A1415" s="313" t="n">
        <x:f t="shared" si="22">ROW()-ROW($A$2)+1</x:f>
        <x:v>1414</x:v>
      </x:c>
      <x:c r="B1415" s="313" t="s">
        <x:v>48</x:v>
      </x:c>
      <x:c r="C1415" s="313" t="s">
        <x:v>24</x:v>
      </x:c>
      <x:c r="D1415" s="314">
        <x:v>3</x:v>
      </x:c>
      <x:c r="E1415" s="320">
        <x:v>7600</x:v>
      </x:c>
      <x:c r="F1415" s="320">
        <x:v>22800</x:v>
      </x:c>
      <x:c r="G1415" s="320">
        <x:v>4800</x:v>
      </x:c>
      <x:c r="H1415" s="313" t="s">
        <x:v>68</x:v>
      </x:c>
      <x:c r="I1415" s="313" t="s">
        <x:v>12</x:v>
      </x:c>
      <x:c r="J1415" s="316" t="n">
        <x:f>IFERROR(G1415/F1415,0)</x:f>
        <x:v>0.21052631578947367</x:v>
      </x:c>
      <x:c r="K1415" s="312" t="str">
        <x:f>IF(B1415="Bilinmeyen Personel","Kontrol","OK")</x:f>
        <x:v>OK</x:v>
      </x:c>
    </x:row>
    <x:row r="1416" ht="15.75">
      <x:c r="A1416" s="313" t="n">
        <x:f t="shared" ref="A1416:A1448" si="23">ROW()-ROW($A$2)+1</x:f>
        <x:v>1415</x:v>
      </x:c>
      <x:c r="B1416" s="313" t="s">
        <x:v>9</x:v>
      </x:c>
      <x:c r="C1416" s="313" t="s">
        <x:v>10</x:v>
      </x:c>
      <x:c r="D1416" s="314">
        <x:v>3</x:v>
      </x:c>
      <x:c r="E1416" s="320">
        <x:v>6000</x:v>
      </x:c>
      <x:c r="F1416" s="320">
        <x:v>18000</x:v>
      </x:c>
      <x:c r="G1416" s="320">
        <x:v>6000</x:v>
      </x:c>
      <x:c r="H1416" s="313" t="s">
        <x:v>11</x:v>
      </x:c>
      <x:c r="I1416" s="313" t="s">
        <x:v>25</x:v>
      </x:c>
      <x:c r="J1416" s="316" t="n">
        <x:f>IFERROR(G1416/F1416,0)</x:f>
        <x:v>0.3333333333333333</x:v>
      </x:c>
      <x:c r="K1416" s="312" t="str">
        <x:f>IF(B1416="Bilinmeyen Personel","Kontrol","OK")</x:f>
        <x:v>OK</x:v>
      </x:c>
    </x:row>
    <x:row r="1417" ht="15.75">
      <x:c r="A1417" s="313" t="n">
        <x:f t="shared" si="23">ROW()-ROW($A$2)+1</x:f>
        <x:v>1416</x:v>
      </x:c>
      <x:c r="B1417" s="313" t="s">
        <x:v>13</x:v>
      </x:c>
      <x:c r="C1417" s="313" t="s">
        <x:v>14</x:v>
      </x:c>
      <x:c r="D1417" s="314">
        <x:v>5</x:v>
      </x:c>
      <x:c r="E1417" s="320">
        <x:v>1400</x:v>
      </x:c>
      <x:c r="F1417" s="320">
        <x:v>7000</x:v>
      </x:c>
      <x:c r="G1417" s="320">
        <x:v>3000</x:v>
      </x:c>
      <x:c r="H1417" s="313" t="s">
        <x:v>11</x:v>
      </x:c>
      <x:c r="I1417" s="313" t="s">
        <x:v>37</x:v>
      </x:c>
      <x:c r="J1417" s="316" t="n">
        <x:f>IFERROR(G1417/F1417,0)</x:f>
        <x:v>0.42857142857142855</x:v>
      </x:c>
      <x:c r="K1417" s="312" t="str">
        <x:f>IF(B1417="Bilinmeyen Personel","Kontrol","OK")</x:f>
        <x:v>OK</x:v>
      </x:c>
    </x:row>
    <x:row r="1418" ht="15.75">
      <x:c r="A1418" s="313" t="n">
        <x:f t="shared" si="23">ROW()-ROW($A$2)+1</x:f>
        <x:v>1417</x:v>
      </x:c>
      <x:c r="B1418" s="313" t="s">
        <x:v>16</x:v>
      </x:c>
      <x:c r="C1418" s="313" t="s">
        <x:v>17</x:v>
      </x:c>
      <x:c r="D1418" s="314">
        <x:v>4</x:v>
      </x:c>
      <x:c r="E1418" s="320">
        <x:v>8450</x:v>
      </x:c>
      <x:c r="F1418" s="320">
        <x:v>33800</x:v>
      </x:c>
      <x:c r="G1418" s="320">
        <x:v>9800</x:v>
      </x:c>
      <x:c r="H1418" s="313" t="s">
        <x:v>11</x:v>
      </x:c>
      <x:c r="I1418" s="313" t="s">
        <x:v>15</x:v>
      </x:c>
      <x:c r="J1418" s="316" t="n">
        <x:f>IFERROR(G1418/F1418,0)</x:f>
        <x:v>0.28994082840236685</x:v>
      </x:c>
      <x:c r="K1418" s="312" t="str">
        <x:f>IF(B1418="Bilinmeyen Personel","Kontrol","OK")</x:f>
        <x:v>OK</x:v>
      </x:c>
    </x:row>
    <x:row r="1419" ht="15.75">
      <x:c r="A1419" s="313" t="n">
        <x:f t="shared" si="23">ROW()-ROW($A$2)+1</x:f>
        <x:v>1418</x:v>
      </x:c>
      <x:c r="B1419" s="313" t="s">
        <x:v>19</x:v>
      </x:c>
      <x:c r="C1419" s="313" t="s">
        <x:v>20</x:v>
      </x:c>
      <x:c r="D1419" s="314">
        <x:v>4</x:v>
      </x:c>
      <x:c r="E1419" s="320">
        <x:v>1350</x:v>
      </x:c>
      <x:c r="F1419" s="320">
        <x:v>5400</x:v>
      </x:c>
      <x:c r="G1419" s="320">
        <x:v>2200</x:v>
      </x:c>
      <x:c r="H1419" s="313" t="s">
        <x:v>11</x:v>
      </x:c>
      <x:c r="I1419" s="313" t="s">
        <x:v>41</x:v>
      </x:c>
      <x:c r="J1419" s="316" t="n">
        <x:f>IFERROR(G1419/F1419,0)</x:f>
        <x:v>0.4074074074074074</x:v>
      </x:c>
      <x:c r="K1419" s="312" t="str">
        <x:f>IF(B1419="Bilinmeyen Personel","Kontrol","OK")</x:f>
        <x:v>OK</x:v>
      </x:c>
    </x:row>
    <x:row r="1420" ht="15.75">
      <x:c r="A1420" s="313" t="n">
        <x:f t="shared" si="23">ROW()-ROW($A$2)+1</x:f>
        <x:v>1419</x:v>
      </x:c>
      <x:c r="B1420" s="313" t="s">
        <x:v>9</x:v>
      </x:c>
      <x:c r="C1420" s="313" t="s">
        <x:v>22</x:v>
      </x:c>
      <x:c r="D1420" s="314">
        <x:v>5</x:v>
      </x:c>
      <x:c r="E1420" s="320">
        <x:v>2180</x:v>
      </x:c>
      <x:c r="F1420" s="320">
        <x:v>10900</x:v>
      </x:c>
      <x:c r="G1420" s="320">
        <x:v>3400</x:v>
      </x:c>
      <x:c r="H1420" s="313" t="s">
        <x:v>11</x:v>
      </x:c>
      <x:c r="I1420" s="313" t="s">
        <x:v>37</x:v>
      </x:c>
      <x:c r="J1420" s="316" t="n">
        <x:f>IFERROR(G1420/F1420,0)</x:f>
        <x:v>0.3119266055045872</x:v>
      </x:c>
      <x:c r="K1420" s="312" t="str">
        <x:f>IF(B1420="Bilinmeyen Personel","Kontrol","OK")</x:f>
        <x:v>OK</x:v>
      </x:c>
    </x:row>
    <x:row r="1421" ht="15.75">
      <x:c r="A1421" s="313" t="n">
        <x:f t="shared" si="23">ROW()-ROW($A$2)+1</x:f>
        <x:v>1420</x:v>
      </x:c>
      <x:c r="B1421" s="313" t="s">
        <x:v>23</x:v>
      </x:c>
      <x:c r="C1421" s="313" t="s">
        <x:v>24</x:v>
      </x:c>
      <x:c r="D1421" s="314">
        <x:v>3</x:v>
      </x:c>
      <x:c r="E1421" s="320">
        <x:v>7600</x:v>
      </x:c>
      <x:c r="F1421" s="320">
        <x:v>22800</x:v>
      </x:c>
      <x:c r="G1421" s="320">
        <x:v>4800</x:v>
      </x:c>
      <x:c r="H1421" s="313" t="s">
        <x:v>11</x:v>
      </x:c>
      <x:c r="I1421" s="313" t="s">
        <x:v>46</x:v>
      </x:c>
      <x:c r="J1421" s="316" t="n">
        <x:f>IFERROR(G1421/F1421,0)</x:f>
        <x:v>0.21052631578947367</x:v>
      </x:c>
      <x:c r="K1421" s="312" t="str">
        <x:f>IF(B1421="Bilinmeyen Personel","Kontrol","OK")</x:f>
        <x:v>OK</x:v>
      </x:c>
    </x:row>
    <x:row r="1422" ht="15.75">
      <x:c r="A1422" s="313" t="n">
        <x:f t="shared" si="23">ROW()-ROW($A$2)+1</x:f>
        <x:v>1421</x:v>
      </x:c>
      <x:c r="B1422" s="313" t="s">
        <x:v>13</x:v>
      </x:c>
      <x:c r="C1422" s="313" t="s">
        <x:v>26</x:v>
      </x:c>
      <x:c r="D1422" s="314">
        <x:v>5</x:v>
      </x:c>
      <x:c r="E1422" s="320">
        <x:v>7250</x:v>
      </x:c>
      <x:c r="F1422" s="320">
        <x:v>36250</x:v>
      </x:c>
      <x:c r="G1422" s="320">
        <x:v>11250</x:v>
      </x:c>
      <x:c r="H1422" s="313" t="s">
        <x:v>11</x:v>
      </x:c>
      <x:c r="I1422" s="313" t="s">
        <x:v>44</x:v>
      </x:c>
      <x:c r="J1422" s="316" t="n">
        <x:f>IFERROR(G1422/F1422,0)</x:f>
        <x:v>0.3103448275862069</x:v>
      </x:c>
      <x:c r="K1422" s="312" t="str">
        <x:f>IF(B1422="Bilinmeyen Personel","Kontrol","OK")</x:f>
        <x:v>OK</x:v>
      </x:c>
    </x:row>
    <x:row r="1423" ht="15.75">
      <x:c r="A1423" s="313" t="n">
        <x:f t="shared" si="23">ROW()-ROW($A$2)+1</x:f>
        <x:v>1422</x:v>
      </x:c>
      <x:c r="B1423" s="313" t="s">
        <x:v>19</x:v>
      </x:c>
      <x:c r="C1423" s="313" t="s">
        <x:v>27</x:v>
      </x:c>
      <x:c r="D1423" s="314">
        <x:v>4</x:v>
      </x:c>
      <x:c r="E1423" s="320">
        <x:v>1100</x:v>
      </x:c>
      <x:c r="F1423" s="320">
        <x:v>4400</x:v>
      </x:c>
      <x:c r="G1423" s="320">
        <x:v>1200</x:v>
      </x:c>
      <x:c r="H1423" s="313" t="s">
        <x:v>11</x:v>
      </x:c>
      <x:c r="I1423" s="313" t="s">
        <x:v>15</x:v>
      </x:c>
      <x:c r="J1423" s="316" t="n">
        <x:f>IFERROR(G1423/F1423,0)</x:f>
        <x:v>0.2727272727272727</x:v>
      </x:c>
      <x:c r="K1423" s="312" t="str">
        <x:f>IF(B1423="Bilinmeyen Personel","Kontrol","OK")</x:f>
        <x:v>OK</x:v>
      </x:c>
    </x:row>
    <x:row r="1424" ht="15.75">
      <x:c r="A1424" s="313" t="n">
        <x:f t="shared" si="23">ROW()-ROW($A$2)+1</x:f>
        <x:v>1423</x:v>
      </x:c>
      <x:c r="B1424" s="313" t="s">
        <x:v>29</x:v>
      </x:c>
      <x:c r="C1424" s="313" t="s">
        <x:v>10</x:v>
      </x:c>
      <x:c r="D1424" s="314">
        <x:v>3</x:v>
      </x:c>
      <x:c r="E1424" s="320">
        <x:v>6000</x:v>
      </x:c>
      <x:c r="F1424" s="320">
        <x:v>18000</x:v>
      </x:c>
      <x:c r="G1424" s="320">
        <x:v>6000</x:v>
      </x:c>
      <x:c r="H1424" s="313" t="s">
        <x:v>11</x:v>
      </x:c>
      <x:c r="I1424" s="313" t="s">
        <x:v>46</x:v>
      </x:c>
      <x:c r="J1424" s="316" t="n">
        <x:f>IFERROR(G1424/F1424,0)</x:f>
        <x:v>0.3333333333333333</x:v>
      </x:c>
      <x:c r="K1424" s="312" t="str">
        <x:f>IF(B1424="Bilinmeyen Personel","Kontrol","OK")</x:f>
        <x:v>OK</x:v>
      </x:c>
    </x:row>
    <x:row r="1425" ht="15.75">
      <x:c r="A1425" s="313" t="n">
        <x:f t="shared" si="23">ROW()-ROW($A$2)+1</x:f>
        <x:v>1424</x:v>
      </x:c>
      <x:c r="B1425" s="313" t="s">
        <x:v>9</x:v>
      </x:c>
      <x:c r="C1425" s="313" t="s">
        <x:v>30</x:v>
      </x:c>
      <x:c r="D1425" s="314">
        <x:v>2</x:v>
      </x:c>
      <x:c r="E1425" s="320">
        <x:v>1200</x:v>
      </x:c>
      <x:c r="F1425" s="320">
        <x:v>2400</x:v>
      </x:c>
      <x:c r="G1425" s="320">
        <x:v>800</x:v>
      </x:c>
      <x:c r="H1425" s="313" t="s">
        <x:v>11</x:v>
      </x:c>
      <x:c r="I1425" s="313" t="s">
        <x:v>54</x:v>
      </x:c>
      <x:c r="J1425" s="316" t="n">
        <x:f>IFERROR(G1425/F1425,0)</x:f>
        <x:v>0.3333333333333333</x:v>
      </x:c>
      <x:c r="K1425" s="312" t="str">
        <x:f>IF(B1425="Bilinmeyen Personel","Kontrol","OK")</x:f>
        <x:v>OK</x:v>
      </x:c>
    </x:row>
    <x:row r="1426" ht="15.75">
      <x:c r="A1426" s="313" t="n">
        <x:f t="shared" si="23">ROW()-ROW($A$2)+1</x:f>
        <x:v>1425</x:v>
      </x:c>
      <x:c r="B1426" s="313" t="s">
        <x:v>32</x:v>
      </x:c>
      <x:c r="C1426" s="313" t="s">
        <x:v>33</x:v>
      </x:c>
      <x:c r="D1426" s="314">
        <x:v>3</x:v>
      </x:c>
      <x:c r="E1426" s="320">
        <x:v>1800</x:v>
      </x:c>
      <x:c r="F1426" s="320">
        <x:v>5400</x:v>
      </x:c>
      <x:c r="G1426" s="320">
        <x:v>3000</x:v>
      </x:c>
      <x:c r="H1426" s="313" t="s">
        <x:v>11</x:v>
      </x:c>
      <x:c r="I1426" s="313" t="s">
        <x:v>54</x:v>
      </x:c>
      <x:c r="J1426" s="316" t="n">
        <x:f>IFERROR(G1426/F1426,0)</x:f>
        <x:v>0.5555555555555556</x:v>
      </x:c>
      <x:c r="K1426" s="312" t="str">
        <x:f>IF(B1426="Bilinmeyen Personel","Kontrol","OK")</x:f>
        <x:v>OK</x:v>
      </x:c>
    </x:row>
    <x:row r="1427" ht="15.75">
      <x:c r="A1427" s="313" t="n">
        <x:f t="shared" si="23">ROW()-ROW($A$2)+1</x:f>
        <x:v>1426</x:v>
      </x:c>
      <x:c r="B1427" s="313" t="s">
        <x:v>32</x:v>
      </x:c>
      <x:c r="C1427" s="313" t="s">
        <x:v>34</x:v>
      </x:c>
      <x:c r="D1427" s="314">
        <x:v>4</x:v>
      </x:c>
      <x:c r="E1427" s="320">
        <x:v>1090</x:v>
      </x:c>
      <x:c r="F1427" s="320">
        <x:v>4360</x:v>
      </x:c>
      <x:c r="G1427" s="320">
        <x:v>1160</x:v>
      </x:c>
      <x:c r="H1427" s="313" t="s">
        <x:v>11</x:v>
      </x:c>
      <x:c r="I1427" s="313" t="s">
        <x:v>31</x:v>
      </x:c>
      <x:c r="J1427" s="316" t="n">
        <x:f>IFERROR(G1427/F1427,0)</x:f>
        <x:v>0.26605504587155965</x:v>
      </x:c>
      <x:c r="K1427" s="312" t="str">
        <x:f>IF(B1427="Bilinmeyen Personel","Kontrol","OK")</x:f>
        <x:v>OK</x:v>
      </x:c>
    </x:row>
    <x:row r="1428" ht="15.75">
      <x:c r="A1428" s="313" t="n">
        <x:f t="shared" si="23">ROW()-ROW($A$2)+1</x:f>
        <x:v>1427</x:v>
      </x:c>
      <x:c r="B1428" s="313" t="s">
        <x:v>29</x:v>
      </x:c>
      <x:c r="C1428" s="313" t="s">
        <x:v>22</x:v>
      </x:c>
      <x:c r="D1428" s="314">
        <x:v>4</x:v>
      </x:c>
      <x:c r="E1428" s="320">
        <x:v>2180</x:v>
      </x:c>
      <x:c r="F1428" s="320">
        <x:v>8720</x:v>
      </x:c>
      <x:c r="G1428" s="320">
        <x:v>2720</x:v>
      </x:c>
      <x:c r="H1428" s="313" t="s">
        <x:v>11</x:v>
      </x:c>
      <x:c r="I1428" s="313" t="s">
        <x:v>37</x:v>
      </x:c>
      <x:c r="J1428" s="316" t="n">
        <x:f>IFERROR(G1428/F1428,0)</x:f>
        <x:v>0.3119266055045872</x:v>
      </x:c>
      <x:c r="K1428" s="312" t="str">
        <x:f>IF(B1428="Bilinmeyen Personel","Kontrol","OK")</x:f>
        <x:v>OK</x:v>
      </x:c>
    </x:row>
    <x:row r="1429" ht="15.75">
      <x:c r="A1429" s="313" t="n">
        <x:f t="shared" si="23">ROW()-ROW($A$2)+1</x:f>
        <x:v>1428</x:v>
      </x:c>
      <x:c r="B1429" s="313" t="s">
        <x:v>35</x:v>
      </x:c>
      <x:c r="C1429" s="313" t="s">
        <x:v>33</x:v>
      </x:c>
      <x:c r="D1429" s="314">
        <x:v>3</x:v>
      </x:c>
      <x:c r="E1429" s="320">
        <x:v>1800</x:v>
      </x:c>
      <x:c r="F1429" s="320">
        <x:v>5400</x:v>
      </x:c>
      <x:c r="G1429" s="320">
        <x:v>3000</x:v>
      </x:c>
      <x:c r="H1429" s="313" t="s">
        <x:v>11</x:v>
      </x:c>
      <x:c r="I1429" s="313" t="s">
        <x:v>18</x:v>
      </x:c>
      <x:c r="J1429" s="316" t="n">
        <x:f>IFERROR(G1429/F1429,0)</x:f>
        <x:v>0.5555555555555556</x:v>
      </x:c>
      <x:c r="K1429" s="312" t="str">
        <x:f>IF(B1429="Bilinmeyen Personel","Kontrol","OK")</x:f>
        <x:v>OK</x:v>
      </x:c>
    </x:row>
    <x:row r="1430" ht="15.75">
      <x:c r="A1430" s="313" t="n">
        <x:f t="shared" si="23">ROW()-ROW($A$2)+1</x:f>
        <x:v>1429</x:v>
      </x:c>
      <x:c r="B1430" s="313" t="s">
        <x:v>23</x:v>
      </x:c>
      <x:c r="C1430" s="313" t="s">
        <x:v>36</x:v>
      </x:c>
      <x:c r="D1430" s="314">
        <x:v>5</x:v>
      </x:c>
      <x:c r="E1430" s="320">
        <x:v>8000</x:v>
      </x:c>
      <x:c r="F1430" s="320">
        <x:v>40000</x:v>
      </x:c>
      <x:c r="G1430" s="320">
        <x:v>10000</x:v>
      </x:c>
      <x:c r="H1430" s="313" t="s">
        <x:v>11</x:v>
      </x:c>
      <x:c r="I1430" s="313" t="s">
        <x:v>25</x:v>
      </x:c>
      <x:c r="J1430" s="316" t="n">
        <x:f>IFERROR(G1430/F1430,0)</x:f>
        <x:v>0.25</x:v>
      </x:c>
      <x:c r="K1430" s="312" t="str">
        <x:f>IF(B1430="Bilinmeyen Personel","Kontrol","OK")</x:f>
        <x:v>OK</x:v>
      </x:c>
    </x:row>
    <x:row r="1431" ht="15.75">
      <x:c r="A1431" s="313" t="n">
        <x:f t="shared" si="23">ROW()-ROW($A$2)+1</x:f>
        <x:v>1430</x:v>
      </x:c>
      <x:c r="B1431" s="313" t="s">
        <x:v>29</x:v>
      </x:c>
      <x:c r="C1431" s="313" t="s">
        <x:v>14</x:v>
      </x:c>
      <x:c r="D1431" s="314">
        <x:v>5</x:v>
      </x:c>
      <x:c r="E1431" s="320">
        <x:v>1400</x:v>
      </x:c>
      <x:c r="F1431" s="320">
        <x:v>7000</x:v>
      </x:c>
      <x:c r="G1431" s="320">
        <x:v>3000</x:v>
      </x:c>
      <x:c r="H1431" s="313" t="s">
        <x:v>11</x:v>
      </x:c>
      <x:c r="I1431" s="313" t="s">
        <x:v>15</x:v>
      </x:c>
      <x:c r="J1431" s="316" t="n">
        <x:f>IFERROR(G1431/F1431,0)</x:f>
        <x:v>0.42857142857142855</x:v>
      </x:c>
      <x:c r="K1431" s="312" t="str">
        <x:f>IF(B1431="Bilinmeyen Personel","Kontrol","OK")</x:f>
        <x:v>OK</x:v>
      </x:c>
    </x:row>
    <x:row r="1432" ht="15.75">
      <x:c r="A1432" s="313" t="n">
        <x:f t="shared" si="23">ROW()-ROW($A$2)+1</x:f>
        <x:v>1431</x:v>
      </x:c>
      <x:c r="B1432" s="313" t="s">
        <x:v>38</x:v>
      </x:c>
      <x:c r="C1432" s="313" t="s">
        <x:v>39</x:v>
      </x:c>
      <x:c r="D1432" s="314">
        <x:v>5</x:v>
      </x:c>
      <x:c r="E1432" s="320">
        <x:v>10590</x:v>
      </x:c>
      <x:c r="F1432" s="320">
        <x:v>52950</x:v>
      </x:c>
      <x:c r="G1432" s="320">
        <x:v>22950</x:v>
      </x:c>
      <x:c r="H1432" s="313" t="s">
        <x:v>11</x:v>
      </x:c>
      <x:c r="I1432" s="313" t="s">
        <x:v>54</x:v>
      </x:c>
      <x:c r="J1432" s="316" t="n">
        <x:f>IFERROR(G1432/F1432,0)</x:f>
        <x:v>0.43342776203966005</x:v>
      </x:c>
      <x:c r="K1432" s="312" t="str">
        <x:f>IF(B1432="Bilinmeyen Personel","Kontrol","OK")</x:f>
        <x:v>OK</x:v>
      </x:c>
    </x:row>
    <x:row r="1433" ht="15.75">
      <x:c r="A1433" s="313" t="n">
        <x:f t="shared" si="23">ROW()-ROW($A$2)+1</x:f>
        <x:v>1432</x:v>
      </x:c>
      <x:c r="B1433" s="313" t="s">
        <x:v>40</x:v>
      </x:c>
      <x:c r="C1433" s="313" t="s">
        <x:v>20</x:v>
      </x:c>
      <x:c r="D1433" s="314">
        <x:v>2</x:v>
      </x:c>
      <x:c r="E1433" s="320">
        <x:v>1350</x:v>
      </x:c>
      <x:c r="F1433" s="320">
        <x:v>2700</x:v>
      </x:c>
      <x:c r="G1433" s="320">
        <x:v>1100</x:v>
      </x:c>
      <x:c r="H1433" s="313" t="s">
        <x:v>11</x:v>
      </x:c>
      <x:c r="I1433" s="313" t="s">
        <x:v>44</x:v>
      </x:c>
      <x:c r="J1433" s="316" t="n">
        <x:f>IFERROR(G1433/F1433,0)</x:f>
        <x:v>0.4074074074074074</x:v>
      </x:c>
      <x:c r="K1433" s="312" t="str">
        <x:f>IF(B1433="Bilinmeyen Personel","Kontrol","OK")</x:f>
        <x:v>OK</x:v>
      </x:c>
    </x:row>
    <x:row r="1434" ht="15.75">
      <x:c r="A1434" s="313" t="n">
        <x:f t="shared" si="23">ROW()-ROW($A$2)+1</x:f>
        <x:v>1433</x:v>
      </x:c>
      <x:c r="B1434" s="313" t="s">
        <x:v>32</x:v>
      </x:c>
      <x:c r="C1434" s="313" t="s">
        <x:v>14</x:v>
      </x:c>
      <x:c r="D1434" s="314">
        <x:v>3</x:v>
      </x:c>
      <x:c r="E1434" s="320">
        <x:v>1400</x:v>
      </x:c>
      <x:c r="F1434" s="320">
        <x:v>4200</x:v>
      </x:c>
      <x:c r="G1434" s="320">
        <x:v>1800</x:v>
      </x:c>
      <x:c r="H1434" s="313" t="s">
        <x:v>11</x:v>
      </x:c>
      <x:c r="I1434" s="313" t="s">
        <x:v>18</x:v>
      </x:c>
      <x:c r="J1434" s="316" t="n">
        <x:f>IFERROR(G1434/F1434,0)</x:f>
        <x:v>0.42857142857142855</x:v>
      </x:c>
      <x:c r="K1434" s="312" t="str">
        <x:f>IF(B1434="Bilinmeyen Personel","Kontrol","OK")</x:f>
        <x:v>OK</x:v>
      </x:c>
    </x:row>
    <x:row r="1435" ht="15.75">
      <x:c r="A1435" s="313" t="n">
        <x:f t="shared" si="23">ROW()-ROW($A$2)+1</x:f>
        <x:v>1434</x:v>
      </x:c>
      <x:c r="B1435" s="313" t="s">
        <x:v>19</x:v>
      </x:c>
      <x:c r="C1435" s="313" t="s">
        <x:v>10</x:v>
      </x:c>
      <x:c r="D1435" s="314">
        <x:v>4</x:v>
      </x:c>
      <x:c r="E1435" s="320">
        <x:v>6000</x:v>
      </x:c>
      <x:c r="F1435" s="320">
        <x:v>24000</x:v>
      </x:c>
      <x:c r="G1435" s="320">
        <x:v>8000</x:v>
      </x:c>
      <x:c r="H1435" s="313" t="s">
        <x:v>11</x:v>
      </x:c>
      <x:c r="I1435" s="313" t="s">
        <x:v>54</x:v>
      </x:c>
      <x:c r="J1435" s="316" t="n">
        <x:f>IFERROR(G1435/F1435,0)</x:f>
        <x:v>0.3333333333333333</x:v>
      </x:c>
      <x:c r="K1435" s="312" t="str">
        <x:f>IF(B1435="Bilinmeyen Personel","Kontrol","OK")</x:f>
        <x:v>OK</x:v>
      </x:c>
    </x:row>
    <x:row r="1436" ht="15.75">
      <x:c r="A1436" s="313" t="n">
        <x:f t="shared" si="23">ROW()-ROW($A$2)+1</x:f>
        <x:v>1435</x:v>
      </x:c>
      <x:c r="B1436" s="313" t="s">
        <x:v>38</x:v>
      </x:c>
      <x:c r="C1436" s="313" t="s">
        <x:v>27</x:v>
      </x:c>
      <x:c r="D1436" s="314">
        <x:v>2</x:v>
      </x:c>
      <x:c r="E1436" s="320">
        <x:v>1100</x:v>
      </x:c>
      <x:c r="F1436" s="320">
        <x:v>2200</x:v>
      </x:c>
      <x:c r="G1436" s="320">
        <x:v>600</x:v>
      </x:c>
      <x:c r="H1436" s="313" t="s">
        <x:v>11</x:v>
      </x:c>
      <x:c r="I1436" s="313" t="s">
        <x:v>28</x:v>
      </x:c>
      <x:c r="J1436" s="316" t="n">
        <x:f>IFERROR(G1436/F1436,0)</x:f>
        <x:v>0.2727272727272727</x:v>
      </x:c>
      <x:c r="K1436" s="312" t="str">
        <x:f>IF(B1436="Bilinmeyen Personel","Kontrol","OK")</x:f>
        <x:v>OK</x:v>
      </x:c>
    </x:row>
    <x:row r="1437" ht="15.75">
      <x:c r="A1437" s="313" t="n">
        <x:f t="shared" si="23">ROW()-ROW($A$2)+1</x:f>
        <x:v>1436</x:v>
      </x:c>
      <x:c r="B1437" s="313" t="s">
        <x:v>16</x:v>
      </x:c>
      <x:c r="C1437" s="313" t="s">
        <x:v>10</x:v>
      </x:c>
      <x:c r="D1437" s="314">
        <x:v>4</x:v>
      </x:c>
      <x:c r="E1437" s="320">
        <x:v>6000</x:v>
      </x:c>
      <x:c r="F1437" s="320">
        <x:v>24000</x:v>
      </x:c>
      <x:c r="G1437" s="320">
        <x:v>8000</x:v>
      </x:c>
      <x:c r="H1437" s="313" t="s">
        <x:v>11</x:v>
      </x:c>
      <x:c r="I1437" s="313" t="s">
        <x:v>28</x:v>
      </x:c>
      <x:c r="J1437" s="316" t="n">
        <x:f>IFERROR(G1437/F1437,0)</x:f>
        <x:v>0.3333333333333333</x:v>
      </x:c>
      <x:c r="K1437" s="312" t="str">
        <x:f>IF(B1437="Bilinmeyen Personel","Kontrol","OK")</x:f>
        <x:v>OK</x:v>
      </x:c>
    </x:row>
    <x:row r="1438" ht="15.75">
      <x:c r="A1438" s="313" t="n">
        <x:f t="shared" si="23">ROW()-ROW($A$2)+1</x:f>
        <x:v>1437</x:v>
      </x:c>
      <x:c r="B1438" s="313" t="s">
        <x:v>40</x:v>
      </x:c>
      <x:c r="C1438" s="313" t="s">
        <x:v>43</x:v>
      </x:c>
      <x:c r="D1438" s="314">
        <x:v>2</x:v>
      </x:c>
      <x:c r="E1438" s="320">
        <x:v>1490</x:v>
      </x:c>
      <x:c r="F1438" s="320">
        <x:v>2980</x:v>
      </x:c>
      <x:c r="G1438" s="320">
        <x:v>1380</x:v>
      </x:c>
      <x:c r="H1438" s="313" t="s">
        <x:v>11</x:v>
      </x:c>
      <x:c r="I1438" s="313" t="s">
        <x:v>15</x:v>
      </x:c>
      <x:c r="J1438" s="316" t="n">
        <x:f>IFERROR(G1438/F1438,0)</x:f>
        <x:v>0.46308724832214765</x:v>
      </x:c>
      <x:c r="K1438" s="312" t="str">
        <x:f>IF(B1438="Bilinmeyen Personel","Kontrol","OK")</x:f>
        <x:v>OK</x:v>
      </x:c>
    </x:row>
    <x:row r="1439" ht="15.75">
      <x:c r="A1439" s="313" t="n">
        <x:f t="shared" si="23">ROW()-ROW($A$2)+1</x:f>
        <x:v>1438</x:v>
      </x:c>
      <x:c r="B1439" s="313" t="s">
        <x:v>38</x:v>
      </x:c>
      <x:c r="C1439" s="313" t="s">
        <x:v>39</x:v>
      </x:c>
      <x:c r="D1439" s="314">
        <x:v>2</x:v>
      </x:c>
      <x:c r="E1439" s="320">
        <x:v>10590</x:v>
      </x:c>
      <x:c r="F1439" s="320">
        <x:v>21180</x:v>
      </x:c>
      <x:c r="G1439" s="320">
        <x:v>9180</x:v>
      </x:c>
      <x:c r="H1439" s="313" t="s">
        <x:v>11</x:v>
      </x:c>
      <x:c r="I1439" s="313" t="s">
        <x:v>31</x:v>
      </x:c>
      <x:c r="J1439" s="316" t="n">
        <x:f>IFERROR(G1439/F1439,0)</x:f>
        <x:v>0.43342776203966005</x:v>
      </x:c>
      <x:c r="K1439" s="312" t="str">
        <x:f>IF(B1439="Bilinmeyen Personel","Kontrol","OK")</x:f>
        <x:v>OK</x:v>
      </x:c>
    </x:row>
    <x:row r="1440" ht="15.75">
      <x:c r="A1440" s="313" t="n">
        <x:f t="shared" si="23">ROW()-ROW($A$2)+1</x:f>
        <x:v>1439</x:v>
      </x:c>
      <x:c r="B1440" s="313" t="s">
        <x:v>16</x:v>
      </x:c>
      <x:c r="C1440" s="313" t="s">
        <x:v>36</x:v>
      </x:c>
      <x:c r="D1440" s="314">
        <x:v>3</x:v>
      </x:c>
      <x:c r="E1440" s="320">
        <x:v>8000</x:v>
      </x:c>
      <x:c r="F1440" s="320">
        <x:v>24000</x:v>
      </x:c>
      <x:c r="G1440" s="320">
        <x:v>6000</x:v>
      </x:c>
      <x:c r="H1440" s="313" t="s">
        <x:v>11</x:v>
      </x:c>
      <x:c r="I1440" s="313" t="s">
        <x:v>31</x:v>
      </x:c>
      <x:c r="J1440" s="316" t="n">
        <x:f>IFERROR(G1440/F1440,0)</x:f>
        <x:v>0.25</x:v>
      </x:c>
      <x:c r="K1440" s="312" t="str">
        <x:f>IF(B1440="Bilinmeyen Personel","Kontrol","OK")</x:f>
        <x:v>OK</x:v>
      </x:c>
    </x:row>
    <x:row r="1441" ht="15.75">
      <x:c r="A1441" s="313" t="n">
        <x:f t="shared" si="23">ROW()-ROW($A$2)+1</x:f>
        <x:v>1440</x:v>
      </x:c>
      <x:c r="B1441" s="313" t="s">
        <x:v>32</x:v>
      </x:c>
      <x:c r="C1441" s="313" t="s">
        <x:v>27</x:v>
      </x:c>
      <x:c r="D1441" s="314">
        <x:v>5</x:v>
      </x:c>
      <x:c r="E1441" s="320">
        <x:v>1100</x:v>
      </x:c>
      <x:c r="F1441" s="320">
        <x:v>5500</x:v>
      </x:c>
      <x:c r="G1441" s="320">
        <x:v>1500</x:v>
      </x:c>
      <x:c r="H1441" s="313" t="s">
        <x:v>11</x:v>
      </x:c>
      <x:c r="I1441" s="313" t="s">
        <x:v>28</x:v>
      </x:c>
      <x:c r="J1441" s="316" t="n">
        <x:f>IFERROR(G1441/F1441,0)</x:f>
        <x:v>0.2727272727272727</x:v>
      </x:c>
      <x:c r="K1441" s="312" t="str">
        <x:f>IF(B1441="Bilinmeyen Personel","Kontrol","OK")</x:f>
        <x:v>OK</x:v>
      </x:c>
    </x:row>
    <x:row r="1442" ht="15.75">
      <x:c r="A1442" s="313" t="n">
        <x:f t="shared" si="23">ROW()-ROW($A$2)+1</x:f>
        <x:v>1441</x:v>
      </x:c>
      <x:c r="B1442" s="313" t="s">
        <x:v>40</x:v>
      </x:c>
      <x:c r="C1442" s="313" t="s">
        <x:v>30</x:v>
      </x:c>
      <x:c r="D1442" s="314">
        <x:v>5</x:v>
      </x:c>
      <x:c r="E1442" s="320">
        <x:v>1200</x:v>
      </x:c>
      <x:c r="F1442" s="320">
        <x:v>6000</x:v>
      </x:c>
      <x:c r="G1442" s="320">
        <x:v>2000</x:v>
      </x:c>
      <x:c r="H1442" s="313" t="s">
        <x:v>11</x:v>
      </x:c>
      <x:c r="I1442" s="313" t="s">
        <x:v>46</x:v>
      </x:c>
      <x:c r="J1442" s="316" t="n">
        <x:f>IFERROR(G1442/F1442,0)</x:f>
        <x:v>0.3333333333333333</x:v>
      </x:c>
      <x:c r="K1442" s="312" t="str">
        <x:f>IF(B1442="Bilinmeyen Personel","Kontrol","OK")</x:f>
        <x:v>OK</x:v>
      </x:c>
    </x:row>
    <x:row r="1443" ht="15.75">
      <x:c r="A1443" s="313" t="n">
        <x:f t="shared" si="23">ROW()-ROW($A$2)+1</x:f>
        <x:v>1442</x:v>
      </x:c>
      <x:c r="B1443" s="313" t="s">
        <x:v>23</x:v>
      </x:c>
      <x:c r="C1443" s="313" t="s">
        <x:v>45</x:v>
      </x:c>
      <x:c r="D1443" s="314">
        <x:v>5</x:v>
      </x:c>
      <x:c r="E1443" s="320">
        <x:v>4200</x:v>
      </x:c>
      <x:c r="F1443" s="320">
        <x:v>21000</x:v>
      </x:c>
      <x:c r="G1443" s="320">
        <x:v>6000</x:v>
      </x:c>
      <x:c r="H1443" s="313" t="s">
        <x:v>11</x:v>
      </x:c>
      <x:c r="I1443" s="313" t="s">
        <x:v>44</x:v>
      </x:c>
      <x:c r="J1443" s="316" t="n">
        <x:f>IFERROR(G1443/F1443,0)</x:f>
        <x:v>0.2857142857142857</x:v>
      </x:c>
      <x:c r="K1443" s="312" t="str">
        <x:f>IF(B1443="Bilinmeyen Personel","Kontrol","OK")</x:f>
        <x:v>OK</x:v>
      </x:c>
    </x:row>
    <x:row r="1444" ht="15.75">
      <x:c r="A1444" s="313" t="n">
        <x:f t="shared" si="23">ROW()-ROW($A$2)+1</x:f>
        <x:v>1443</x:v>
      </x:c>
      <x:c r="B1444" s="313" t="s">
        <x:v>13</x:v>
      </x:c>
      <x:c r="C1444" s="313" t="s">
        <x:v>47</x:v>
      </x:c>
      <x:c r="D1444" s="314">
        <x:v>3</x:v>
      </x:c>
      <x:c r="E1444" s="320">
        <x:v>5775</x:v>
      </x:c>
      <x:c r="F1444" s="320">
        <x:v>17325</x:v>
      </x:c>
      <x:c r="G1444" s="320">
        <x:v>5325</x:v>
      </x:c>
      <x:c r="H1444" s="313" t="s">
        <x:v>11</x:v>
      </x:c>
      <x:c r="I1444" s="313" t="s">
        <x:v>25</x:v>
      </x:c>
      <x:c r="J1444" s="316" t="n">
        <x:f>IFERROR(G1444/F1444,0)</x:f>
        <x:v>0.30735930735930733</x:v>
      </x:c>
      <x:c r="K1444" s="312" t="str">
        <x:f>IF(B1444="Bilinmeyen Personel","Kontrol","OK")</x:f>
        <x:v>OK</x:v>
      </x:c>
    </x:row>
    <x:row r="1445" ht="15.75">
      <x:c r="A1445" s="313" t="n">
        <x:f t="shared" si="23">ROW()-ROW($A$2)+1</x:f>
        <x:v>1444</x:v>
      </x:c>
      <x:c r="B1445" s="313" t="s">
        <x:v>48</x:v>
      </x:c>
      <x:c r="C1445" s="313" t="s">
        <x:v>24</x:v>
      </x:c>
      <x:c r="D1445" s="314">
        <x:v>3</x:v>
      </x:c>
      <x:c r="E1445" s="320">
        <x:v>7600</x:v>
      </x:c>
      <x:c r="F1445" s="320">
        <x:v>22800</x:v>
      </x:c>
      <x:c r="G1445" s="320">
        <x:v>4800</x:v>
      </x:c>
      <x:c r="H1445" s="313" t="s">
        <x:v>11</x:v>
      </x:c>
      <x:c r="I1445" s="313" t="s">
        <x:v>15</x:v>
      </x:c>
      <x:c r="J1445" s="316" t="n">
        <x:f>IFERROR(G1445/F1445,0)</x:f>
        <x:v>0.21052631578947367</x:v>
      </x:c>
      <x:c r="K1445" s="312" t="str">
        <x:f>IF(B1445="Bilinmeyen Personel","Kontrol","OK")</x:f>
        <x:v>OK</x:v>
      </x:c>
    </x:row>
    <x:row r="1446" ht="15.75">
      <x:c r="A1446" s="313" t="n">
        <x:f t="shared" si="23">ROW()-ROW($A$2)+1</x:f>
        <x:v>1445</x:v>
      </x:c>
      <x:c r="B1446" s="313" t="s">
        <x:v>13</x:v>
      </x:c>
      <x:c r="C1446" s="313" t="s">
        <x:v>26</x:v>
      </x:c>
      <x:c r="D1446" s="314">
        <x:v>2</x:v>
      </x:c>
      <x:c r="E1446" s="320">
        <x:v>7250</x:v>
      </x:c>
      <x:c r="F1446" s="320">
        <x:v>14500</x:v>
      </x:c>
      <x:c r="G1446" s="320">
        <x:v>4500</x:v>
      </x:c>
      <x:c r="H1446" s="313" t="s">
        <x:v>11</x:v>
      </x:c>
      <x:c r="I1446" s="313" t="s">
        <x:v>28</x:v>
      </x:c>
      <x:c r="J1446" s="316" t="n">
        <x:f>IFERROR(G1446/F1446,0)</x:f>
        <x:v>0.3103448275862069</x:v>
      </x:c>
      <x:c r="K1446" s="312" t="str">
        <x:f>IF(B1446="Bilinmeyen Personel","Kontrol","OK")</x:f>
        <x:v>OK</x:v>
      </x:c>
    </x:row>
    <x:row r="1447" ht="15.75">
      <x:c r="A1447" s="313" t="n">
        <x:f t="shared" si="23">ROW()-ROW($A$2)+1</x:f>
        <x:v>1446</x:v>
      </x:c>
      <x:c r="B1447" s="313" t="s">
        <x:v>9</x:v>
      </x:c>
      <x:c r="C1447" s="313" t="s">
        <x:v>26</x:v>
      </x:c>
      <x:c r="D1447" s="314">
        <x:v>5</x:v>
      </x:c>
      <x:c r="E1447" s="320">
        <x:v>7250</x:v>
      </x:c>
      <x:c r="F1447" s="320">
        <x:v>36250</x:v>
      </x:c>
      <x:c r="G1447" s="320">
        <x:v>11250</x:v>
      </x:c>
      <x:c r="H1447" s="313" t="s">
        <x:v>11</x:v>
      </x:c>
      <x:c r="I1447" s="313" t="s">
        <x:v>18</x:v>
      </x:c>
      <x:c r="J1447" s="316" t="n">
        <x:f>IFERROR(G1447/F1447,0)</x:f>
        <x:v>0.3103448275862069</x:v>
      </x:c>
      <x:c r="K1447" s="312" t="str">
        <x:f>IF(B1447="Bilinmeyen Personel","Kontrol","OK")</x:f>
        <x:v>OK</x:v>
      </x:c>
    </x:row>
    <x:row r="1448" ht="15.75">
      <x:c r="A1448" s="313" t="n">
        <x:f t="shared" si="23">ROW()-ROW($A$2)+1</x:f>
        <x:v>1447</x:v>
      </x:c>
      <x:c r="B1448" s="313" t="s">
        <x:v>38</x:v>
      </x:c>
      <x:c r="C1448" s="313" t="s">
        <x:v>26</x:v>
      </x:c>
      <x:c r="D1448" s="314">
        <x:v>5</x:v>
      </x:c>
      <x:c r="E1448" s="320">
        <x:v>7250</x:v>
      </x:c>
      <x:c r="F1448" s="320">
        <x:v>36250</x:v>
      </x:c>
      <x:c r="G1448" s="320">
        <x:v>11250</x:v>
      </x:c>
      <x:c r="H1448" s="313" t="s">
        <x:v>11</x:v>
      </x:c>
      <x:c r="I1448" s="313" t="s">
        <x:v>37</x:v>
      </x:c>
      <x:c r="J1448" s="316" t="n">
        <x:f>IFERROR(G1448/F1448,0)</x:f>
        <x:v>0.3103448275862069</x:v>
      </x:c>
      <x:c r="K1448" s="312" t="str">
        <x:f>IF(B1448="Bilinmeyen Personel","Kontrol","OK")</x:f>
        <x:v>OK</x:v>
      </x:c>
    </x:row>
    <x:row r="1449" hidden="1">
      <x:c r="A1449" s="312" t="n">
        <x:f>ROW()-ROW($A$2)+1</x:f>
        <x:v>1448</x:v>
      </x:c>
      <x:c r="B1449" s="312" t="s">
        <x:v>29</x:v>
      </x:c>
      <x:c r="C1449" s="312" t="s">
        <x:v>20</x:v>
      </x:c>
      <x:c r="D1449" s="317">
        <x:v>3</x:v>
      </x:c>
      <x:c r="E1449" s="321">
        <x:v>1350</x:v>
      </x:c>
      <x:c r="F1449" s="321">
        <x:v>4050</x:v>
      </x:c>
      <x:c r="G1449" s="321">
        <x:v>1650</x:v>
      </x:c>
      <x:c r="H1449" s="312" t="s">
        <x:v>49</x:v>
      </x:c>
      <x:c r="I1449" s="312" t="s">
        <x:v>28</x:v>
      </x:c>
      <x:c r="J1449" s="316" t="n">
        <x:f>IFERROR(G1449/F1449,0)</x:f>
        <x:v>0.4074074074074074</x:v>
      </x:c>
      <x:c r="K1449" s="312" t="str">
        <x:f>IF(B1449="Bilinmeyen Personel","Kontrol","OK")</x:f>
        <x:v>OK</x:v>
      </x:c>
    </x:row>
    <x:row r="1450" hidden="1">
      <x:c r="A1450" s="312" t="n">
        <x:f>ROW()-ROW($A$2)+1</x:f>
        <x:v>1449</x:v>
      </x:c>
      <x:c r="B1450" s="312" t="s">
        <x:v>13</x:v>
      </x:c>
      <x:c r="C1450" s="312" t="s">
        <x:v>26</x:v>
      </x:c>
      <x:c r="D1450" s="317">
        <x:v>5</x:v>
      </x:c>
      <x:c r="E1450" s="321">
        <x:v>7250</x:v>
      </x:c>
      <x:c r="F1450" s="321">
        <x:v>36250</x:v>
      </x:c>
      <x:c r="G1450" s="321">
        <x:v>11250</x:v>
      </x:c>
      <x:c r="H1450" s="312" t="s">
        <x:v>49</x:v>
      </x:c>
      <x:c r="I1450" s="312" t="s">
        <x:v>31</x:v>
      </x:c>
      <x:c r="J1450" s="316" t="n">
        <x:f>IFERROR(G1450/F1450,0)</x:f>
        <x:v>0.3103448275862069</x:v>
      </x:c>
      <x:c r="K1450" s="312" t="str">
        <x:f>IF(B1450="Bilinmeyen Personel","Kontrol","OK")</x:f>
        <x:v>OK</x:v>
      </x:c>
    </x:row>
    <x:row r="1451" hidden="1">
      <x:c r="A1451" s="312" t="n">
        <x:f>ROW()-ROW($A$2)+1</x:f>
        <x:v>1450</x:v>
      </x:c>
      <x:c r="B1451" s="312" t="s">
        <x:v>32</x:v>
      </x:c>
      <x:c r="C1451" s="312" t="s">
        <x:v>24</x:v>
      </x:c>
      <x:c r="D1451" s="317">
        <x:v>3</x:v>
      </x:c>
      <x:c r="E1451" s="321">
        <x:v>7600</x:v>
      </x:c>
      <x:c r="F1451" s="321">
        <x:v>22800</x:v>
      </x:c>
      <x:c r="G1451" s="321">
        <x:v>4800</x:v>
      </x:c>
      <x:c r="H1451" s="312" t="s">
        <x:v>49</x:v>
      </x:c>
      <x:c r="I1451" s="312" t="s">
        <x:v>42</x:v>
      </x:c>
      <x:c r="J1451" s="316" t="n">
        <x:f>IFERROR(G1451/F1451,0)</x:f>
        <x:v>0.21052631578947367</x:v>
      </x:c>
      <x:c r="K1451" s="312" t="str">
        <x:f>IF(B1451="Bilinmeyen Personel","Kontrol","OK")</x:f>
        <x:v>OK</x:v>
      </x:c>
    </x:row>
    <x:row r="1452" hidden="1">
      <x:c r="A1452" s="312" t="n">
        <x:f>ROW()-ROW($A$2)+1</x:f>
        <x:v>1451</x:v>
      </x:c>
      <x:c r="B1452" s="312" t="s">
        <x:v>50</x:v>
      </x:c>
      <x:c r="C1452" s="312" t="s">
        <x:v>24</x:v>
      </x:c>
      <x:c r="D1452" s="317">
        <x:v>4</x:v>
      </x:c>
      <x:c r="E1452" s="321">
        <x:v>7600</x:v>
      </x:c>
      <x:c r="F1452" s="321">
        <x:v>30400</x:v>
      </x:c>
      <x:c r="G1452" s="321">
        <x:v>6400</x:v>
      </x:c>
      <x:c r="H1452" s="312" t="s">
        <x:v>49</x:v>
      </x:c>
      <x:c r="I1452" s="312" t="s">
        <x:v>31</x:v>
      </x:c>
      <x:c r="J1452" s="316" t="n">
        <x:f>IFERROR(G1452/F1452,0)</x:f>
        <x:v>0.21052631578947367</x:v>
      </x:c>
      <x:c r="K1452" s="312" t="str">
        <x:f>IF(B1452="Bilinmeyen Personel","Kontrol","OK")</x:f>
        <x:v>OK</x:v>
      </x:c>
    </x:row>
    <x:row r="1453" hidden="1">
      <x:c r="A1453" s="312" t="n">
        <x:f>ROW()-ROW($A$2)+1</x:f>
        <x:v>1452</x:v>
      </x:c>
      <x:c r="B1453" s="312" t="s">
        <x:v>13</x:v>
      </x:c>
      <x:c r="C1453" s="312" t="s">
        <x:v>43</x:v>
      </x:c>
      <x:c r="D1453" s="317">
        <x:v>3</x:v>
      </x:c>
      <x:c r="E1453" s="321">
        <x:v>1490</x:v>
      </x:c>
      <x:c r="F1453" s="321">
        <x:v>4470</x:v>
      </x:c>
      <x:c r="G1453" s="321">
        <x:v>2070</x:v>
      </x:c>
      <x:c r="H1453" s="312" t="s">
        <x:v>49</x:v>
      </x:c>
      <x:c r="I1453" s="312" t="s">
        <x:v>12</x:v>
      </x:c>
      <x:c r="J1453" s="316" t="n">
        <x:f>IFERROR(G1453/F1453,0)</x:f>
        <x:v>0.46308724832214765</x:v>
      </x:c>
      <x:c r="K1453" s="312" t="str">
        <x:f>IF(B1453="Bilinmeyen Personel","Kontrol","OK")</x:f>
        <x:v>OK</x:v>
      </x:c>
    </x:row>
    <x:row r="1454" hidden="1">
      <x:c r="A1454" s="312" t="n">
        <x:f>ROW()-ROW($A$2)+1</x:f>
        <x:v>1453</x:v>
      </x:c>
      <x:c r="B1454" s="312" t="s">
        <x:v>29</x:v>
      </x:c>
      <x:c r="C1454" s="312" t="s">
        <x:v>51</x:v>
      </x:c>
      <x:c r="D1454" s="317">
        <x:v>4</x:v>
      </x:c>
      <x:c r="E1454" s="321">
        <x:v>2900</x:v>
      </x:c>
      <x:c r="F1454" s="321">
        <x:v>11600</x:v>
      </x:c>
      <x:c r="G1454" s="321">
        <x:v>3600</x:v>
      </x:c>
      <x:c r="H1454" s="312" t="s">
        <x:v>49</x:v>
      </x:c>
      <x:c r="I1454" s="312" t="s">
        <x:v>44</x:v>
      </x:c>
      <x:c r="J1454" s="316" t="n">
        <x:f>IFERROR(G1454/F1454,0)</x:f>
        <x:v>0.3103448275862069</x:v>
      </x:c>
      <x:c r="K1454" s="312" t="str">
        <x:f>IF(B1454="Bilinmeyen Personel","Kontrol","OK")</x:f>
        <x:v>OK</x:v>
      </x:c>
    </x:row>
    <x:row r="1455" hidden="1">
      <x:c r="A1455" s="312" t="n">
        <x:f>ROW()-ROW($A$2)+1</x:f>
        <x:v>1454</x:v>
      </x:c>
      <x:c r="B1455" s="312" t="s">
        <x:v>40</x:v>
      </x:c>
      <x:c r="C1455" s="312" t="s">
        <x:v>43</x:v>
      </x:c>
      <x:c r="D1455" s="317">
        <x:v>4</x:v>
      </x:c>
      <x:c r="E1455" s="321">
        <x:v>1490</x:v>
      </x:c>
      <x:c r="F1455" s="321">
        <x:v>5960</x:v>
      </x:c>
      <x:c r="G1455" s="321">
        <x:v>2760</x:v>
      </x:c>
      <x:c r="H1455" s="312" t="s">
        <x:v>49</x:v>
      </x:c>
      <x:c r="I1455" s="312" t="s">
        <x:v>44</x:v>
      </x:c>
      <x:c r="J1455" s="316" t="n">
        <x:f>IFERROR(G1455/F1455,0)</x:f>
        <x:v>0.46308724832214765</x:v>
      </x:c>
      <x:c r="K1455" s="312" t="str">
        <x:f>IF(B1455="Bilinmeyen Personel","Kontrol","OK")</x:f>
        <x:v>OK</x:v>
      </x:c>
    </x:row>
    <x:row r="1456" hidden="1">
      <x:c r="A1456" s="312" t="n">
        <x:f>ROW()-ROW($A$2)+1</x:f>
        <x:v>1455</x:v>
      </x:c>
      <x:c r="B1456" s="312" t="s">
        <x:v>40</x:v>
      </x:c>
      <x:c r="C1456" s="312" t="s">
        <x:v>34</x:v>
      </x:c>
      <x:c r="D1456" s="317">
        <x:v>5</x:v>
      </x:c>
      <x:c r="E1456" s="321">
        <x:v>1090</x:v>
      </x:c>
      <x:c r="F1456" s="321">
        <x:v>5450</x:v>
      </x:c>
      <x:c r="G1456" s="321">
        <x:v>1450</x:v>
      </x:c>
      <x:c r="H1456" s="312" t="s">
        <x:v>49</x:v>
      </x:c>
      <x:c r="I1456" s="312" t="s">
        <x:v>12</x:v>
      </x:c>
      <x:c r="J1456" s="316" t="n">
        <x:f>IFERROR(G1456/F1456,0)</x:f>
        <x:v>0.26605504587155965</x:v>
      </x:c>
      <x:c r="K1456" s="312" t="str">
        <x:f>IF(B1456="Bilinmeyen Personel","Kontrol","OK")</x:f>
        <x:v>OK</x:v>
      </x:c>
    </x:row>
    <x:row r="1457" hidden="1">
      <x:c r="A1457" s="312" t="n">
        <x:f>ROW()-ROW($A$2)+1</x:f>
        <x:v>1456</x:v>
      </x:c>
      <x:c r="B1457" s="312" t="s">
        <x:v>29</x:v>
      </x:c>
      <x:c r="C1457" s="312" t="s">
        <x:v>30</x:v>
      </x:c>
      <x:c r="D1457" s="317">
        <x:v>2</x:v>
      </x:c>
      <x:c r="E1457" s="321">
        <x:v>1200</x:v>
      </x:c>
      <x:c r="F1457" s="321">
        <x:v>2400</x:v>
      </x:c>
      <x:c r="G1457" s="321">
        <x:v>800</x:v>
      </x:c>
      <x:c r="H1457" s="312" t="s">
        <x:v>49</x:v>
      </x:c>
      <x:c r="I1457" s="312" t="s">
        <x:v>28</x:v>
      </x:c>
      <x:c r="J1457" s="316" t="n">
        <x:f>IFERROR(G1457/F1457,0)</x:f>
        <x:v>0.3333333333333333</x:v>
      </x:c>
      <x:c r="K1457" s="312" t="str">
        <x:f>IF(B1457="Bilinmeyen Personel","Kontrol","OK")</x:f>
        <x:v>OK</x:v>
      </x:c>
    </x:row>
    <x:row r="1458" hidden="1">
      <x:c r="A1458" s="312" t="n">
        <x:f>ROW()-ROW($A$2)+1</x:f>
        <x:v>1457</x:v>
      </x:c>
      <x:c r="B1458" s="312" t="s">
        <x:v>38</x:v>
      </x:c>
      <x:c r="C1458" s="312" t="s">
        <x:v>39</x:v>
      </x:c>
      <x:c r="D1458" s="317">
        <x:v>5</x:v>
      </x:c>
      <x:c r="E1458" s="321">
        <x:v>10590</x:v>
      </x:c>
      <x:c r="F1458" s="321">
        <x:v>52950</x:v>
      </x:c>
      <x:c r="G1458" s="321">
        <x:v>22950</x:v>
      </x:c>
      <x:c r="H1458" s="312" t="s">
        <x:v>49</x:v>
      </x:c>
      <x:c r="I1458" s="312" t="s">
        <x:v>18</x:v>
      </x:c>
      <x:c r="J1458" s="316" t="n">
        <x:f>IFERROR(G1458/F1458,0)</x:f>
        <x:v>0.43342776203966005</x:v>
      </x:c>
      <x:c r="K1458" s="312" t="str">
        <x:f>IF(B1458="Bilinmeyen Personel","Kontrol","OK")</x:f>
        <x:v>OK</x:v>
      </x:c>
    </x:row>
    <x:row r="1459" hidden="1">
      <x:c r="A1459" s="312" t="n">
        <x:f>ROW()-ROW($A$2)+1</x:f>
        <x:v>1458</x:v>
      </x:c>
      <x:c r="B1459" s="312" t="s">
        <x:v>32</x:v>
      </x:c>
      <x:c r="C1459" s="312" t="s">
        <x:v>45</x:v>
      </x:c>
      <x:c r="D1459" s="317">
        <x:v>4</x:v>
      </x:c>
      <x:c r="E1459" s="321">
        <x:v>4200</x:v>
      </x:c>
      <x:c r="F1459" s="321">
        <x:v>16800</x:v>
      </x:c>
      <x:c r="G1459" s="321">
        <x:v>4800</x:v>
      </x:c>
      <x:c r="H1459" s="312" t="s">
        <x:v>49</x:v>
      </x:c>
      <x:c r="I1459" s="312" t="s">
        <x:v>31</x:v>
      </x:c>
      <x:c r="J1459" s="316" t="n">
        <x:f>IFERROR(G1459/F1459,0)</x:f>
        <x:v>0.2857142857142857</x:v>
      </x:c>
      <x:c r="K1459" s="312" t="str">
        <x:f>IF(B1459="Bilinmeyen Personel","Kontrol","OK")</x:f>
        <x:v>OK</x:v>
      </x:c>
    </x:row>
    <x:row r="1460" hidden="1">
      <x:c r="A1460" s="312" t="n">
        <x:f>ROW()-ROW($A$2)+1</x:f>
        <x:v>1459</x:v>
      </x:c>
      <x:c r="B1460" s="312" t="s">
        <x:v>19</x:v>
      </x:c>
      <x:c r="C1460" s="312" t="s">
        <x:v>45</x:v>
      </x:c>
      <x:c r="D1460" s="317">
        <x:v>4</x:v>
      </x:c>
      <x:c r="E1460" s="321">
        <x:v>4200</x:v>
      </x:c>
      <x:c r="F1460" s="321">
        <x:v>16800</x:v>
      </x:c>
      <x:c r="G1460" s="321">
        <x:v>4800</x:v>
      </x:c>
      <x:c r="H1460" s="312" t="s">
        <x:v>49</x:v>
      </x:c>
      <x:c r="I1460" s="312" t="s">
        <x:v>28</x:v>
      </x:c>
      <x:c r="J1460" s="316" t="n">
        <x:f>IFERROR(G1460/F1460,0)</x:f>
        <x:v>0.2857142857142857</x:v>
      </x:c>
      <x:c r="K1460" s="312" t="str">
        <x:f>IF(B1460="Bilinmeyen Personel","Kontrol","OK")</x:f>
        <x:v>OK</x:v>
      </x:c>
    </x:row>
    <x:row r="1461" hidden="1">
      <x:c r="A1461" s="312" t="n">
        <x:f>ROW()-ROW($A$2)+1</x:f>
        <x:v>1460</x:v>
      </x:c>
      <x:c r="B1461" s="312" t="s">
        <x:v>35</x:v>
      </x:c>
      <x:c r="C1461" s="312" t="s">
        <x:v>39</x:v>
      </x:c>
      <x:c r="D1461" s="317">
        <x:v>2</x:v>
      </x:c>
      <x:c r="E1461" s="321">
        <x:v>10590</x:v>
      </x:c>
      <x:c r="F1461" s="321">
        <x:v>21180</x:v>
      </x:c>
      <x:c r="G1461" s="321">
        <x:v>9180</x:v>
      </x:c>
      <x:c r="H1461" s="312" t="s">
        <x:v>49</x:v>
      </x:c>
      <x:c r="I1461" s="312" t="s">
        <x:v>21</x:v>
      </x:c>
      <x:c r="J1461" s="316" t="n">
        <x:f>IFERROR(G1461/F1461,0)</x:f>
        <x:v>0.43342776203966005</x:v>
      </x:c>
      <x:c r="K1461" s="312" t="str">
        <x:f>IF(B1461="Bilinmeyen Personel","Kontrol","OK")</x:f>
        <x:v>OK</x:v>
      </x:c>
    </x:row>
    <x:row r="1462" hidden="1">
      <x:c r="A1462" s="312" t="n">
        <x:f>ROW()-ROW($A$2)+1</x:f>
        <x:v>1461</x:v>
      </x:c>
      <x:c r="B1462" s="312" t="s">
        <x:v>50</x:v>
      </x:c>
      <x:c r="C1462" s="312" t="s">
        <x:v>52</x:v>
      </x:c>
      <x:c r="D1462" s="317">
        <x:v>4</x:v>
      </x:c>
      <x:c r="E1462" s="321">
        <x:v>1250</x:v>
      </x:c>
      <x:c r="F1462" s="321">
        <x:v>5000</x:v>
      </x:c>
      <x:c r="G1462" s="321">
        <x:v>1800</x:v>
      </x:c>
      <x:c r="H1462" s="312" t="s">
        <x:v>49</x:v>
      </x:c>
      <x:c r="I1462" s="312" t="s">
        <x:v>37</x:v>
      </x:c>
      <x:c r="J1462" s="316" t="n">
        <x:f>IFERROR(G1462/F1462,0)</x:f>
        <x:v>0.36</x:v>
      </x:c>
      <x:c r="K1462" s="312" t="str">
        <x:f>IF(B1462="Bilinmeyen Personel","Kontrol","OK")</x:f>
        <x:v>OK</x:v>
      </x:c>
    </x:row>
    <x:row r="1463" hidden="1">
      <x:c r="A1463" s="312" t="n">
        <x:f>ROW()-ROW($A$2)+1</x:f>
        <x:v>1462</x:v>
      </x:c>
      <x:c r="B1463" s="312" t="s">
        <x:v>9</x:v>
      </x:c>
      <x:c r="C1463" s="312" t="s">
        <x:v>43</x:v>
      </x:c>
      <x:c r="D1463" s="317">
        <x:v>4</x:v>
      </x:c>
      <x:c r="E1463" s="321">
        <x:v>1490</x:v>
      </x:c>
      <x:c r="F1463" s="321">
        <x:v>5960</x:v>
      </x:c>
      <x:c r="G1463" s="321">
        <x:v>2760</x:v>
      </x:c>
      <x:c r="H1463" s="312" t="s">
        <x:v>49</x:v>
      </x:c>
      <x:c r="I1463" s="312" t="s">
        <x:v>54</x:v>
      </x:c>
      <x:c r="J1463" s="316" t="n">
        <x:f>IFERROR(G1463/F1463,0)</x:f>
        <x:v>0.46308724832214765</x:v>
      </x:c>
      <x:c r="K1463" s="312" t="str">
        <x:f>IF(B1463="Bilinmeyen Personel","Kontrol","OK")</x:f>
        <x:v>OK</x:v>
      </x:c>
    </x:row>
    <x:row r="1464" hidden="1">
      <x:c r="A1464" s="312" t="n">
        <x:f>ROW()-ROW($A$2)+1</x:f>
        <x:v>1463</x:v>
      </x:c>
      <x:c r="B1464" s="312" t="s">
        <x:v>32</x:v>
      </x:c>
      <x:c r="C1464" s="312" t="s">
        <x:v>30</x:v>
      </x:c>
      <x:c r="D1464" s="317">
        <x:v>5</x:v>
      </x:c>
      <x:c r="E1464" s="321">
        <x:v>1200</x:v>
      </x:c>
      <x:c r="F1464" s="321">
        <x:v>6000</x:v>
      </x:c>
      <x:c r="G1464" s="321">
        <x:v>2000</x:v>
      </x:c>
      <x:c r="H1464" s="312" t="s">
        <x:v>49</x:v>
      </x:c>
      <x:c r="I1464" s="312" t="s">
        <x:v>25</x:v>
      </x:c>
      <x:c r="J1464" s="316" t="n">
        <x:f>IFERROR(G1464/F1464,0)</x:f>
        <x:v>0.3333333333333333</x:v>
      </x:c>
      <x:c r="K1464" s="312" t="str">
        <x:f>IF(B1464="Bilinmeyen Personel","Kontrol","OK")</x:f>
        <x:v>OK</x:v>
      </x:c>
    </x:row>
    <x:row r="1465" hidden="1">
      <x:c r="A1465" s="312" t="n">
        <x:f>ROW()-ROW($A$2)+1</x:f>
        <x:v>1464</x:v>
      </x:c>
      <x:c r="B1465" s="312" t="s">
        <x:v>16</x:v>
      </x:c>
      <x:c r="C1465" s="312" t="s">
        <x:v>22</x:v>
      </x:c>
      <x:c r="D1465" s="317">
        <x:v>4</x:v>
      </x:c>
      <x:c r="E1465" s="321">
        <x:v>2180</x:v>
      </x:c>
      <x:c r="F1465" s="321">
        <x:v>8720</x:v>
      </x:c>
      <x:c r="G1465" s="321">
        <x:v>2720</x:v>
      </x:c>
      <x:c r="H1465" s="312" t="s">
        <x:v>49</x:v>
      </x:c>
      <x:c r="I1465" s="312" t="s">
        <x:v>18</x:v>
      </x:c>
      <x:c r="J1465" s="316" t="n">
        <x:f>IFERROR(G1465/F1465,0)</x:f>
        <x:v>0.3119266055045872</x:v>
      </x:c>
      <x:c r="K1465" s="312" t="str">
        <x:f>IF(B1465="Bilinmeyen Personel","Kontrol","OK")</x:f>
        <x:v>OK</x:v>
      </x:c>
    </x:row>
    <x:row r="1466" hidden="1">
      <x:c r="A1466" s="312" t="n">
        <x:f>ROW()-ROW($A$2)+1</x:f>
        <x:v>1465</x:v>
      </x:c>
      <x:c r="B1466" s="312" t="s">
        <x:v>40</x:v>
      </x:c>
      <x:c r="C1466" s="312" t="s">
        <x:v>53</x:v>
      </x:c>
      <x:c r="D1466" s="317">
        <x:v>4</x:v>
      </x:c>
      <x:c r="E1466" s="321">
        <x:v>1200</x:v>
      </x:c>
      <x:c r="F1466" s="321">
        <x:v>4800</x:v>
      </x:c>
      <x:c r="G1466" s="321">
        <x:v>1600</x:v>
      </x:c>
      <x:c r="H1466" s="312" t="s">
        <x:v>49</x:v>
      </x:c>
      <x:c r="I1466" s="312" t="s">
        <x:v>18</x:v>
      </x:c>
      <x:c r="J1466" s="316" t="n">
        <x:f>IFERROR(G1466/F1466,0)</x:f>
        <x:v>0.3333333333333333</x:v>
      </x:c>
      <x:c r="K1466" s="312" t="str">
        <x:f>IF(B1466="Bilinmeyen Personel","Kontrol","OK")</x:f>
        <x:v>OK</x:v>
      </x:c>
    </x:row>
    <x:row r="1467" hidden="1">
      <x:c r="A1467" s="312" t="n">
        <x:f>ROW()-ROW($A$2)+1</x:f>
        <x:v>1466</x:v>
      </x:c>
      <x:c r="B1467" s="312" t="s">
        <x:v>9</x:v>
      </x:c>
      <x:c r="C1467" s="312" t="s">
        <x:v>33</x:v>
      </x:c>
      <x:c r="D1467" s="317">
        <x:v>2</x:v>
      </x:c>
      <x:c r="E1467" s="321">
        <x:v>1800</x:v>
      </x:c>
      <x:c r="F1467" s="321">
        <x:v>3600</x:v>
      </x:c>
      <x:c r="G1467" s="321">
        <x:v>2000</x:v>
      </x:c>
      <x:c r="H1467" s="312" t="s">
        <x:v>49</x:v>
      </x:c>
      <x:c r="I1467" s="312" t="s">
        <x:v>28</x:v>
      </x:c>
      <x:c r="J1467" s="316" t="n">
        <x:f>IFERROR(G1467/F1467,0)</x:f>
        <x:v>0.5555555555555556</x:v>
      </x:c>
      <x:c r="K1467" s="312" t="str">
        <x:f>IF(B1467="Bilinmeyen Personel","Kontrol","OK")</x:f>
        <x:v>OK</x:v>
      </x:c>
    </x:row>
    <x:row r="1468" hidden="1">
      <x:c r="A1468" s="312" t="n">
        <x:f>ROW()-ROW($A$2)+1</x:f>
        <x:v>1467</x:v>
      </x:c>
      <x:c r="B1468" s="312" t="s">
        <x:v>16</x:v>
      </x:c>
      <x:c r="C1468" s="312" t="s">
        <x:v>24</x:v>
      </x:c>
      <x:c r="D1468" s="317">
        <x:v>5</x:v>
      </x:c>
      <x:c r="E1468" s="321">
        <x:v>7600</x:v>
      </x:c>
      <x:c r="F1468" s="321">
        <x:v>38000</x:v>
      </x:c>
      <x:c r="G1468" s="321">
        <x:v>8000</x:v>
      </x:c>
      <x:c r="H1468" s="312" t="s">
        <x:v>49</x:v>
      </x:c>
      <x:c r="I1468" s="312" t="s">
        <x:v>21</x:v>
      </x:c>
      <x:c r="J1468" s="316" t="n">
        <x:f>IFERROR(G1468/F1468,0)</x:f>
        <x:v>0.21052631578947367</x:v>
      </x:c>
      <x:c r="K1468" s="312" t="str">
        <x:f>IF(B1468="Bilinmeyen Personel","Kontrol","OK")</x:f>
        <x:v>OK</x:v>
      </x:c>
    </x:row>
    <x:row r="1469" hidden="1">
      <x:c r="A1469" s="312" t="n">
        <x:f>ROW()-ROW($A$2)+1</x:f>
        <x:v>1468</x:v>
      </x:c>
      <x:c r="B1469" s="312" t="s">
        <x:v>35</x:v>
      </x:c>
      <x:c r="C1469" s="312" t="s">
        <x:v>55</x:v>
      </x:c>
      <x:c r="D1469" s="317">
        <x:v>5</x:v>
      </x:c>
      <x:c r="E1469" s="321">
        <x:v>7530</x:v>
      </x:c>
      <x:c r="F1469" s="321">
        <x:v>37650</x:v>
      </x:c>
      <x:c r="G1469" s="321">
        <x:v>7650</x:v>
      </x:c>
      <x:c r="H1469" s="312" t="s">
        <x:v>49</x:v>
      </x:c>
      <x:c r="I1469" s="312" t="s">
        <x:v>41</x:v>
      </x:c>
      <x:c r="J1469" s="316" t="n">
        <x:f>IFERROR(G1469/F1469,0)</x:f>
        <x:v>0.20318725099601595</x:v>
      </x:c>
      <x:c r="K1469" s="312" t="str">
        <x:f>IF(B1469="Bilinmeyen Personel","Kontrol","OK")</x:f>
        <x:v>OK</x:v>
      </x:c>
    </x:row>
    <x:row r="1470" hidden="1">
      <x:c r="A1470" s="312" t="n">
        <x:f>ROW()-ROW($A$2)+1</x:f>
        <x:v>1469</x:v>
      </x:c>
      <x:c r="B1470" s="312" t="s">
        <x:v>50</x:v>
      </x:c>
      <x:c r="C1470" s="312" t="s">
        <x:v>43</x:v>
      </x:c>
      <x:c r="D1470" s="317">
        <x:v>5</x:v>
      </x:c>
      <x:c r="E1470" s="321">
        <x:v>1490</x:v>
      </x:c>
      <x:c r="F1470" s="321">
        <x:v>7450</x:v>
      </x:c>
      <x:c r="G1470" s="321">
        <x:v>3450</x:v>
      </x:c>
      <x:c r="H1470" s="312" t="s">
        <x:v>49</x:v>
      </x:c>
      <x:c r="I1470" s="312" t="s">
        <x:v>25</x:v>
      </x:c>
      <x:c r="J1470" s="316" t="n">
        <x:f>IFERROR(G1470/F1470,0)</x:f>
        <x:v>0.46308724832214765</x:v>
      </x:c>
      <x:c r="K1470" s="312" t="str">
        <x:f>IF(B1470="Bilinmeyen Personel","Kontrol","OK")</x:f>
        <x:v>OK</x:v>
      </x:c>
    </x:row>
    <x:row r="1471" hidden="1">
      <x:c r="A1471" s="312" t="n">
        <x:f>ROW()-ROW($A$2)+1</x:f>
        <x:v>1470</x:v>
      </x:c>
      <x:c r="B1471" s="312" t="s">
        <x:v>9</x:v>
      </x:c>
      <x:c r="C1471" s="312" t="s">
        <x:v>56</x:v>
      </x:c>
      <x:c r="D1471" s="317">
        <x:v>4</x:v>
      </x:c>
      <x:c r="E1471" s="321">
        <x:v>5300</x:v>
      </x:c>
      <x:c r="F1471" s="321">
        <x:v>21200</x:v>
      </x:c>
      <x:c r="G1471" s="321">
        <x:v>5200</x:v>
      </x:c>
      <x:c r="H1471" s="312" t="s">
        <x:v>49</x:v>
      </x:c>
      <x:c r="I1471" s="312" t="s">
        <x:v>25</x:v>
      </x:c>
      <x:c r="J1471" s="316" t="n">
        <x:f>IFERROR(G1471/F1471,0)</x:f>
        <x:v>0.24528301886792453</x:v>
      </x:c>
      <x:c r="K1471" s="312" t="str">
        <x:f>IF(B1471="Bilinmeyen Personel","Kontrol","OK")</x:f>
        <x:v>OK</x:v>
      </x:c>
    </x:row>
    <x:row r="1472" hidden="1">
      <x:c r="A1472" s="312" t="n">
        <x:f>ROW()-ROW($A$2)+1</x:f>
        <x:v>1471</x:v>
      </x:c>
      <x:c r="B1472" s="312" t="s">
        <x:v>23</x:v>
      </x:c>
      <x:c r="C1472" s="312" t="s">
        <x:v>30</x:v>
      </x:c>
      <x:c r="D1472" s="317">
        <x:v>4</x:v>
      </x:c>
      <x:c r="E1472" s="321">
        <x:v>1200</x:v>
      </x:c>
      <x:c r="F1472" s="321">
        <x:v>4800</x:v>
      </x:c>
      <x:c r="G1472" s="321">
        <x:v>1600</x:v>
      </x:c>
      <x:c r="H1472" s="312" t="s">
        <x:v>49</x:v>
      </x:c>
      <x:c r="I1472" s="312" t="s">
        <x:v>18</x:v>
      </x:c>
      <x:c r="J1472" s="316" t="n">
        <x:f>IFERROR(G1472/F1472,0)</x:f>
        <x:v>0.3333333333333333</x:v>
      </x:c>
      <x:c r="K1472" s="312" t="str">
        <x:f>IF(B1472="Bilinmeyen Personel","Kontrol","OK")</x:f>
        <x:v>OK</x:v>
      </x:c>
    </x:row>
    <x:row r="1473" hidden="1">
      <x:c r="A1473" s="312" t="n">
        <x:f>ROW()-ROW($A$2)+1</x:f>
        <x:v>1472</x:v>
      </x:c>
      <x:c r="B1473" s="312" t="s">
        <x:v>40</x:v>
      </x:c>
      <x:c r="C1473" s="312" t="s">
        <x:v>34</x:v>
      </x:c>
      <x:c r="D1473" s="317">
        <x:v>3</x:v>
      </x:c>
      <x:c r="E1473" s="321">
        <x:v>1090</x:v>
      </x:c>
      <x:c r="F1473" s="321">
        <x:v>3270</x:v>
      </x:c>
      <x:c r="G1473" s="321">
        <x:v>870</x:v>
      </x:c>
      <x:c r="H1473" s="312" t="s">
        <x:v>49</x:v>
      </x:c>
      <x:c r="I1473" s="312" t="s">
        <x:v>54</x:v>
      </x:c>
      <x:c r="J1473" s="316" t="n">
        <x:f>IFERROR(G1473/F1473,0)</x:f>
        <x:v>0.26605504587155965</x:v>
      </x:c>
      <x:c r="K1473" s="312" t="str">
        <x:f>IF(B1473="Bilinmeyen Personel","Kontrol","OK")</x:f>
        <x:v>OK</x:v>
      </x:c>
    </x:row>
    <x:row r="1474" hidden="1">
      <x:c r="A1474" s="312" t="n">
        <x:f>ROW()-ROW($A$2)+1</x:f>
        <x:v>1473</x:v>
      </x:c>
      <x:c r="B1474" s="312" t="s">
        <x:v>23</x:v>
      </x:c>
      <x:c r="C1474" s="312" t="s">
        <x:v>26</x:v>
      </x:c>
      <x:c r="D1474" s="317">
        <x:v>4</x:v>
      </x:c>
      <x:c r="E1474" s="321">
        <x:v>7250</x:v>
      </x:c>
      <x:c r="F1474" s="321">
        <x:v>29000</x:v>
      </x:c>
      <x:c r="G1474" s="321">
        <x:v>9000</x:v>
      </x:c>
      <x:c r="H1474" s="312" t="s">
        <x:v>49</x:v>
      </x:c>
      <x:c r="I1474" s="312" t="s">
        <x:v>12</x:v>
      </x:c>
      <x:c r="J1474" s="316" t="n">
        <x:f>IFERROR(G1474/F1474,0)</x:f>
        <x:v>0.3103448275862069</x:v>
      </x:c>
      <x:c r="K1474" s="312" t="str">
        <x:f>IF(B1474="Bilinmeyen Personel","Kontrol","OK")</x:f>
        <x:v>OK</x:v>
      </x:c>
    </x:row>
    <x:row r="1475" hidden="1">
      <x:c r="A1475" s="312" t="n">
        <x:f>ROW()-ROW($A$2)+1</x:f>
        <x:v>1474</x:v>
      </x:c>
      <x:c r="B1475" s="312" t="s">
        <x:v>48</x:v>
      </x:c>
      <x:c r="C1475" s="312" t="s">
        <x:v>14</x:v>
      </x:c>
      <x:c r="D1475" s="317">
        <x:v>2</x:v>
      </x:c>
      <x:c r="E1475" s="321">
        <x:v>1400</x:v>
      </x:c>
      <x:c r="F1475" s="321">
        <x:v>2800</x:v>
      </x:c>
      <x:c r="G1475" s="321">
        <x:v>1200</x:v>
      </x:c>
      <x:c r="H1475" s="312" t="s">
        <x:v>49</x:v>
      </x:c>
      <x:c r="I1475" s="312" t="s">
        <x:v>28</x:v>
      </x:c>
      <x:c r="J1475" s="316" t="n">
        <x:f>IFERROR(G1475/F1475,0)</x:f>
        <x:v>0.42857142857142855</x:v>
      </x:c>
      <x:c r="K1475" s="312" t="str">
        <x:f>IF(B1475="Bilinmeyen Personel","Kontrol","OK")</x:f>
        <x:v>OK</x:v>
      </x:c>
    </x:row>
    <x:row r="1476" hidden="1">
      <x:c r="A1476" s="312" t="n">
        <x:f>ROW()-ROW($A$2)+1</x:f>
        <x:v>1475</x:v>
      </x:c>
      <x:c r="B1476" s="312" t="s">
        <x:v>16</x:v>
      </x:c>
      <x:c r="C1476" s="312" t="s">
        <x:v>57</x:v>
      </x:c>
      <x:c r="D1476" s="317">
        <x:v>4</x:v>
      </x:c>
      <x:c r="E1476" s="321">
        <x:v>1500</x:v>
      </x:c>
      <x:c r="F1476" s="321">
        <x:v>6000</x:v>
      </x:c>
      <x:c r="G1476" s="321">
        <x:v>2800</x:v>
      </x:c>
      <x:c r="H1476" s="312" t="s">
        <x:v>49</x:v>
      </x:c>
      <x:c r="I1476" s="312" t="s">
        <x:v>31</x:v>
      </x:c>
      <x:c r="J1476" s="316" t="n">
        <x:f>IFERROR(G1476/F1476,0)</x:f>
        <x:v>0.4666666666666667</x:v>
      </x:c>
      <x:c r="K1476" s="312" t="str">
        <x:f>IF(B1476="Bilinmeyen Personel","Kontrol","OK")</x:f>
        <x:v>OK</x:v>
      </x:c>
    </x:row>
    <x:row r="1477" hidden="1">
      <x:c r="A1477" s="312" t="n">
        <x:f>ROW()-ROW($A$2)+1</x:f>
        <x:v>1476</x:v>
      </x:c>
      <x:c r="B1477" s="312" t="s">
        <x:v>35</x:v>
      </x:c>
      <x:c r="C1477" s="312" t="s">
        <x:v>20</x:v>
      </x:c>
      <x:c r="D1477" s="317">
        <x:v>3</x:v>
      </x:c>
      <x:c r="E1477" s="321">
        <x:v>1350</x:v>
      </x:c>
      <x:c r="F1477" s="321">
        <x:v>4050</x:v>
      </x:c>
      <x:c r="G1477" s="321">
        <x:v>1650</x:v>
      </x:c>
      <x:c r="H1477" s="312" t="s">
        <x:v>49</x:v>
      </x:c>
      <x:c r="I1477" s="312" t="s">
        <x:v>28</x:v>
      </x:c>
      <x:c r="J1477" s="316" t="n">
        <x:f>IFERROR(G1477/F1477,0)</x:f>
        <x:v>0.4074074074074074</x:v>
      </x:c>
      <x:c r="K1477" s="312" t="str">
        <x:f>IF(B1477="Bilinmeyen Personel","Kontrol","OK")</x:f>
        <x:v>OK</x:v>
      </x:c>
    </x:row>
    <x:row r="1478" hidden="1">
      <x:c r="A1478" s="312" t="n">
        <x:f>ROW()-ROW($A$2)+1</x:f>
        <x:v>1477</x:v>
      </x:c>
      <x:c r="B1478" s="312" t="s">
        <x:v>35</x:v>
      </x:c>
      <x:c r="C1478" s="312" t="s">
        <x:v>30</x:v>
      </x:c>
      <x:c r="D1478" s="317">
        <x:v>5</x:v>
      </x:c>
      <x:c r="E1478" s="321">
        <x:v>1200</x:v>
      </x:c>
      <x:c r="F1478" s="321">
        <x:v>6000</x:v>
      </x:c>
      <x:c r="G1478" s="321">
        <x:v>2000</x:v>
      </x:c>
      <x:c r="H1478" s="312" t="s">
        <x:v>49</x:v>
      </x:c>
      <x:c r="I1478" s="312" t="s">
        <x:v>12</x:v>
      </x:c>
      <x:c r="J1478" s="316" t="n">
        <x:f>IFERROR(G1478/F1478,0)</x:f>
        <x:v>0.3333333333333333</x:v>
      </x:c>
      <x:c r="K1478" s="312" t="str">
        <x:f>IF(B1478="Bilinmeyen Personel","Kontrol","OK")</x:f>
        <x:v>OK</x:v>
      </x:c>
    </x:row>
    <x:row r="1479" hidden="1">
      <x:c r="A1479" s="312" t="n">
        <x:f>ROW()-ROW($A$2)+1</x:f>
        <x:v>1478</x:v>
      </x:c>
      <x:c r="B1479" s="312" t="s">
        <x:v>13</x:v>
      </x:c>
      <x:c r="C1479" s="312" t="s">
        <x:v>55</x:v>
      </x:c>
      <x:c r="D1479" s="317">
        <x:v>3</x:v>
      </x:c>
      <x:c r="E1479" s="321">
        <x:v>7530</x:v>
      </x:c>
      <x:c r="F1479" s="321">
        <x:v>22590</x:v>
      </x:c>
      <x:c r="G1479" s="321">
        <x:v>4590</x:v>
      </x:c>
      <x:c r="H1479" s="312" t="s">
        <x:v>49</x:v>
      </x:c>
      <x:c r="I1479" s="312" t="s">
        <x:v>28</x:v>
      </x:c>
      <x:c r="J1479" s="316" t="n">
        <x:f>IFERROR(G1479/F1479,0)</x:f>
        <x:v>0.20318725099601595</x:v>
      </x:c>
      <x:c r="K1479" s="312" t="str">
        <x:f>IF(B1479="Bilinmeyen Personel","Kontrol","OK")</x:f>
        <x:v>OK</x:v>
      </x:c>
    </x:row>
    <x:row r="1480" hidden="1">
      <x:c r="A1480" s="312" t="n">
        <x:f>ROW()-ROW($A$2)+1</x:f>
        <x:v>1479</x:v>
      </x:c>
      <x:c r="B1480" s="312" t="s">
        <x:v>48</x:v>
      </x:c>
      <x:c r="C1480" s="312" t="s">
        <x:v>30</x:v>
      </x:c>
      <x:c r="D1480" s="317">
        <x:v>3</x:v>
      </x:c>
      <x:c r="E1480" s="321">
        <x:v>1200</x:v>
      </x:c>
      <x:c r="F1480" s="321">
        <x:v>3600</x:v>
      </x:c>
      <x:c r="G1480" s="321">
        <x:v>1200</x:v>
      </x:c>
      <x:c r="H1480" s="312" t="s">
        <x:v>49</x:v>
      </x:c>
      <x:c r="I1480" s="312" t="s">
        <x:v>21</x:v>
      </x:c>
      <x:c r="J1480" s="316" t="n">
        <x:f>IFERROR(G1480/F1480,0)</x:f>
        <x:v>0.3333333333333333</x:v>
      </x:c>
      <x:c r="K1480" s="312" t="str">
        <x:f>IF(B1480="Bilinmeyen Personel","Kontrol","OK")</x:f>
        <x:v>OK</x:v>
      </x:c>
    </x:row>
    <x:row r="1481" hidden="1">
      <x:c r="A1481" s="312" t="n">
        <x:f>ROW()-ROW($A$2)+1</x:f>
        <x:v>1480</x:v>
      </x:c>
      <x:c r="B1481" s="312" t="s">
        <x:v>38</x:v>
      </x:c>
      <x:c r="C1481" s="312" t="s">
        <x:v>33</x:v>
      </x:c>
      <x:c r="D1481" s="317">
        <x:v>2</x:v>
      </x:c>
      <x:c r="E1481" s="321">
        <x:v>1800</x:v>
      </x:c>
      <x:c r="F1481" s="321">
        <x:v>3600</x:v>
      </x:c>
      <x:c r="G1481" s="321">
        <x:v>2000</x:v>
      </x:c>
      <x:c r="H1481" s="312" t="s">
        <x:v>49</x:v>
      </x:c>
      <x:c r="I1481" s="312" t="s">
        <x:v>31</x:v>
      </x:c>
      <x:c r="J1481" s="316" t="n">
        <x:f>IFERROR(G1481/F1481,0)</x:f>
        <x:v>0.5555555555555556</x:v>
      </x:c>
      <x:c r="K1481" s="312" t="str">
        <x:f>IF(B1481="Bilinmeyen Personel","Kontrol","OK")</x:f>
        <x:v>OK</x:v>
      </x:c>
    </x:row>
    <x:row r="1482" hidden="1">
      <x:c r="A1482" s="312" t="n">
        <x:f>ROW()-ROW($A$2)+1</x:f>
        <x:v>1481</x:v>
      </x:c>
      <x:c r="B1482" s="312" t="s">
        <x:v>9</x:v>
      </x:c>
      <x:c r="C1482" s="312" t="s">
        <x:v>26</x:v>
      </x:c>
      <x:c r="D1482" s="317">
        <x:v>3</x:v>
      </x:c>
      <x:c r="E1482" s="321">
        <x:v>7250</x:v>
      </x:c>
      <x:c r="F1482" s="321">
        <x:v>21750</x:v>
      </x:c>
      <x:c r="G1482" s="321">
        <x:v>6750</x:v>
      </x:c>
      <x:c r="H1482" s="312" t="s">
        <x:v>49</x:v>
      </x:c>
      <x:c r="I1482" s="312" t="s">
        <x:v>46</x:v>
      </x:c>
      <x:c r="J1482" s="316" t="n">
        <x:f>IFERROR(G1482/F1482,0)</x:f>
        <x:v>0.3103448275862069</x:v>
      </x:c>
      <x:c r="K1482" s="312" t="str">
        <x:f>IF(B1482="Bilinmeyen Personel","Kontrol","OK")</x:f>
        <x:v>OK</x:v>
      </x:c>
    </x:row>
    <x:row r="1483" hidden="1">
      <x:c r="A1483" s="312" t="n">
        <x:f>ROW()-ROW($A$2)+1</x:f>
        <x:v>1482</x:v>
      </x:c>
      <x:c r="B1483" s="312" t="s">
        <x:v>40</x:v>
      </x:c>
      <x:c r="C1483" s="312" t="s">
        <x:v>43</x:v>
      </x:c>
      <x:c r="D1483" s="317">
        <x:v>4</x:v>
      </x:c>
      <x:c r="E1483" s="321">
        <x:v>1490</x:v>
      </x:c>
      <x:c r="F1483" s="321">
        <x:v>5960</x:v>
      </x:c>
      <x:c r="G1483" s="321">
        <x:v>2760</x:v>
      </x:c>
      <x:c r="H1483" s="312" t="s">
        <x:v>49</x:v>
      </x:c>
      <x:c r="I1483" s="312" t="s">
        <x:v>18</x:v>
      </x:c>
      <x:c r="J1483" s="316" t="n">
        <x:f>IFERROR(G1483/F1483,0)</x:f>
        <x:v>0.46308724832214765</x:v>
      </x:c>
      <x:c r="K1483" s="312" t="str">
        <x:f>IF(B1483="Bilinmeyen Personel","Kontrol","OK")</x:f>
        <x:v>OK</x:v>
      </x:c>
    </x:row>
    <x:row r="1484" hidden="1">
      <x:c r="A1484" s="312" t="n">
        <x:f>ROW()-ROW($A$2)+1</x:f>
        <x:v>1483</x:v>
      </x:c>
      <x:c r="B1484" s="312" t="s">
        <x:v>40</x:v>
      </x:c>
      <x:c r="C1484" s="312" t="s">
        <x:v>53</x:v>
      </x:c>
      <x:c r="D1484" s="317">
        <x:v>2</x:v>
      </x:c>
      <x:c r="E1484" s="321">
        <x:v>1200</x:v>
      </x:c>
      <x:c r="F1484" s="321">
        <x:v>2400</x:v>
      </x:c>
      <x:c r="G1484" s="321">
        <x:v>800</x:v>
      </x:c>
      <x:c r="H1484" s="312" t="s">
        <x:v>49</x:v>
      </x:c>
      <x:c r="I1484" s="312" t="s">
        <x:v>18</x:v>
      </x:c>
      <x:c r="J1484" s="316" t="n">
        <x:f>IFERROR(G1484/F1484,0)</x:f>
        <x:v>0.3333333333333333</x:v>
      </x:c>
      <x:c r="K1484" s="312" t="str">
        <x:f>IF(B1484="Bilinmeyen Personel","Kontrol","OK")</x:f>
        <x:v>OK</x:v>
      </x:c>
    </x:row>
    <x:row r="1485" hidden="1">
      <x:c r="A1485" s="312" t="n">
        <x:f>ROW()-ROW($A$2)+1</x:f>
        <x:v>1484</x:v>
      </x:c>
      <x:c r="B1485" s="312" t="s">
        <x:v>13</x:v>
      </x:c>
      <x:c r="C1485" s="312" t="s">
        <x:v>36</x:v>
      </x:c>
      <x:c r="D1485" s="317">
        <x:v>2</x:v>
      </x:c>
      <x:c r="E1485" s="321">
        <x:v>8000</x:v>
      </x:c>
      <x:c r="F1485" s="321">
        <x:v>16000</x:v>
      </x:c>
      <x:c r="G1485" s="321">
        <x:v>4000</x:v>
      </x:c>
      <x:c r="H1485" s="312" t="s">
        <x:v>49</x:v>
      </x:c>
      <x:c r="I1485" s="312" t="s">
        <x:v>41</x:v>
      </x:c>
      <x:c r="J1485" s="316" t="n">
        <x:f>IFERROR(G1485/F1485,0)</x:f>
        <x:v>0.25</x:v>
      </x:c>
      <x:c r="K1485" s="312" t="str">
        <x:f>IF(B1485="Bilinmeyen Personel","Kontrol","OK")</x:f>
        <x:v>OK</x:v>
      </x:c>
    </x:row>
    <x:row r="1486" hidden="1">
      <x:c r="A1486" s="312" t="n">
        <x:f>ROW()-ROW($A$2)+1</x:f>
        <x:v>1485</x:v>
      </x:c>
      <x:c r="B1486" s="312" t="s">
        <x:v>32</x:v>
      </x:c>
      <x:c r="C1486" s="312" t="s">
        <x:v>14</x:v>
      </x:c>
      <x:c r="D1486" s="317">
        <x:v>5</x:v>
      </x:c>
      <x:c r="E1486" s="321">
        <x:v>1400</x:v>
      </x:c>
      <x:c r="F1486" s="321">
        <x:v>7000</x:v>
      </x:c>
      <x:c r="G1486" s="321">
        <x:v>3000</x:v>
      </x:c>
      <x:c r="H1486" s="312" t="s">
        <x:v>49</x:v>
      </x:c>
      <x:c r="I1486" s="312" t="s">
        <x:v>41</x:v>
      </x:c>
      <x:c r="J1486" s="316" t="n">
        <x:f>IFERROR(G1486/F1486,0)</x:f>
        <x:v>0.42857142857142855</x:v>
      </x:c>
      <x:c r="K1486" s="312" t="str">
        <x:f>IF(B1486="Bilinmeyen Personel","Kontrol","OK")</x:f>
        <x:v>OK</x:v>
      </x:c>
    </x:row>
    <x:row r="1487" hidden="1">
      <x:c r="A1487" s="312" t="n">
        <x:f>ROW()-ROW($A$2)+1</x:f>
        <x:v>1486</x:v>
      </x:c>
      <x:c r="B1487" s="312" t="s">
        <x:v>29</x:v>
      </x:c>
      <x:c r="C1487" s="312" t="s">
        <x:v>20</x:v>
      </x:c>
      <x:c r="D1487" s="317">
        <x:v>3</x:v>
      </x:c>
      <x:c r="E1487" s="321">
        <x:v>1350</x:v>
      </x:c>
      <x:c r="F1487" s="321">
        <x:v>4050</x:v>
      </x:c>
      <x:c r="G1487" s="321">
        <x:v>1650</x:v>
      </x:c>
      <x:c r="H1487" s="312" t="s">
        <x:v>49</x:v>
      </x:c>
      <x:c r="I1487" s="312" t="s">
        <x:v>28</x:v>
      </x:c>
      <x:c r="J1487" s="316" t="n">
        <x:f>IFERROR(G1487/F1487,0)</x:f>
        <x:v>0.4074074074074074</x:v>
      </x:c>
      <x:c r="K1487" s="312" t="str">
        <x:f>IF(B1487="Bilinmeyen Personel","Kontrol","OK")</x:f>
        <x:v>OK</x:v>
      </x:c>
    </x:row>
    <x:row r="1488" hidden="1">
      <x:c r="A1488" s="312" t="n">
        <x:f>ROW()-ROW($A$2)+1</x:f>
        <x:v>1487</x:v>
      </x:c>
      <x:c r="B1488" s="312" t="s">
        <x:v>38</x:v>
      </x:c>
      <x:c r="C1488" s="312" t="s">
        <x:v>53</x:v>
      </x:c>
      <x:c r="D1488" s="317">
        <x:v>3</x:v>
      </x:c>
      <x:c r="E1488" s="321">
        <x:v>1200</x:v>
      </x:c>
      <x:c r="F1488" s="321">
        <x:v>3600</x:v>
      </x:c>
      <x:c r="G1488" s="321">
        <x:v>1200</x:v>
      </x:c>
      <x:c r="H1488" s="312" t="s">
        <x:v>49</x:v>
      </x:c>
      <x:c r="I1488" s="312" t="s">
        <x:v>54</x:v>
      </x:c>
      <x:c r="J1488" s="316" t="n">
        <x:f>IFERROR(G1488/F1488,0)</x:f>
        <x:v>0.3333333333333333</x:v>
      </x:c>
      <x:c r="K1488" s="312" t="str">
        <x:f>IF(B1488="Bilinmeyen Personel","Kontrol","OK")</x:f>
        <x:v>OK</x:v>
      </x:c>
    </x:row>
    <x:row r="1489" hidden="1">
      <x:c r="A1489" s="312" t="n">
        <x:f>ROW()-ROW($A$2)+1</x:f>
        <x:v>1488</x:v>
      </x:c>
      <x:c r="B1489" s="312" t="s">
        <x:v>32</x:v>
      </x:c>
      <x:c r="C1489" s="312" t="s">
        <x:v>56</x:v>
      </x:c>
      <x:c r="D1489" s="317">
        <x:v>5</x:v>
      </x:c>
      <x:c r="E1489" s="321">
        <x:v>5300</x:v>
      </x:c>
      <x:c r="F1489" s="321">
        <x:v>26500</x:v>
      </x:c>
      <x:c r="G1489" s="321">
        <x:v>6500</x:v>
      </x:c>
      <x:c r="H1489" s="312" t="s">
        <x:v>49</x:v>
      </x:c>
      <x:c r="I1489" s="312" t="s">
        <x:v>54</x:v>
      </x:c>
      <x:c r="J1489" s="316" t="n">
        <x:f>IFERROR(G1489/F1489,0)</x:f>
        <x:v>0.24528301886792453</x:v>
      </x:c>
      <x:c r="K1489" s="312" t="str">
        <x:f>IF(B1489="Bilinmeyen Personel","Kontrol","OK")</x:f>
        <x:v>OK</x:v>
      </x:c>
    </x:row>
    <x:row r="1490" hidden="1">
      <x:c r="A1490" s="312" t="n">
        <x:f>ROW()-ROW($A$2)+1</x:f>
        <x:v>1489</x:v>
      </x:c>
      <x:c r="B1490" s="312" t="s">
        <x:v>40</x:v>
      </x:c>
      <x:c r="C1490" s="312" t="s">
        <x:v>39</x:v>
      </x:c>
      <x:c r="D1490" s="317">
        <x:v>4</x:v>
      </x:c>
      <x:c r="E1490" s="321">
        <x:v>10590</x:v>
      </x:c>
      <x:c r="F1490" s="321">
        <x:v>42360</x:v>
      </x:c>
      <x:c r="G1490" s="321">
        <x:v>18360</x:v>
      </x:c>
      <x:c r="H1490" s="312" t="s">
        <x:v>49</x:v>
      </x:c>
      <x:c r="I1490" s="312" t="s">
        <x:v>42</x:v>
      </x:c>
      <x:c r="J1490" s="316" t="n">
        <x:f>IFERROR(G1490/F1490,0)</x:f>
        <x:v>0.43342776203966005</x:v>
      </x:c>
      <x:c r="K1490" s="312" t="str">
        <x:f>IF(B1490="Bilinmeyen Personel","Kontrol","OK")</x:f>
        <x:v>OK</x:v>
      </x:c>
    </x:row>
    <x:row r="1491" hidden="1">
      <x:c r="A1491" s="312" t="n">
        <x:f>ROW()-ROW($A$2)+1</x:f>
        <x:v>1490</x:v>
      </x:c>
      <x:c r="B1491" s="312" t="s">
        <x:v>23</x:v>
      </x:c>
      <x:c r="C1491" s="312" t="s">
        <x:v>52</x:v>
      </x:c>
      <x:c r="D1491" s="317">
        <x:v>4</x:v>
      </x:c>
      <x:c r="E1491" s="321">
        <x:v>1250</x:v>
      </x:c>
      <x:c r="F1491" s="321">
        <x:v>5000</x:v>
      </x:c>
      <x:c r="G1491" s="321">
        <x:v>1800</x:v>
      </x:c>
      <x:c r="H1491" s="312" t="s">
        <x:v>49</x:v>
      </x:c>
      <x:c r="I1491" s="312" t="s">
        <x:v>37</x:v>
      </x:c>
      <x:c r="J1491" s="316" t="n">
        <x:f>IFERROR(G1491/F1491,0)</x:f>
        <x:v>0.36</x:v>
      </x:c>
      <x:c r="K1491" s="312" t="str">
        <x:f>IF(B1491="Bilinmeyen Personel","Kontrol","OK")</x:f>
        <x:v>OK</x:v>
      </x:c>
    </x:row>
    <x:row r="1492" hidden="1">
      <x:c r="A1492" s="312" t="n">
        <x:f>ROW()-ROW($A$2)+1</x:f>
        <x:v>1491</x:v>
      </x:c>
      <x:c r="B1492" s="312" t="s">
        <x:v>50</x:v>
      </x:c>
      <x:c r="C1492" s="312" t="s">
        <x:v>53</x:v>
      </x:c>
      <x:c r="D1492" s="317">
        <x:v>3</x:v>
      </x:c>
      <x:c r="E1492" s="321">
        <x:v>1200</x:v>
      </x:c>
      <x:c r="F1492" s="321">
        <x:v>3600</x:v>
      </x:c>
      <x:c r="G1492" s="321">
        <x:v>1200</x:v>
      </x:c>
      <x:c r="H1492" s="312" t="s">
        <x:v>49</x:v>
      </x:c>
      <x:c r="I1492" s="312" t="s">
        <x:v>44</x:v>
      </x:c>
      <x:c r="J1492" s="316" t="n">
        <x:f>IFERROR(G1492/F1492,0)</x:f>
        <x:v>0.3333333333333333</x:v>
      </x:c>
      <x:c r="K1492" s="312" t="str">
        <x:f>IF(B1492="Bilinmeyen Personel","Kontrol","OK")</x:f>
        <x:v>OK</x:v>
      </x:c>
    </x:row>
    <x:row r="1493" hidden="1">
      <x:c r="A1493" s="312" t="n">
        <x:f>ROW()-ROW($A$2)+1</x:f>
        <x:v>1492</x:v>
      </x:c>
      <x:c r="B1493" s="312" t="s">
        <x:v>23</x:v>
      </x:c>
      <x:c r="C1493" s="312" t="s">
        <x:v>14</x:v>
      </x:c>
      <x:c r="D1493" s="317">
        <x:v>2</x:v>
      </x:c>
      <x:c r="E1493" s="321">
        <x:v>1400</x:v>
      </x:c>
      <x:c r="F1493" s="321">
        <x:v>2800</x:v>
      </x:c>
      <x:c r="G1493" s="321">
        <x:v>1200</x:v>
      </x:c>
      <x:c r="H1493" s="312" t="s">
        <x:v>49</x:v>
      </x:c>
      <x:c r="I1493" s="312" t="s">
        <x:v>18</x:v>
      </x:c>
      <x:c r="J1493" s="316" t="n">
        <x:f>IFERROR(G1493/F1493,0)</x:f>
        <x:v>0.42857142857142855</x:v>
      </x:c>
      <x:c r="K1493" s="312" t="str">
        <x:f>IF(B1493="Bilinmeyen Personel","Kontrol","OK")</x:f>
        <x:v>OK</x:v>
      </x:c>
    </x:row>
    <x:row r="1494" hidden="1">
      <x:c r="A1494" s="312" t="n">
        <x:f>ROW()-ROW($A$2)+1</x:f>
        <x:v>1493</x:v>
      </x:c>
      <x:c r="B1494" s="312" t="s">
        <x:v>50</x:v>
      </x:c>
      <x:c r="C1494" s="312" t="s">
        <x:v>55</x:v>
      </x:c>
      <x:c r="D1494" s="317">
        <x:v>4</x:v>
      </x:c>
      <x:c r="E1494" s="321">
        <x:v>7530</x:v>
      </x:c>
      <x:c r="F1494" s="321">
        <x:v>30120</x:v>
      </x:c>
      <x:c r="G1494" s="321">
        <x:v>6120</x:v>
      </x:c>
      <x:c r="H1494" s="312" t="s">
        <x:v>49</x:v>
      </x:c>
      <x:c r="I1494" s="312" t="s">
        <x:v>28</x:v>
      </x:c>
      <x:c r="J1494" s="316" t="n">
        <x:f>IFERROR(G1494/F1494,0)</x:f>
        <x:v>0.20318725099601595</x:v>
      </x:c>
      <x:c r="K1494" s="312" t="str">
        <x:f>IF(B1494="Bilinmeyen Personel","Kontrol","OK")</x:f>
        <x:v>OK</x:v>
      </x:c>
    </x:row>
    <x:row r="1495" hidden="1">
      <x:c r="A1495" s="312" t="n">
        <x:f>ROW()-ROW($A$2)+1</x:f>
        <x:v>1494</x:v>
      </x:c>
      <x:c r="B1495" s="312" t="s">
        <x:v>32</x:v>
      </x:c>
      <x:c r="C1495" s="312" t="s">
        <x:v>24</x:v>
      </x:c>
      <x:c r="D1495" s="317">
        <x:v>5</x:v>
      </x:c>
      <x:c r="E1495" s="321">
        <x:v>7600</x:v>
      </x:c>
      <x:c r="F1495" s="321">
        <x:v>38000</x:v>
      </x:c>
      <x:c r="G1495" s="321">
        <x:v>8000</x:v>
      </x:c>
      <x:c r="H1495" s="312" t="s">
        <x:v>49</x:v>
      </x:c>
      <x:c r="I1495" s="312" t="s">
        <x:v>31</x:v>
      </x:c>
      <x:c r="J1495" s="316" t="n">
        <x:f>IFERROR(G1495/F1495,0)</x:f>
        <x:v>0.21052631578947367</x:v>
      </x:c>
      <x:c r="K1495" s="312" t="str">
        <x:f>IF(B1495="Bilinmeyen Personel","Kontrol","OK")</x:f>
        <x:v>OK</x:v>
      </x:c>
    </x:row>
    <x:row r="1496" hidden="1">
      <x:c r="A1496" s="312" t="n">
        <x:f>ROW()-ROW($A$2)+1</x:f>
        <x:v>1495</x:v>
      </x:c>
      <x:c r="B1496" s="312" t="s">
        <x:v>50</x:v>
      </x:c>
      <x:c r="C1496" s="312" t="s">
        <x:v>57</x:v>
      </x:c>
      <x:c r="D1496" s="317">
        <x:v>3</x:v>
      </x:c>
      <x:c r="E1496" s="321">
        <x:v>1500</x:v>
      </x:c>
      <x:c r="F1496" s="321">
        <x:v>4500</x:v>
      </x:c>
      <x:c r="G1496" s="321">
        <x:v>2100</x:v>
      </x:c>
      <x:c r="H1496" s="312" t="s">
        <x:v>49</x:v>
      </x:c>
      <x:c r="I1496" s="312" t="s">
        <x:v>37</x:v>
      </x:c>
      <x:c r="J1496" s="316" t="n">
        <x:f>IFERROR(G1496/F1496,0)</x:f>
        <x:v>0.4666666666666667</x:v>
      </x:c>
      <x:c r="K1496" s="312" t="str">
        <x:f>IF(B1496="Bilinmeyen Personel","Kontrol","OK")</x:f>
        <x:v>OK</x:v>
      </x:c>
    </x:row>
    <x:row r="1497" hidden="1">
      <x:c r="A1497" s="312" t="n">
        <x:f>ROW()-ROW($A$2)+1</x:f>
        <x:v>1496</x:v>
      </x:c>
      <x:c r="B1497" s="312" t="s">
        <x:v>40</x:v>
      </x:c>
      <x:c r="C1497" s="312" t="s">
        <x:v>22</x:v>
      </x:c>
      <x:c r="D1497" s="317">
        <x:v>5</x:v>
      </x:c>
      <x:c r="E1497" s="321">
        <x:v>2180</x:v>
      </x:c>
      <x:c r="F1497" s="321">
        <x:v>10900</x:v>
      </x:c>
      <x:c r="G1497" s="321">
        <x:v>3400</x:v>
      </x:c>
      <x:c r="H1497" s="312" t="s">
        <x:v>49</x:v>
      </x:c>
      <x:c r="I1497" s="312" t="s">
        <x:v>31</x:v>
      </x:c>
      <x:c r="J1497" s="316" t="n">
        <x:f>IFERROR(G1497/F1497,0)</x:f>
        <x:v>0.3119266055045872</x:v>
      </x:c>
      <x:c r="K1497" s="312" t="str">
        <x:f>IF(B1497="Bilinmeyen Personel","Kontrol","OK")</x:f>
        <x:v>OK</x:v>
      </x:c>
    </x:row>
    <x:row r="1498" hidden="1">
      <x:c r="A1498" s="312" t="n">
        <x:f>ROW()-ROW($A$2)+1</x:f>
        <x:v>1497</x:v>
      </x:c>
      <x:c r="B1498" s="312" t="s">
        <x:v>19</x:v>
      </x:c>
      <x:c r="C1498" s="312" t="s">
        <x:v>22</x:v>
      </x:c>
      <x:c r="D1498" s="317">
        <x:v>2</x:v>
      </x:c>
      <x:c r="E1498" s="321">
        <x:v>2180</x:v>
      </x:c>
      <x:c r="F1498" s="321">
        <x:v>4360</x:v>
      </x:c>
      <x:c r="G1498" s="321">
        <x:v>1360</x:v>
      </x:c>
      <x:c r="H1498" s="312" t="s">
        <x:v>49</x:v>
      </x:c>
      <x:c r="I1498" s="312" t="s">
        <x:v>37</x:v>
      </x:c>
      <x:c r="J1498" s="316" t="n">
        <x:f>IFERROR(G1498/F1498,0)</x:f>
        <x:v>0.3119266055045872</x:v>
      </x:c>
      <x:c r="K1498" s="312" t="str">
        <x:f>IF(B1498="Bilinmeyen Personel","Kontrol","OK")</x:f>
        <x:v>OK</x:v>
      </x:c>
    </x:row>
    <x:row r="1499" hidden="1">
      <x:c r="A1499" s="312" t="n">
        <x:f>ROW()-ROW($A$2)+1</x:f>
        <x:v>1498</x:v>
      </x:c>
      <x:c r="B1499" s="312" t="s">
        <x:v>40</x:v>
      </x:c>
      <x:c r="C1499" s="312" t="s">
        <x:v>47</x:v>
      </x:c>
      <x:c r="D1499" s="317">
        <x:v>5</x:v>
      </x:c>
      <x:c r="E1499" s="321">
        <x:v>5775</x:v>
      </x:c>
      <x:c r="F1499" s="321">
        <x:v>28875</x:v>
      </x:c>
      <x:c r="G1499" s="321">
        <x:v>8875</x:v>
      </x:c>
      <x:c r="H1499" s="312" t="s">
        <x:v>49</x:v>
      </x:c>
      <x:c r="I1499" s="312" t="s">
        <x:v>54</x:v>
      </x:c>
      <x:c r="J1499" s="316" t="n">
        <x:f>IFERROR(G1499/F1499,0)</x:f>
        <x:v>0.30735930735930733</x:v>
      </x:c>
      <x:c r="K1499" s="312" t="str">
        <x:f>IF(B1499="Bilinmeyen Personel","Kontrol","OK")</x:f>
        <x:v>OK</x:v>
      </x:c>
    </x:row>
    <x:row r="1500" hidden="1">
      <x:c r="A1500" s="312" t="n">
        <x:f>ROW()-ROW($A$2)+1</x:f>
        <x:v>1499</x:v>
      </x:c>
      <x:c r="B1500" s="312" t="s">
        <x:v>40</x:v>
      </x:c>
      <x:c r="C1500" s="312" t="s">
        <x:v>27</x:v>
      </x:c>
      <x:c r="D1500" s="317">
        <x:v>5</x:v>
      </x:c>
      <x:c r="E1500" s="321">
        <x:v>1100</x:v>
      </x:c>
      <x:c r="F1500" s="321">
        <x:v>5500</x:v>
      </x:c>
      <x:c r="G1500" s="321">
        <x:v>1500</x:v>
      </x:c>
      <x:c r="H1500" s="312" t="s">
        <x:v>49</x:v>
      </x:c>
      <x:c r="I1500" s="312" t="s">
        <x:v>31</x:v>
      </x:c>
      <x:c r="J1500" s="316" t="n">
        <x:f>IFERROR(G1500/F1500,0)</x:f>
        <x:v>0.2727272727272727</x:v>
      </x:c>
      <x:c r="K1500" s="312" t="str">
        <x:f>IF(B1500="Bilinmeyen Personel","Kontrol","OK")</x:f>
        <x:v>OK</x:v>
      </x:c>
    </x:row>
    <x:row r="1501" hidden="1">
      <x:c r="A1501" s="312" t="n">
        <x:f>ROW()-ROW($A$2)+1</x:f>
        <x:v>1500</x:v>
      </x:c>
      <x:c r="B1501" s="312" t="s">
        <x:v>48</x:v>
      </x:c>
      <x:c r="C1501" s="312" t="s">
        <x:v>47</x:v>
      </x:c>
      <x:c r="D1501" s="317">
        <x:v>5</x:v>
      </x:c>
      <x:c r="E1501" s="321">
        <x:v>5775</x:v>
      </x:c>
      <x:c r="F1501" s="321">
        <x:v>28875</x:v>
      </x:c>
      <x:c r="G1501" s="321">
        <x:v>8875</x:v>
      </x:c>
      <x:c r="H1501" s="312" t="s">
        <x:v>49</x:v>
      </x:c>
      <x:c r="I1501" s="312" t="s">
        <x:v>46</x:v>
      </x:c>
      <x:c r="J1501" s="316" t="n">
        <x:f>IFERROR(G1501/F1501,0)</x:f>
        <x:v>0.30735930735930733</x:v>
      </x:c>
      <x:c r="K1501" s="312" t="str">
        <x:f>IF(B1501="Bilinmeyen Personel","Kontrol","OK")</x:f>
        <x:v>OK</x:v>
      </x:c>
    </x:row>
    <x:row r="1502" hidden="1">
      <x:c r="A1502" s="312" t="n">
        <x:f>ROW()-ROW($A$2)+1</x:f>
        <x:v>1501</x:v>
      </x:c>
      <x:c r="B1502" s="312" t="s">
        <x:v>35</x:v>
      </x:c>
      <x:c r="C1502" s="312" t="s">
        <x:v>20</x:v>
      </x:c>
      <x:c r="D1502" s="317">
        <x:v>3</x:v>
      </x:c>
      <x:c r="E1502" s="321">
        <x:v>1350</x:v>
      </x:c>
      <x:c r="F1502" s="321">
        <x:v>4050</x:v>
      </x:c>
      <x:c r="G1502" s="321">
        <x:v>1650</x:v>
      </x:c>
      <x:c r="H1502" s="312" t="s">
        <x:v>49</x:v>
      </x:c>
      <x:c r="I1502" s="312" t="s">
        <x:v>21</x:v>
      </x:c>
      <x:c r="J1502" s="316" t="n">
        <x:f>IFERROR(G1502/F1502,0)</x:f>
        <x:v>0.4074074074074074</x:v>
      </x:c>
      <x:c r="K1502" s="312" t="str">
        <x:f>IF(B1502="Bilinmeyen Personel","Kontrol","OK")</x:f>
        <x:v>OK</x:v>
      </x:c>
    </x:row>
    <x:row r="1503" hidden="1">
      <x:c r="A1503" s="312" t="n">
        <x:f>ROW()-ROW($A$2)+1</x:f>
        <x:v>1502</x:v>
      </x:c>
      <x:c r="B1503" s="312" t="s">
        <x:v>9</x:v>
      </x:c>
      <x:c r="C1503" s="312" t="s">
        <x:v>24</x:v>
      </x:c>
      <x:c r="D1503" s="317">
        <x:v>2</x:v>
      </x:c>
      <x:c r="E1503" s="321">
        <x:v>7600</x:v>
      </x:c>
      <x:c r="F1503" s="321">
        <x:v>15200</x:v>
      </x:c>
      <x:c r="G1503" s="321">
        <x:v>3200</x:v>
      </x:c>
      <x:c r="H1503" s="312" t="s">
        <x:v>49</x:v>
      </x:c>
      <x:c r="I1503" s="312" t="s">
        <x:v>12</x:v>
      </x:c>
      <x:c r="J1503" s="316" t="n">
        <x:f>IFERROR(G1503/F1503,0)</x:f>
        <x:v>0.21052631578947367</x:v>
      </x:c>
      <x:c r="K1503" s="312" t="str">
        <x:f>IF(B1503="Bilinmeyen Personel","Kontrol","OK")</x:f>
        <x:v>OK</x:v>
      </x:c>
    </x:row>
    <x:row r="1504" hidden="1">
      <x:c r="A1504" s="312" t="n">
        <x:f>ROW()-ROW($A$2)+1</x:f>
        <x:v>1503</x:v>
      </x:c>
      <x:c r="B1504" s="312" t="s">
        <x:v>16</x:v>
      </x:c>
      <x:c r="C1504" s="312" t="s">
        <x:v>26</x:v>
      </x:c>
      <x:c r="D1504" s="317">
        <x:v>5</x:v>
      </x:c>
      <x:c r="E1504" s="321">
        <x:v>7250</x:v>
      </x:c>
      <x:c r="F1504" s="321">
        <x:v>36250</x:v>
      </x:c>
      <x:c r="G1504" s="321">
        <x:v>11250</x:v>
      </x:c>
      <x:c r="H1504" s="312" t="s">
        <x:v>49</x:v>
      </x:c>
      <x:c r="I1504" s="312" t="s">
        <x:v>46</x:v>
      </x:c>
      <x:c r="J1504" s="316" t="n">
        <x:f>IFERROR(G1504/F1504,0)</x:f>
        <x:v>0.3103448275862069</x:v>
      </x:c>
      <x:c r="K1504" s="312" t="str">
        <x:f>IF(B1504="Bilinmeyen Personel","Kontrol","OK")</x:f>
        <x:v>OK</x:v>
      </x:c>
    </x:row>
    <x:row r="1505" hidden="1">
      <x:c r="A1505" s="312" t="n">
        <x:f>ROW()-ROW($A$2)+1</x:f>
        <x:v>1504</x:v>
      </x:c>
      <x:c r="B1505" s="312" t="s">
        <x:v>50</x:v>
      </x:c>
      <x:c r="C1505" s="312" t="s">
        <x:v>43</x:v>
      </x:c>
      <x:c r="D1505" s="317">
        <x:v>3</x:v>
      </x:c>
      <x:c r="E1505" s="321">
        <x:v>1490</x:v>
      </x:c>
      <x:c r="F1505" s="321">
        <x:v>4470</x:v>
      </x:c>
      <x:c r="G1505" s="321">
        <x:v>2070</x:v>
      </x:c>
      <x:c r="H1505" s="312" t="s">
        <x:v>49</x:v>
      </x:c>
      <x:c r="I1505" s="312" t="s">
        <x:v>41</x:v>
      </x:c>
      <x:c r="J1505" s="316" t="n">
        <x:f>IFERROR(G1505/F1505,0)</x:f>
        <x:v>0.46308724832214765</x:v>
      </x:c>
      <x:c r="K1505" s="312" t="str">
        <x:f>IF(B1505="Bilinmeyen Personel","Kontrol","OK")</x:f>
        <x:v>OK</x:v>
      </x:c>
    </x:row>
    <x:row r="1506" hidden="1">
      <x:c r="A1506" s="312" t="n">
        <x:f>ROW()-ROW($A$2)+1</x:f>
        <x:v>1505</x:v>
      </x:c>
      <x:c r="B1506" s="312" t="s">
        <x:v>19</x:v>
      </x:c>
      <x:c r="C1506" s="312" t="s">
        <x:v>43</x:v>
      </x:c>
      <x:c r="D1506" s="317">
        <x:v>2</x:v>
      </x:c>
      <x:c r="E1506" s="321">
        <x:v>1490</x:v>
      </x:c>
      <x:c r="F1506" s="321">
        <x:v>2980</x:v>
      </x:c>
      <x:c r="G1506" s="321">
        <x:v>1380</x:v>
      </x:c>
      <x:c r="H1506" s="312" t="s">
        <x:v>49</x:v>
      </x:c>
      <x:c r="I1506" s="312" t="s">
        <x:v>42</x:v>
      </x:c>
      <x:c r="J1506" s="316" t="n">
        <x:f>IFERROR(G1506/F1506,0)</x:f>
        <x:v>0.46308724832214765</x:v>
      </x:c>
      <x:c r="K1506" s="312" t="str">
        <x:f>IF(B1506="Bilinmeyen Personel","Kontrol","OK")</x:f>
        <x:v>OK</x:v>
      </x:c>
    </x:row>
    <x:row r="1507" hidden="1">
      <x:c r="A1507" s="312" t="n">
        <x:f>ROW()-ROW($A$2)+1</x:f>
        <x:v>1506</x:v>
      </x:c>
      <x:c r="B1507" s="312" t="s">
        <x:v>38</x:v>
      </x:c>
      <x:c r="C1507" s="312" t="s">
        <x:v>34</x:v>
      </x:c>
      <x:c r="D1507" s="317">
        <x:v>2</x:v>
      </x:c>
      <x:c r="E1507" s="321">
        <x:v>1090</x:v>
      </x:c>
      <x:c r="F1507" s="321">
        <x:v>2180</x:v>
      </x:c>
      <x:c r="G1507" s="321">
        <x:v>580</x:v>
      </x:c>
      <x:c r="H1507" s="312" t="s">
        <x:v>49</x:v>
      </x:c>
      <x:c r="I1507" s="312" t="s">
        <x:v>42</x:v>
      </x:c>
      <x:c r="J1507" s="316" t="n">
        <x:f>IFERROR(G1507/F1507,0)</x:f>
        <x:v>0.26605504587155965</x:v>
      </x:c>
      <x:c r="K1507" s="312" t="str">
        <x:f>IF(B1507="Bilinmeyen Personel","Kontrol","OK")</x:f>
        <x:v>OK</x:v>
      </x:c>
    </x:row>
    <x:row r="1508" hidden="1">
      <x:c r="A1508" s="312" t="n">
        <x:f>ROW()-ROW($A$2)+1</x:f>
        <x:v>1507</x:v>
      </x:c>
      <x:c r="B1508" s="312" t="s">
        <x:v>38</x:v>
      </x:c>
      <x:c r="C1508" s="312" t="s">
        <x:v>30</x:v>
      </x:c>
      <x:c r="D1508" s="317">
        <x:v>3</x:v>
      </x:c>
      <x:c r="E1508" s="321">
        <x:v>1200</x:v>
      </x:c>
      <x:c r="F1508" s="321">
        <x:v>3600</x:v>
      </x:c>
      <x:c r="G1508" s="321">
        <x:v>1200</x:v>
      </x:c>
      <x:c r="H1508" s="312" t="s">
        <x:v>49</x:v>
      </x:c>
      <x:c r="I1508" s="312" t="s">
        <x:v>37</x:v>
      </x:c>
      <x:c r="J1508" s="316" t="n">
        <x:f>IFERROR(G1508/F1508,0)</x:f>
        <x:v>0.3333333333333333</x:v>
      </x:c>
      <x:c r="K1508" s="312" t="str">
        <x:f>IF(B1508="Bilinmeyen Personel","Kontrol","OK")</x:f>
        <x:v>OK</x:v>
      </x:c>
    </x:row>
    <x:row r="1509" hidden="1">
      <x:c r="A1509" s="312" t="n">
        <x:f>ROW()-ROW($A$2)+1</x:f>
        <x:v>1508</x:v>
      </x:c>
      <x:c r="B1509" s="312" t="s">
        <x:v>50</x:v>
      </x:c>
      <x:c r="C1509" s="312" t="s">
        <x:v>34</x:v>
      </x:c>
      <x:c r="D1509" s="317">
        <x:v>2</x:v>
      </x:c>
      <x:c r="E1509" s="321">
        <x:v>1090</x:v>
      </x:c>
      <x:c r="F1509" s="321">
        <x:v>2180</x:v>
      </x:c>
      <x:c r="G1509" s="321">
        <x:v>580</x:v>
      </x:c>
      <x:c r="H1509" s="312" t="s">
        <x:v>49</x:v>
      </x:c>
      <x:c r="I1509" s="312" t="s">
        <x:v>12</x:v>
      </x:c>
      <x:c r="J1509" s="316" t="n">
        <x:f>IFERROR(G1509/F1509,0)</x:f>
        <x:v>0.26605504587155965</x:v>
      </x:c>
      <x:c r="K1509" s="312" t="str">
        <x:f>IF(B1509="Bilinmeyen Personel","Kontrol","OK")</x:f>
        <x:v>OK</x:v>
      </x:c>
    </x:row>
    <x:row r="1510" hidden="1">
      <x:c r="A1510" s="312" t="n">
        <x:f>ROW()-ROW($A$2)+1</x:f>
        <x:v>1509</x:v>
      </x:c>
      <x:c r="B1510" s="312" t="s">
        <x:v>50</x:v>
      </x:c>
      <x:c r="C1510" s="312" t="s">
        <x:v>22</x:v>
      </x:c>
      <x:c r="D1510" s="317">
        <x:v>2</x:v>
      </x:c>
      <x:c r="E1510" s="321">
        <x:v>2180</x:v>
      </x:c>
      <x:c r="F1510" s="321">
        <x:v>4360</x:v>
      </x:c>
      <x:c r="G1510" s="321">
        <x:v>1360</x:v>
      </x:c>
      <x:c r="H1510" s="312" t="s">
        <x:v>49</x:v>
      </x:c>
      <x:c r="I1510" s="312" t="s">
        <x:v>31</x:v>
      </x:c>
      <x:c r="J1510" s="316" t="n">
        <x:f>IFERROR(G1510/F1510,0)</x:f>
        <x:v>0.3119266055045872</x:v>
      </x:c>
      <x:c r="K1510" s="312" t="str">
        <x:f>IF(B1510="Bilinmeyen Personel","Kontrol","OK")</x:f>
        <x:v>OK</x:v>
      </x:c>
    </x:row>
    <x:row r="1511" hidden="1">
      <x:c r="A1511" s="312" t="n">
        <x:f>ROW()-ROW($A$2)+1</x:f>
        <x:v>1510</x:v>
      </x:c>
      <x:c r="B1511" s="312" t="s">
        <x:v>16</x:v>
      </x:c>
      <x:c r="C1511" s="312" t="s">
        <x:v>56</x:v>
      </x:c>
      <x:c r="D1511" s="317">
        <x:v>4</x:v>
      </x:c>
      <x:c r="E1511" s="321">
        <x:v>5300</x:v>
      </x:c>
      <x:c r="F1511" s="321">
        <x:v>21200</x:v>
      </x:c>
      <x:c r="G1511" s="321">
        <x:v>5200</x:v>
      </x:c>
      <x:c r="H1511" s="312" t="s">
        <x:v>49</x:v>
      </x:c>
      <x:c r="I1511" s="312" t="s">
        <x:v>15</x:v>
      </x:c>
      <x:c r="J1511" s="316" t="n">
        <x:f>IFERROR(G1511/F1511,0)</x:f>
        <x:v>0.24528301886792453</x:v>
      </x:c>
      <x:c r="K1511" s="312" t="str">
        <x:f>IF(B1511="Bilinmeyen Personel","Kontrol","OK")</x:f>
        <x:v>OK</x:v>
      </x:c>
    </x:row>
    <x:row r="1512" hidden="1">
      <x:c r="A1512" s="312" t="n">
        <x:f>ROW()-ROW($A$2)+1</x:f>
        <x:v>1511</x:v>
      </x:c>
      <x:c r="B1512" s="312" t="s">
        <x:v>50</x:v>
      </x:c>
      <x:c r="C1512" s="312" t="s">
        <x:v>56</x:v>
      </x:c>
      <x:c r="D1512" s="317">
        <x:v>4</x:v>
      </x:c>
      <x:c r="E1512" s="321">
        <x:v>5300</x:v>
      </x:c>
      <x:c r="F1512" s="321">
        <x:v>21200</x:v>
      </x:c>
      <x:c r="G1512" s="321">
        <x:v>5200</x:v>
      </x:c>
      <x:c r="H1512" s="312" t="s">
        <x:v>49</x:v>
      </x:c>
      <x:c r="I1512" s="312" t="s">
        <x:v>37</x:v>
      </x:c>
      <x:c r="J1512" s="316" t="n">
        <x:f>IFERROR(G1512/F1512,0)</x:f>
        <x:v>0.24528301886792453</x:v>
      </x:c>
      <x:c r="K1512" s="312" t="str">
        <x:f>IF(B1512="Bilinmeyen Personel","Kontrol","OK")</x:f>
        <x:v>OK</x:v>
      </x:c>
    </x:row>
    <x:row r="1513" hidden="1">
      <x:c r="A1513" s="312" t="n">
        <x:f>ROW()-ROW($A$2)+1</x:f>
        <x:v>1512</x:v>
      </x:c>
      <x:c r="B1513" s="312" t="s">
        <x:v>29</x:v>
      </x:c>
      <x:c r="C1513" s="312" t="s">
        <x:v>26</x:v>
      </x:c>
      <x:c r="D1513" s="317">
        <x:v>4</x:v>
      </x:c>
      <x:c r="E1513" s="321">
        <x:v>7250</x:v>
      </x:c>
      <x:c r="F1513" s="321">
        <x:v>29000</x:v>
      </x:c>
      <x:c r="G1513" s="321">
        <x:v>9000</x:v>
      </x:c>
      <x:c r="H1513" s="312" t="s">
        <x:v>49</x:v>
      </x:c>
      <x:c r="I1513" s="312" t="s">
        <x:v>31</x:v>
      </x:c>
      <x:c r="J1513" s="316" t="n">
        <x:f>IFERROR(G1513/F1513,0)</x:f>
        <x:v>0.3103448275862069</x:v>
      </x:c>
      <x:c r="K1513" s="312" t="str">
        <x:f>IF(B1513="Bilinmeyen Personel","Kontrol","OK")</x:f>
        <x:v>OK</x:v>
      </x:c>
    </x:row>
    <x:row r="1514" hidden="1">
      <x:c r="A1514" s="312" t="n">
        <x:f>ROW()-ROW($A$2)+1</x:f>
        <x:v>1513</x:v>
      </x:c>
      <x:c r="B1514" s="312" t="s">
        <x:v>29</x:v>
      </x:c>
      <x:c r="C1514" s="312" t="s">
        <x:v>53</x:v>
      </x:c>
      <x:c r="D1514" s="317">
        <x:v>2</x:v>
      </x:c>
      <x:c r="E1514" s="321">
        <x:v>1200</x:v>
      </x:c>
      <x:c r="F1514" s="321">
        <x:v>2400</x:v>
      </x:c>
      <x:c r="G1514" s="321">
        <x:v>800</x:v>
      </x:c>
      <x:c r="H1514" s="312" t="s">
        <x:v>49</x:v>
      </x:c>
      <x:c r="I1514" s="312" t="s">
        <x:v>41</x:v>
      </x:c>
      <x:c r="J1514" s="316" t="n">
        <x:f>IFERROR(G1514/F1514,0)</x:f>
        <x:v>0.3333333333333333</x:v>
      </x:c>
      <x:c r="K1514" s="312" t="str">
        <x:f>IF(B1514="Bilinmeyen Personel","Kontrol","OK")</x:f>
        <x:v>OK</x:v>
      </x:c>
    </x:row>
    <x:row r="1515" hidden="1">
      <x:c r="A1515" s="312" t="n">
        <x:f>ROW()-ROW($A$2)+1</x:f>
        <x:v>1514</x:v>
      </x:c>
      <x:c r="B1515" s="312" t="s">
        <x:v>19</x:v>
      </x:c>
      <x:c r="C1515" s="312" t="s">
        <x:v>10</x:v>
      </x:c>
      <x:c r="D1515" s="317">
        <x:v>5</x:v>
      </x:c>
      <x:c r="E1515" s="321">
        <x:v>6000</x:v>
      </x:c>
      <x:c r="F1515" s="321">
        <x:v>30000</x:v>
      </x:c>
      <x:c r="G1515" s="321">
        <x:v>10000</x:v>
      </x:c>
      <x:c r="H1515" s="312" t="s">
        <x:v>49</x:v>
      </x:c>
      <x:c r="I1515" s="312" t="s">
        <x:v>42</x:v>
      </x:c>
      <x:c r="J1515" s="316" t="n">
        <x:f>IFERROR(G1515/F1515,0)</x:f>
        <x:v>0.3333333333333333</x:v>
      </x:c>
      <x:c r="K1515" s="312" t="str">
        <x:f>IF(B1515="Bilinmeyen Personel","Kontrol","OK")</x:f>
        <x:v>OK</x:v>
      </x:c>
    </x:row>
    <x:row r="1516" hidden="1">
      <x:c r="A1516" s="312" t="n">
        <x:f>ROW()-ROW($A$2)+1</x:f>
        <x:v>1515</x:v>
      </x:c>
      <x:c r="B1516" s="312" t="s">
        <x:v>16</x:v>
      </x:c>
      <x:c r="C1516" s="312" t="s">
        <x:v>17</x:v>
      </x:c>
      <x:c r="D1516" s="317">
        <x:v>4</x:v>
      </x:c>
      <x:c r="E1516" s="321">
        <x:v>8450</x:v>
      </x:c>
      <x:c r="F1516" s="321">
        <x:v>33800</x:v>
      </x:c>
      <x:c r="G1516" s="321">
        <x:v>9800</x:v>
      </x:c>
      <x:c r="H1516" s="312" t="s">
        <x:v>49</x:v>
      </x:c>
      <x:c r="I1516" s="312" t="s">
        <x:v>28</x:v>
      </x:c>
      <x:c r="J1516" s="316" t="n">
        <x:f>IFERROR(G1516/F1516,0)</x:f>
        <x:v>0.28994082840236685</x:v>
      </x:c>
      <x:c r="K1516" s="312" t="str">
        <x:f>IF(B1516="Bilinmeyen Personel","Kontrol","OK")</x:f>
        <x:v>OK</x:v>
      </x:c>
    </x:row>
    <x:row r="1517" hidden="1">
      <x:c r="A1517" s="312" t="n">
        <x:f>ROW()-ROW($A$2)+1</x:f>
        <x:v>1516</x:v>
      </x:c>
      <x:c r="B1517" s="312" t="s">
        <x:v>32</x:v>
      </x:c>
      <x:c r="C1517" s="312" t="s">
        <x:v>45</x:v>
      </x:c>
      <x:c r="D1517" s="317">
        <x:v>5</x:v>
      </x:c>
      <x:c r="E1517" s="321">
        <x:v>4200</x:v>
      </x:c>
      <x:c r="F1517" s="321">
        <x:v>21000</x:v>
      </x:c>
      <x:c r="G1517" s="321">
        <x:v>6000</x:v>
      </x:c>
      <x:c r="H1517" s="312" t="s">
        <x:v>49</x:v>
      </x:c>
      <x:c r="I1517" s="312" t="s">
        <x:v>25</x:v>
      </x:c>
      <x:c r="J1517" s="316" t="n">
        <x:f>IFERROR(G1517/F1517,0)</x:f>
        <x:v>0.2857142857142857</x:v>
      </x:c>
      <x:c r="K1517" s="312" t="str">
        <x:f>IF(B1517="Bilinmeyen Personel","Kontrol","OK")</x:f>
        <x:v>OK</x:v>
      </x:c>
    </x:row>
    <x:row r="1518" hidden="1">
      <x:c r="A1518" s="312" t="n">
        <x:f>ROW()-ROW($A$2)+1</x:f>
        <x:v>1517</x:v>
      </x:c>
      <x:c r="B1518" s="312" t="s">
        <x:v>32</x:v>
      </x:c>
      <x:c r="C1518" s="312" t="s">
        <x:v>39</x:v>
      </x:c>
      <x:c r="D1518" s="317">
        <x:v>3</x:v>
      </x:c>
      <x:c r="E1518" s="321">
        <x:v>10590</x:v>
      </x:c>
      <x:c r="F1518" s="321">
        <x:v>31770</x:v>
      </x:c>
      <x:c r="G1518" s="321">
        <x:v>13770</x:v>
      </x:c>
      <x:c r="H1518" s="312" t="s">
        <x:v>49</x:v>
      </x:c>
      <x:c r="I1518" s="312" t="s">
        <x:v>12</x:v>
      </x:c>
      <x:c r="J1518" s="316" t="n">
        <x:f>IFERROR(G1518/F1518,0)</x:f>
        <x:v>0.43342776203966005</x:v>
      </x:c>
      <x:c r="K1518" s="312" t="str">
        <x:f>IF(B1518="Bilinmeyen Personel","Kontrol","OK")</x:f>
        <x:v>OK</x:v>
      </x:c>
    </x:row>
    <x:row r="1519" hidden="1">
      <x:c r="A1519" s="312" t="n">
        <x:f>ROW()-ROW($A$2)+1</x:f>
        <x:v>1518</x:v>
      </x:c>
      <x:c r="B1519" s="312" t="s">
        <x:v>29</x:v>
      </x:c>
      <x:c r="C1519" s="312" t="s">
        <x:v>53</x:v>
      </x:c>
      <x:c r="D1519" s="317">
        <x:v>3</x:v>
      </x:c>
      <x:c r="E1519" s="321">
        <x:v>1200</x:v>
      </x:c>
      <x:c r="F1519" s="321">
        <x:v>3600</x:v>
      </x:c>
      <x:c r="G1519" s="321">
        <x:v>1200</x:v>
      </x:c>
      <x:c r="H1519" s="312" t="s">
        <x:v>49</x:v>
      </x:c>
      <x:c r="I1519" s="312" t="s">
        <x:v>46</x:v>
      </x:c>
      <x:c r="J1519" s="316" t="n">
        <x:f>IFERROR(G1519/F1519,0)</x:f>
        <x:v>0.3333333333333333</x:v>
      </x:c>
      <x:c r="K1519" s="312" t="str">
        <x:f>IF(B1519="Bilinmeyen Personel","Kontrol","OK")</x:f>
        <x:v>OK</x:v>
      </x:c>
    </x:row>
    <x:row r="1520" hidden="1">
      <x:c r="A1520" s="312" t="n">
        <x:f>ROW()-ROW($A$2)+1</x:f>
        <x:v>1519</x:v>
      </x:c>
      <x:c r="B1520" s="312" t="s">
        <x:v>48</x:v>
      </x:c>
      <x:c r="C1520" s="312" t="s">
        <x:v>27</x:v>
      </x:c>
      <x:c r="D1520" s="317">
        <x:v>5</x:v>
      </x:c>
      <x:c r="E1520" s="321">
        <x:v>1100</x:v>
      </x:c>
      <x:c r="F1520" s="321">
        <x:v>5500</x:v>
      </x:c>
      <x:c r="G1520" s="321">
        <x:v>1500</x:v>
      </x:c>
      <x:c r="H1520" s="312" t="s">
        <x:v>49</x:v>
      </x:c>
      <x:c r="I1520" s="312" t="s">
        <x:v>25</x:v>
      </x:c>
      <x:c r="J1520" s="316" t="n">
        <x:f>IFERROR(G1520/F1520,0)</x:f>
        <x:v>0.2727272727272727</x:v>
      </x:c>
      <x:c r="K1520" s="312" t="str">
        <x:f>IF(B1520="Bilinmeyen Personel","Kontrol","OK")</x:f>
        <x:v>OK</x:v>
      </x:c>
    </x:row>
    <x:row r="1521" hidden="1">
      <x:c r="A1521" s="312" t="n">
        <x:f>ROW()-ROW($A$2)+1</x:f>
        <x:v>1520</x:v>
      </x:c>
      <x:c r="B1521" s="312" t="s">
        <x:v>40</x:v>
      </x:c>
      <x:c r="C1521" s="312" t="s">
        <x:v>58</x:v>
      </x:c>
      <x:c r="D1521" s="317">
        <x:v>3</x:v>
      </x:c>
      <x:c r="E1521" s="321">
        <x:v>3700</x:v>
      </x:c>
      <x:c r="F1521" s="321">
        <x:v>11100</x:v>
      </x:c>
      <x:c r="G1521" s="321">
        <x:v>2100</x:v>
      </x:c>
      <x:c r="H1521" s="312" t="s">
        <x:v>49</x:v>
      </x:c>
      <x:c r="I1521" s="312" t="s">
        <x:v>21</x:v>
      </x:c>
      <x:c r="J1521" s="316" t="n">
        <x:f>IFERROR(G1521/F1521,0)</x:f>
        <x:v>0.1891891891891892</x:v>
      </x:c>
      <x:c r="K1521" s="312" t="str">
        <x:f>IF(B1521="Bilinmeyen Personel","Kontrol","OK")</x:f>
        <x:v>OK</x:v>
      </x:c>
    </x:row>
    <x:row r="1522" hidden="1">
      <x:c r="A1522" s="312" t="n">
        <x:f>ROW()-ROW($A$2)+1</x:f>
        <x:v>1521</x:v>
      </x:c>
      <x:c r="B1522" s="312" t="s">
        <x:v>13</x:v>
      </x:c>
      <x:c r="C1522" s="312" t="s">
        <x:v>58</x:v>
      </x:c>
      <x:c r="D1522" s="317">
        <x:v>3</x:v>
      </x:c>
      <x:c r="E1522" s="321">
        <x:v>3700</x:v>
      </x:c>
      <x:c r="F1522" s="321">
        <x:v>11100</x:v>
      </x:c>
      <x:c r="G1522" s="321">
        <x:v>2100</x:v>
      </x:c>
      <x:c r="H1522" s="312" t="s">
        <x:v>49</x:v>
      </x:c>
      <x:c r="I1522" s="312" t="s">
        <x:v>12</x:v>
      </x:c>
      <x:c r="J1522" s="316" t="n">
        <x:f>IFERROR(G1522/F1522,0)</x:f>
        <x:v>0.1891891891891892</x:v>
      </x:c>
      <x:c r="K1522" s="312" t="str">
        <x:f>IF(B1522="Bilinmeyen Personel","Kontrol","OK")</x:f>
        <x:v>OK</x:v>
      </x:c>
    </x:row>
    <x:row r="1523" hidden="1">
      <x:c r="A1523" s="312" t="n">
        <x:f>ROW()-ROW($A$2)+1</x:f>
        <x:v>1522</x:v>
      </x:c>
      <x:c r="B1523" s="312" t="s">
        <x:v>32</x:v>
      </x:c>
      <x:c r="C1523" s="312" t="s">
        <x:v>27</x:v>
      </x:c>
      <x:c r="D1523" s="317">
        <x:v>3</x:v>
      </x:c>
      <x:c r="E1523" s="321">
        <x:v>1100</x:v>
      </x:c>
      <x:c r="F1523" s="321">
        <x:v>3300</x:v>
      </x:c>
      <x:c r="G1523" s="321">
        <x:v>900</x:v>
      </x:c>
      <x:c r="H1523" s="312" t="s">
        <x:v>49</x:v>
      </x:c>
      <x:c r="I1523" s="312" t="s">
        <x:v>31</x:v>
      </x:c>
      <x:c r="J1523" s="316" t="n">
        <x:f>IFERROR(G1523/F1523,0)</x:f>
        <x:v>0.2727272727272727</x:v>
      </x:c>
      <x:c r="K1523" s="312" t="str">
        <x:f>IF(B1523="Bilinmeyen Personel","Kontrol","OK")</x:f>
        <x:v>OK</x:v>
      </x:c>
    </x:row>
    <x:row r="1524" hidden="1">
      <x:c r="A1524" s="312" t="n">
        <x:f>ROW()-ROW($A$2)+1</x:f>
        <x:v>1523</x:v>
      </x:c>
      <x:c r="B1524" s="312" t="s">
        <x:v>29</x:v>
      </x:c>
      <x:c r="C1524" s="312" t="s">
        <x:v>58</x:v>
      </x:c>
      <x:c r="D1524" s="317">
        <x:v>2</x:v>
      </x:c>
      <x:c r="E1524" s="321">
        <x:v>3700</x:v>
      </x:c>
      <x:c r="F1524" s="321">
        <x:v>7400</x:v>
      </x:c>
      <x:c r="G1524" s="321">
        <x:v>1400</x:v>
      </x:c>
      <x:c r="H1524" s="312" t="s">
        <x:v>59</x:v>
      </x:c>
      <x:c r="I1524" s="312" t="s">
        <x:v>41</x:v>
      </x:c>
      <x:c r="J1524" s="316" t="n">
        <x:f>IFERROR(G1524/F1524,0)</x:f>
        <x:v>0.1891891891891892</x:v>
      </x:c>
      <x:c r="K1524" s="312" t="str">
        <x:f>IF(B1524="Bilinmeyen Personel","Kontrol","OK")</x:f>
        <x:v>OK</x:v>
      </x:c>
    </x:row>
    <x:row r="1525" hidden="1">
      <x:c r="A1525" s="312" t="n">
        <x:f>ROW()-ROW($A$2)+1</x:f>
        <x:v>1524</x:v>
      </x:c>
      <x:c r="B1525" s="312" t="s">
        <x:v>48</x:v>
      </x:c>
      <x:c r="C1525" s="312" t="s">
        <x:v>43</x:v>
      </x:c>
      <x:c r="D1525" s="317">
        <x:v>2</x:v>
      </x:c>
      <x:c r="E1525" s="321">
        <x:v>1490</x:v>
      </x:c>
      <x:c r="F1525" s="321">
        <x:v>2980</x:v>
      </x:c>
      <x:c r="G1525" s="321">
        <x:v>1380</x:v>
      </x:c>
      <x:c r="H1525" s="312" t="s">
        <x:v>59</x:v>
      </x:c>
      <x:c r="I1525" s="312" t="s">
        <x:v>37</x:v>
      </x:c>
      <x:c r="J1525" s="316" t="n">
        <x:f>IFERROR(G1525/F1525,0)</x:f>
        <x:v>0.46308724832214765</x:v>
      </x:c>
      <x:c r="K1525" s="312" t="str">
        <x:f>IF(B1525="Bilinmeyen Personel","Kontrol","OK")</x:f>
        <x:v>OK</x:v>
      </x:c>
    </x:row>
    <x:row r="1526" hidden="1">
      <x:c r="A1526" s="312" t="n">
        <x:f>ROW()-ROW($A$2)+1</x:f>
        <x:v>1525</x:v>
      </x:c>
      <x:c r="B1526" s="312" t="s">
        <x:v>40</x:v>
      </x:c>
      <x:c r="C1526" s="312" t="s">
        <x:v>57</x:v>
      </x:c>
      <x:c r="D1526" s="317">
        <x:v>5</x:v>
      </x:c>
      <x:c r="E1526" s="321">
        <x:v>1500</x:v>
      </x:c>
      <x:c r="F1526" s="321">
        <x:v>7500</x:v>
      </x:c>
      <x:c r="G1526" s="321">
        <x:v>3500</x:v>
      </x:c>
      <x:c r="H1526" s="312" t="s">
        <x:v>59</x:v>
      </x:c>
      <x:c r="I1526" s="312" t="s">
        <x:v>31</x:v>
      </x:c>
      <x:c r="J1526" s="316" t="n">
        <x:f>IFERROR(G1526/F1526,0)</x:f>
        <x:v>0.4666666666666667</x:v>
      </x:c>
      <x:c r="K1526" s="312" t="str">
        <x:f>IF(B1526="Bilinmeyen Personel","Kontrol","OK")</x:f>
        <x:v>OK</x:v>
      </x:c>
    </x:row>
    <x:row r="1527" hidden="1">
      <x:c r="A1527" s="312" t="n">
        <x:f>ROW()-ROW($A$2)+1</x:f>
        <x:v>1526</x:v>
      </x:c>
      <x:c r="B1527" s="312" t="s">
        <x:v>38</x:v>
      </x:c>
      <x:c r="C1527" s="312" t="s">
        <x:v>34</x:v>
      </x:c>
      <x:c r="D1527" s="317">
        <x:v>5</x:v>
      </x:c>
      <x:c r="E1527" s="321">
        <x:v>1090</x:v>
      </x:c>
      <x:c r="F1527" s="321">
        <x:v>5450</x:v>
      </x:c>
      <x:c r="G1527" s="321">
        <x:v>1450</x:v>
      </x:c>
      <x:c r="H1527" s="312" t="s">
        <x:v>59</x:v>
      </x:c>
      <x:c r="I1527" s="312" t="s">
        <x:v>12</x:v>
      </x:c>
      <x:c r="J1527" s="316" t="n">
        <x:f>IFERROR(G1527/F1527,0)</x:f>
        <x:v>0.26605504587155965</x:v>
      </x:c>
      <x:c r="K1527" s="312" t="str">
        <x:f>IF(B1527="Bilinmeyen Personel","Kontrol","OK")</x:f>
        <x:v>OK</x:v>
      </x:c>
    </x:row>
    <x:row r="1528" hidden="1">
      <x:c r="A1528" s="312" t="n">
        <x:f>ROW()-ROW($A$2)+1</x:f>
        <x:v>1527</x:v>
      </x:c>
      <x:c r="B1528" s="312" t="s">
        <x:v>48</x:v>
      </x:c>
      <x:c r="C1528" s="312" t="s">
        <x:v>33</x:v>
      </x:c>
      <x:c r="D1528" s="317">
        <x:v>4</x:v>
      </x:c>
      <x:c r="E1528" s="321">
        <x:v>1800</x:v>
      </x:c>
      <x:c r="F1528" s="321">
        <x:v>7200</x:v>
      </x:c>
      <x:c r="G1528" s="321">
        <x:v>4000</x:v>
      </x:c>
      <x:c r="H1528" s="312" t="s">
        <x:v>59</x:v>
      </x:c>
      <x:c r="I1528" s="312" t="s">
        <x:v>12</x:v>
      </x:c>
      <x:c r="J1528" s="316" t="n">
        <x:f>IFERROR(G1528/F1528,0)</x:f>
        <x:v>0.5555555555555556</x:v>
      </x:c>
      <x:c r="K1528" s="312" t="str">
        <x:f>IF(B1528="Bilinmeyen Personel","Kontrol","OK")</x:f>
        <x:v>OK</x:v>
      </x:c>
    </x:row>
    <x:row r="1529" hidden="1">
      <x:c r="A1529" s="312" t="n">
        <x:f>ROW()-ROW($A$2)+1</x:f>
        <x:v>1528</x:v>
      </x:c>
      <x:c r="B1529" s="312" t="s">
        <x:v>35</x:v>
      </x:c>
      <x:c r="C1529" s="312" t="s">
        <x:v>55</x:v>
      </x:c>
      <x:c r="D1529" s="317">
        <x:v>2</x:v>
      </x:c>
      <x:c r="E1529" s="321">
        <x:v>7530</x:v>
      </x:c>
      <x:c r="F1529" s="321">
        <x:v>15060</x:v>
      </x:c>
      <x:c r="G1529" s="321">
        <x:v>3060</x:v>
      </x:c>
      <x:c r="H1529" s="312" t="s">
        <x:v>59</x:v>
      </x:c>
      <x:c r="I1529" s="312" t="s">
        <x:v>18</x:v>
      </x:c>
      <x:c r="J1529" s="316" t="n">
        <x:f>IFERROR(G1529/F1529,0)</x:f>
        <x:v>0.20318725099601595</x:v>
      </x:c>
      <x:c r="K1529" s="312" t="str">
        <x:f>IF(B1529="Bilinmeyen Personel","Kontrol","OK")</x:f>
        <x:v>OK</x:v>
      </x:c>
    </x:row>
    <x:row r="1530" hidden="1">
      <x:c r="A1530" s="312" t="n">
        <x:f>ROW()-ROW($A$2)+1</x:f>
        <x:v>1529</x:v>
      </x:c>
      <x:c r="B1530" s="312" t="s">
        <x:v>32</x:v>
      </x:c>
      <x:c r="C1530" s="312" t="s">
        <x:v>27</x:v>
      </x:c>
      <x:c r="D1530" s="317">
        <x:v>2</x:v>
      </x:c>
      <x:c r="E1530" s="321">
        <x:v>1100</x:v>
      </x:c>
      <x:c r="F1530" s="321">
        <x:v>2200</x:v>
      </x:c>
      <x:c r="G1530" s="321">
        <x:v>600</x:v>
      </x:c>
      <x:c r="H1530" s="312" t="s">
        <x:v>59</x:v>
      </x:c>
      <x:c r="I1530" s="312" t="s">
        <x:v>54</x:v>
      </x:c>
      <x:c r="J1530" s="316" t="n">
        <x:f>IFERROR(G1530/F1530,0)</x:f>
        <x:v>0.2727272727272727</x:v>
      </x:c>
      <x:c r="K1530" s="312" t="str">
        <x:f>IF(B1530="Bilinmeyen Personel","Kontrol","OK")</x:f>
        <x:v>OK</x:v>
      </x:c>
    </x:row>
    <x:row r="1531" hidden="1">
      <x:c r="A1531" s="312" t="n">
        <x:f>ROW()-ROW($A$2)+1</x:f>
        <x:v>1530</x:v>
      </x:c>
      <x:c r="B1531" s="312" t="s">
        <x:v>40</x:v>
      </x:c>
      <x:c r="C1531" s="312" t="s">
        <x:v>20</x:v>
      </x:c>
      <x:c r="D1531" s="317">
        <x:v>2</x:v>
      </x:c>
      <x:c r="E1531" s="321">
        <x:v>1350</x:v>
      </x:c>
      <x:c r="F1531" s="321">
        <x:v>2700</x:v>
      </x:c>
      <x:c r="G1531" s="321">
        <x:v>1100</x:v>
      </x:c>
      <x:c r="H1531" s="312" t="s">
        <x:v>59</x:v>
      </x:c>
      <x:c r="I1531" s="312" t="s">
        <x:v>31</x:v>
      </x:c>
      <x:c r="J1531" s="316" t="n">
        <x:f>IFERROR(G1531/F1531,0)</x:f>
        <x:v>0.4074074074074074</x:v>
      </x:c>
      <x:c r="K1531" s="312" t="str">
        <x:f>IF(B1531="Bilinmeyen Personel","Kontrol","OK")</x:f>
        <x:v>OK</x:v>
      </x:c>
    </x:row>
    <x:row r="1532" hidden="1">
      <x:c r="A1532" s="312" t="n">
        <x:f>ROW()-ROW($A$2)+1</x:f>
        <x:v>1531</x:v>
      </x:c>
      <x:c r="B1532" s="312" t="s">
        <x:v>38</x:v>
      </x:c>
      <x:c r="C1532" s="312" t="s">
        <x:v>20</x:v>
      </x:c>
      <x:c r="D1532" s="317">
        <x:v>3</x:v>
      </x:c>
      <x:c r="E1532" s="321">
        <x:v>1350</x:v>
      </x:c>
      <x:c r="F1532" s="321">
        <x:v>4050</x:v>
      </x:c>
      <x:c r="G1532" s="321">
        <x:v>1650</x:v>
      </x:c>
      <x:c r="H1532" s="312" t="s">
        <x:v>59</x:v>
      </x:c>
      <x:c r="I1532" s="312" t="s">
        <x:v>41</x:v>
      </x:c>
      <x:c r="J1532" s="316" t="n">
        <x:f>IFERROR(G1532/F1532,0)</x:f>
        <x:v>0.4074074074074074</x:v>
      </x:c>
      <x:c r="K1532" s="312" t="str">
        <x:f>IF(B1532="Bilinmeyen Personel","Kontrol","OK")</x:f>
        <x:v>OK</x:v>
      </x:c>
    </x:row>
    <x:row r="1533" hidden="1">
      <x:c r="A1533" s="312" t="n">
        <x:f>ROW()-ROW($A$2)+1</x:f>
        <x:v>1532</x:v>
      </x:c>
      <x:c r="B1533" s="312" t="s">
        <x:v>35</x:v>
      </x:c>
      <x:c r="C1533" s="312" t="s">
        <x:v>34</x:v>
      </x:c>
      <x:c r="D1533" s="317">
        <x:v>3</x:v>
      </x:c>
      <x:c r="E1533" s="321">
        <x:v>1090</x:v>
      </x:c>
      <x:c r="F1533" s="321">
        <x:v>3270</x:v>
      </x:c>
      <x:c r="G1533" s="321">
        <x:v>870</x:v>
      </x:c>
      <x:c r="H1533" s="312" t="s">
        <x:v>59</x:v>
      </x:c>
      <x:c r="I1533" s="312" t="s">
        <x:v>46</x:v>
      </x:c>
      <x:c r="J1533" s="316" t="n">
        <x:f>IFERROR(G1533/F1533,0)</x:f>
        <x:v>0.26605504587155965</x:v>
      </x:c>
      <x:c r="K1533" s="312" t="str">
        <x:f>IF(B1533="Bilinmeyen Personel","Kontrol","OK")</x:f>
        <x:v>OK</x:v>
      </x:c>
    </x:row>
    <x:row r="1534" hidden="1">
      <x:c r="A1534" s="312" t="n">
        <x:f>ROW()-ROW($A$2)+1</x:f>
        <x:v>1533</x:v>
      </x:c>
      <x:c r="B1534" s="312" t="s">
        <x:v>35</x:v>
      </x:c>
      <x:c r="C1534" s="312" t="s">
        <x:v>45</x:v>
      </x:c>
      <x:c r="D1534" s="317">
        <x:v>5</x:v>
      </x:c>
      <x:c r="E1534" s="321">
        <x:v>4200</x:v>
      </x:c>
      <x:c r="F1534" s="321">
        <x:v>21000</x:v>
      </x:c>
      <x:c r="G1534" s="321">
        <x:v>6000</x:v>
      </x:c>
      <x:c r="H1534" s="312" t="s">
        <x:v>59</x:v>
      </x:c>
      <x:c r="I1534" s="312" t="s">
        <x:v>31</x:v>
      </x:c>
      <x:c r="J1534" s="316" t="n">
        <x:f>IFERROR(G1534/F1534,0)</x:f>
        <x:v>0.2857142857142857</x:v>
      </x:c>
      <x:c r="K1534" s="312" t="str">
        <x:f>IF(B1534="Bilinmeyen Personel","Kontrol","OK")</x:f>
        <x:v>OK</x:v>
      </x:c>
    </x:row>
    <x:row r="1535" hidden="1">
      <x:c r="A1535" s="312" t="n">
        <x:f>ROW()-ROW($A$2)+1</x:f>
        <x:v>1534</x:v>
      </x:c>
      <x:c r="B1535" s="312" t="s">
        <x:v>40</x:v>
      </x:c>
      <x:c r="C1535" s="312" t="s">
        <x:v>33</x:v>
      </x:c>
      <x:c r="D1535" s="317">
        <x:v>4</x:v>
      </x:c>
      <x:c r="E1535" s="321">
        <x:v>1800</x:v>
      </x:c>
      <x:c r="F1535" s="321">
        <x:v>7200</x:v>
      </x:c>
      <x:c r="G1535" s="321">
        <x:v>4000</x:v>
      </x:c>
      <x:c r="H1535" s="312" t="s">
        <x:v>59</x:v>
      </x:c>
      <x:c r="I1535" s="312" t="s">
        <x:v>41</x:v>
      </x:c>
      <x:c r="J1535" s="316" t="n">
        <x:f>IFERROR(G1535/F1535,0)</x:f>
        <x:v>0.5555555555555556</x:v>
      </x:c>
      <x:c r="K1535" s="312" t="str">
        <x:f>IF(B1535="Bilinmeyen Personel","Kontrol","OK")</x:f>
        <x:v>OK</x:v>
      </x:c>
    </x:row>
    <x:row r="1536" hidden="1">
      <x:c r="A1536" s="312" t="n">
        <x:f>ROW()-ROW($A$2)+1</x:f>
        <x:v>1535</x:v>
      </x:c>
      <x:c r="B1536" s="312" t="s">
        <x:v>50</x:v>
      </x:c>
      <x:c r="C1536" s="312" t="s">
        <x:v>34</x:v>
      </x:c>
      <x:c r="D1536" s="317">
        <x:v>4</x:v>
      </x:c>
      <x:c r="E1536" s="321">
        <x:v>1090</x:v>
      </x:c>
      <x:c r="F1536" s="321">
        <x:v>4360</x:v>
      </x:c>
      <x:c r="G1536" s="321">
        <x:v>1160</x:v>
      </x:c>
      <x:c r="H1536" s="312" t="s">
        <x:v>59</x:v>
      </x:c>
      <x:c r="I1536" s="312" t="s">
        <x:v>41</x:v>
      </x:c>
      <x:c r="J1536" s="316" t="n">
        <x:f>IFERROR(G1536/F1536,0)</x:f>
        <x:v>0.26605504587155965</x:v>
      </x:c>
      <x:c r="K1536" s="312" t="str">
        <x:f>IF(B1536="Bilinmeyen Personel","Kontrol","OK")</x:f>
        <x:v>OK</x:v>
      </x:c>
    </x:row>
    <x:row r="1537" hidden="1">
      <x:c r="A1537" s="312" t="n">
        <x:f>ROW()-ROW($A$2)+1</x:f>
        <x:v>1536</x:v>
      </x:c>
      <x:c r="B1537" s="312" t="s">
        <x:v>9</x:v>
      </x:c>
      <x:c r="C1537" s="312" t="s">
        <x:v>24</x:v>
      </x:c>
      <x:c r="D1537" s="317">
        <x:v>2</x:v>
      </x:c>
      <x:c r="E1537" s="321">
        <x:v>7600</x:v>
      </x:c>
      <x:c r="F1537" s="321">
        <x:v>15200</x:v>
      </x:c>
      <x:c r="G1537" s="321">
        <x:v>3200</x:v>
      </x:c>
      <x:c r="H1537" s="312" t="s">
        <x:v>59</x:v>
      </x:c>
      <x:c r="I1537" s="312" t="s">
        <x:v>41</x:v>
      </x:c>
      <x:c r="J1537" s="316" t="n">
        <x:f>IFERROR(G1537/F1537,0)</x:f>
        <x:v>0.21052631578947367</x:v>
      </x:c>
      <x:c r="K1537" s="312" t="str">
        <x:f>IF(B1537="Bilinmeyen Personel","Kontrol","OK")</x:f>
        <x:v>OK</x:v>
      </x:c>
    </x:row>
    <x:row r="1538" hidden="1">
      <x:c r="A1538" s="312" t="n">
        <x:f>ROW()-ROW($A$2)+1</x:f>
        <x:v>1537</x:v>
      </x:c>
      <x:c r="B1538" s="312" t="s">
        <x:v>38</x:v>
      </x:c>
      <x:c r="C1538" s="312" t="s">
        <x:v>24</x:v>
      </x:c>
      <x:c r="D1538" s="317">
        <x:v>2</x:v>
      </x:c>
      <x:c r="E1538" s="321">
        <x:v>7600</x:v>
      </x:c>
      <x:c r="F1538" s="321">
        <x:v>15200</x:v>
      </x:c>
      <x:c r="G1538" s="321">
        <x:v>3200</x:v>
      </x:c>
      <x:c r="H1538" s="312" t="s">
        <x:v>59</x:v>
      </x:c>
      <x:c r="I1538" s="312" t="s">
        <x:v>46</x:v>
      </x:c>
      <x:c r="J1538" s="316" t="n">
        <x:f>IFERROR(G1538/F1538,0)</x:f>
        <x:v>0.21052631578947367</x:v>
      </x:c>
      <x:c r="K1538" s="312" t="str">
        <x:f>IF(B1538="Bilinmeyen Personel","Kontrol","OK")</x:f>
        <x:v>OK</x:v>
      </x:c>
    </x:row>
    <x:row r="1539" hidden="1">
      <x:c r="A1539" s="312" t="n">
        <x:f>ROW()-ROW($A$2)+1</x:f>
        <x:v>1538</x:v>
      </x:c>
      <x:c r="B1539" s="312" t="s">
        <x:v>16</x:v>
      </x:c>
      <x:c r="C1539" s="312" t="s">
        <x:v>58</x:v>
      </x:c>
      <x:c r="D1539" s="317">
        <x:v>3</x:v>
      </x:c>
      <x:c r="E1539" s="321">
        <x:v>3700</x:v>
      </x:c>
      <x:c r="F1539" s="321">
        <x:v>11100</x:v>
      </x:c>
      <x:c r="G1539" s="321">
        <x:v>2100</x:v>
      </x:c>
      <x:c r="H1539" s="312" t="s">
        <x:v>59</x:v>
      </x:c>
      <x:c r="I1539" s="312" t="s">
        <x:v>12</x:v>
      </x:c>
      <x:c r="J1539" s="316" t="n">
        <x:f>IFERROR(G1539/F1539,0)</x:f>
        <x:v>0.1891891891891892</x:v>
      </x:c>
      <x:c r="K1539" s="312" t="str">
        <x:f>IF(B1539="Bilinmeyen Personel","Kontrol","OK")</x:f>
        <x:v>OK</x:v>
      </x:c>
    </x:row>
    <x:row r="1540" hidden="1">
      <x:c r="A1540" s="312" t="n">
        <x:f>ROW()-ROW($A$2)+1</x:f>
        <x:v>1539</x:v>
      </x:c>
      <x:c r="B1540" s="312" t="s">
        <x:v>23</x:v>
      </x:c>
      <x:c r="C1540" s="312" t="s">
        <x:v>26</x:v>
      </x:c>
      <x:c r="D1540" s="317">
        <x:v>3</x:v>
      </x:c>
      <x:c r="E1540" s="321">
        <x:v>7250</x:v>
      </x:c>
      <x:c r="F1540" s="321">
        <x:v>21750</x:v>
      </x:c>
      <x:c r="G1540" s="321">
        <x:v>6750</x:v>
      </x:c>
      <x:c r="H1540" s="312" t="s">
        <x:v>59</x:v>
      </x:c>
      <x:c r="I1540" s="312" t="s">
        <x:v>31</x:v>
      </x:c>
      <x:c r="J1540" s="316" t="n">
        <x:f>IFERROR(G1540/F1540,0)</x:f>
        <x:v>0.3103448275862069</x:v>
      </x:c>
      <x:c r="K1540" s="312" t="str">
        <x:f>IF(B1540="Bilinmeyen Personel","Kontrol","OK")</x:f>
        <x:v>OK</x:v>
      </x:c>
    </x:row>
    <x:row r="1541" hidden="1">
      <x:c r="A1541" s="312" t="n">
        <x:f>ROW()-ROW($A$2)+1</x:f>
        <x:v>1540</x:v>
      </x:c>
      <x:c r="B1541" s="312" t="s">
        <x:v>13</x:v>
      </x:c>
      <x:c r="C1541" s="312" t="s">
        <x:v>24</x:v>
      </x:c>
      <x:c r="D1541" s="317">
        <x:v>4</x:v>
      </x:c>
      <x:c r="E1541" s="321">
        <x:v>7600</x:v>
      </x:c>
      <x:c r="F1541" s="321">
        <x:v>30400</x:v>
      </x:c>
      <x:c r="G1541" s="321">
        <x:v>6400</x:v>
      </x:c>
      <x:c r="H1541" s="312" t="s">
        <x:v>59</x:v>
      </x:c>
      <x:c r="I1541" s="312" t="s">
        <x:v>44</x:v>
      </x:c>
      <x:c r="J1541" s="316" t="n">
        <x:f>IFERROR(G1541/F1541,0)</x:f>
        <x:v>0.21052631578947367</x:v>
      </x:c>
      <x:c r="K1541" s="312" t="str">
        <x:f>IF(B1541="Bilinmeyen Personel","Kontrol","OK")</x:f>
        <x:v>OK</x:v>
      </x:c>
    </x:row>
    <x:row r="1542" hidden="1">
      <x:c r="A1542" s="312" t="n">
        <x:f>ROW()-ROW($A$2)+1</x:f>
        <x:v>1541</x:v>
      </x:c>
      <x:c r="B1542" s="312" t="s">
        <x:v>48</x:v>
      </x:c>
      <x:c r="C1542" s="312" t="s">
        <x:v>45</x:v>
      </x:c>
      <x:c r="D1542" s="317">
        <x:v>2</x:v>
      </x:c>
      <x:c r="E1542" s="321">
        <x:v>4200</x:v>
      </x:c>
      <x:c r="F1542" s="321">
        <x:v>8400</x:v>
      </x:c>
      <x:c r="G1542" s="321">
        <x:v>2400</x:v>
      </x:c>
      <x:c r="H1542" s="312" t="s">
        <x:v>59</x:v>
      </x:c>
      <x:c r="I1542" s="312" t="s">
        <x:v>28</x:v>
      </x:c>
      <x:c r="J1542" s="316" t="n">
        <x:f>IFERROR(G1542/F1542,0)</x:f>
        <x:v>0.2857142857142857</x:v>
      </x:c>
      <x:c r="K1542" s="312" t="str">
        <x:f>IF(B1542="Bilinmeyen Personel","Kontrol","OK")</x:f>
        <x:v>OK</x:v>
      </x:c>
    </x:row>
    <x:row r="1543" hidden="1">
      <x:c r="A1543" s="312" t="n">
        <x:f>ROW()-ROW($A$2)+1</x:f>
        <x:v>1542</x:v>
      </x:c>
      <x:c r="B1543" s="312" t="s">
        <x:v>32</x:v>
      </x:c>
      <x:c r="C1543" s="312" t="s">
        <x:v>52</x:v>
      </x:c>
      <x:c r="D1543" s="317">
        <x:v>4</x:v>
      </x:c>
      <x:c r="E1543" s="321">
        <x:v>1250</x:v>
      </x:c>
      <x:c r="F1543" s="321">
        <x:v>5000</x:v>
      </x:c>
      <x:c r="G1543" s="321">
        <x:v>1800</x:v>
      </x:c>
      <x:c r="H1543" s="312" t="s">
        <x:v>59</x:v>
      </x:c>
      <x:c r="I1543" s="312" t="s">
        <x:v>41</x:v>
      </x:c>
      <x:c r="J1543" s="316" t="n">
        <x:f>IFERROR(G1543/F1543,0)</x:f>
        <x:v>0.36</x:v>
      </x:c>
      <x:c r="K1543" s="312" t="str">
        <x:f>IF(B1543="Bilinmeyen Personel","Kontrol","OK")</x:f>
        <x:v>OK</x:v>
      </x:c>
    </x:row>
    <x:row r="1544" hidden="1">
      <x:c r="A1544" s="312" t="n">
        <x:f>ROW()-ROW($A$2)+1</x:f>
        <x:v>1543</x:v>
      </x:c>
      <x:c r="B1544" s="312" t="s">
        <x:v>38</x:v>
      </x:c>
      <x:c r="C1544" s="312" t="s">
        <x:v>34</x:v>
      </x:c>
      <x:c r="D1544" s="317">
        <x:v>2</x:v>
      </x:c>
      <x:c r="E1544" s="321">
        <x:v>1090</x:v>
      </x:c>
      <x:c r="F1544" s="321">
        <x:v>2180</x:v>
      </x:c>
      <x:c r="G1544" s="321">
        <x:v>580</x:v>
      </x:c>
      <x:c r="H1544" s="312" t="s">
        <x:v>59</x:v>
      </x:c>
      <x:c r="I1544" s="312" t="s">
        <x:v>21</x:v>
      </x:c>
      <x:c r="J1544" s="316" t="n">
        <x:f>IFERROR(G1544/F1544,0)</x:f>
        <x:v>0.26605504587155965</x:v>
      </x:c>
      <x:c r="K1544" s="312" t="str">
        <x:f>IF(B1544="Bilinmeyen Personel","Kontrol","OK")</x:f>
        <x:v>OK</x:v>
      </x:c>
    </x:row>
    <x:row r="1545" hidden="1">
      <x:c r="A1545" s="312" t="n">
        <x:f>ROW()-ROW($A$2)+1</x:f>
        <x:v>1544</x:v>
      </x:c>
      <x:c r="B1545" s="312" t="s">
        <x:v>19</x:v>
      </x:c>
      <x:c r="C1545" s="312" t="s">
        <x:v>22</x:v>
      </x:c>
      <x:c r="D1545" s="317">
        <x:v>4</x:v>
      </x:c>
      <x:c r="E1545" s="321">
        <x:v>2180</x:v>
      </x:c>
      <x:c r="F1545" s="321">
        <x:v>8720</x:v>
      </x:c>
      <x:c r="G1545" s="321">
        <x:v>2720</x:v>
      </x:c>
      <x:c r="H1545" s="312" t="s">
        <x:v>59</x:v>
      </x:c>
      <x:c r="I1545" s="312" t="s">
        <x:v>46</x:v>
      </x:c>
      <x:c r="J1545" s="316" t="n">
        <x:f>IFERROR(G1545/F1545,0)</x:f>
        <x:v>0.3119266055045872</x:v>
      </x:c>
      <x:c r="K1545" s="312" t="str">
        <x:f>IF(B1545="Bilinmeyen Personel","Kontrol","OK")</x:f>
        <x:v>OK</x:v>
      </x:c>
    </x:row>
    <x:row r="1546" hidden="1">
      <x:c r="A1546" s="312" t="n">
        <x:f>ROW()-ROW($A$2)+1</x:f>
        <x:v>1545</x:v>
      </x:c>
      <x:c r="B1546" s="312" t="s">
        <x:v>50</x:v>
      </x:c>
      <x:c r="C1546" s="312" t="s">
        <x:v>58</x:v>
      </x:c>
      <x:c r="D1546" s="317">
        <x:v>3</x:v>
      </x:c>
      <x:c r="E1546" s="321">
        <x:v>3700</x:v>
      </x:c>
      <x:c r="F1546" s="321">
        <x:v>11100</x:v>
      </x:c>
      <x:c r="G1546" s="321">
        <x:v>2100</x:v>
      </x:c>
      <x:c r="H1546" s="312" t="s">
        <x:v>59</x:v>
      </x:c>
      <x:c r="I1546" s="312" t="s">
        <x:v>54</x:v>
      </x:c>
      <x:c r="J1546" s="316" t="n">
        <x:f>IFERROR(G1546/F1546,0)</x:f>
        <x:v>0.1891891891891892</x:v>
      </x:c>
      <x:c r="K1546" s="312" t="str">
        <x:f>IF(B1546="Bilinmeyen Personel","Kontrol","OK")</x:f>
        <x:v>OK</x:v>
      </x:c>
    </x:row>
    <x:row r="1547" hidden="1">
      <x:c r="A1547" s="312" t="n">
        <x:f>ROW()-ROW($A$2)+1</x:f>
        <x:v>1546</x:v>
      </x:c>
      <x:c r="B1547" s="312" t="s">
        <x:v>40</x:v>
      </x:c>
      <x:c r="C1547" s="312" t="s">
        <x:v>10</x:v>
      </x:c>
      <x:c r="D1547" s="317">
        <x:v>4</x:v>
      </x:c>
      <x:c r="E1547" s="321">
        <x:v>6000</x:v>
      </x:c>
      <x:c r="F1547" s="321">
        <x:v>24000</x:v>
      </x:c>
      <x:c r="G1547" s="321">
        <x:v>8000</x:v>
      </x:c>
      <x:c r="H1547" s="312" t="s">
        <x:v>59</x:v>
      </x:c>
      <x:c r="I1547" s="312" t="s">
        <x:v>28</x:v>
      </x:c>
      <x:c r="J1547" s="316" t="n">
        <x:f>IFERROR(G1547/F1547,0)</x:f>
        <x:v>0.3333333333333333</x:v>
      </x:c>
      <x:c r="K1547" s="312" t="str">
        <x:f>IF(B1547="Bilinmeyen Personel","Kontrol","OK")</x:f>
        <x:v>OK</x:v>
      </x:c>
    </x:row>
    <x:row r="1548" hidden="1">
      <x:c r="A1548" s="312" t="n">
        <x:f>ROW()-ROW($A$2)+1</x:f>
        <x:v>1547</x:v>
      </x:c>
      <x:c r="B1548" s="312" t="s">
        <x:v>48</x:v>
      </x:c>
      <x:c r="C1548" s="312" t="s">
        <x:v>52</x:v>
      </x:c>
      <x:c r="D1548" s="317">
        <x:v>2</x:v>
      </x:c>
      <x:c r="E1548" s="321">
        <x:v>1250</x:v>
      </x:c>
      <x:c r="F1548" s="321">
        <x:v>2500</x:v>
      </x:c>
      <x:c r="G1548" s="321">
        <x:v>900</x:v>
      </x:c>
      <x:c r="H1548" s="312" t="s">
        <x:v>59</x:v>
      </x:c>
      <x:c r="I1548" s="312" t="s">
        <x:v>54</x:v>
      </x:c>
      <x:c r="J1548" s="316" t="n">
        <x:f>IFERROR(G1548/F1548,0)</x:f>
        <x:v>0.36</x:v>
      </x:c>
      <x:c r="K1548" s="312" t="str">
        <x:f>IF(B1548="Bilinmeyen Personel","Kontrol","OK")</x:f>
        <x:v>OK</x:v>
      </x:c>
    </x:row>
    <x:row r="1549" hidden="1">
      <x:c r="A1549" s="312" t="n">
        <x:f>ROW()-ROW($A$2)+1</x:f>
        <x:v>1548</x:v>
      </x:c>
      <x:c r="B1549" s="312" t="s">
        <x:v>50</x:v>
      </x:c>
      <x:c r="C1549" s="312" t="s">
        <x:v>24</x:v>
      </x:c>
      <x:c r="D1549" s="317">
        <x:v>5</x:v>
      </x:c>
      <x:c r="E1549" s="321">
        <x:v>7600</x:v>
      </x:c>
      <x:c r="F1549" s="321">
        <x:v>38000</x:v>
      </x:c>
      <x:c r="G1549" s="321">
        <x:v>8000</x:v>
      </x:c>
      <x:c r="H1549" s="312" t="s">
        <x:v>59</x:v>
      </x:c>
      <x:c r="I1549" s="312" t="s">
        <x:v>15</x:v>
      </x:c>
      <x:c r="J1549" s="316" t="n">
        <x:f>IFERROR(G1549/F1549,0)</x:f>
        <x:v>0.21052631578947367</x:v>
      </x:c>
      <x:c r="K1549" s="312" t="str">
        <x:f>IF(B1549="Bilinmeyen Personel","Kontrol","OK")</x:f>
        <x:v>OK</x:v>
      </x:c>
    </x:row>
    <x:row r="1550" hidden="1">
      <x:c r="A1550" s="312" t="n">
        <x:f>ROW()-ROW($A$2)+1</x:f>
        <x:v>1549</x:v>
      </x:c>
      <x:c r="B1550" s="312" t="s">
        <x:v>9</x:v>
      </x:c>
      <x:c r="C1550" s="312" t="s">
        <x:v>14</x:v>
      </x:c>
      <x:c r="D1550" s="317">
        <x:v>3</x:v>
      </x:c>
      <x:c r="E1550" s="321">
        <x:v>1400</x:v>
      </x:c>
      <x:c r="F1550" s="321">
        <x:v>4200</x:v>
      </x:c>
      <x:c r="G1550" s="321">
        <x:v>1800</x:v>
      </x:c>
      <x:c r="H1550" s="312" t="s">
        <x:v>59</x:v>
      </x:c>
      <x:c r="I1550" s="312" t="s">
        <x:v>15</x:v>
      </x:c>
      <x:c r="J1550" s="316" t="n">
        <x:f>IFERROR(G1550/F1550,0)</x:f>
        <x:v>0.42857142857142855</x:v>
      </x:c>
      <x:c r="K1550" s="312" t="str">
        <x:f>IF(B1550="Bilinmeyen Personel","Kontrol","OK")</x:f>
        <x:v>OK</x:v>
      </x:c>
    </x:row>
    <x:row r="1551" hidden="1">
      <x:c r="A1551" s="312" t="n">
        <x:f>ROW()-ROW($A$2)+1</x:f>
        <x:v>1550</x:v>
      </x:c>
      <x:c r="B1551" s="312" t="s">
        <x:v>23</x:v>
      </x:c>
      <x:c r="C1551" s="312" t="s">
        <x:v>22</x:v>
      </x:c>
      <x:c r="D1551" s="317">
        <x:v>2</x:v>
      </x:c>
      <x:c r="E1551" s="321">
        <x:v>2180</x:v>
      </x:c>
      <x:c r="F1551" s="321">
        <x:v>4360</x:v>
      </x:c>
      <x:c r="G1551" s="321">
        <x:v>1360</x:v>
      </x:c>
      <x:c r="H1551" s="312" t="s">
        <x:v>59</x:v>
      </x:c>
      <x:c r="I1551" s="312" t="s">
        <x:v>25</x:v>
      </x:c>
      <x:c r="J1551" s="316" t="n">
        <x:f>IFERROR(G1551/F1551,0)</x:f>
        <x:v>0.3119266055045872</x:v>
      </x:c>
      <x:c r="K1551" s="312" t="str">
        <x:f>IF(B1551="Bilinmeyen Personel","Kontrol","OK")</x:f>
        <x:v>OK</x:v>
      </x:c>
    </x:row>
    <x:row r="1552" hidden="1">
      <x:c r="A1552" s="312" t="n">
        <x:f>ROW()-ROW($A$2)+1</x:f>
        <x:v>1551</x:v>
      </x:c>
      <x:c r="B1552" s="312" t="s">
        <x:v>9</x:v>
      </x:c>
      <x:c r="C1552" s="312" t="s">
        <x:v>33</x:v>
      </x:c>
      <x:c r="D1552" s="317">
        <x:v>3</x:v>
      </x:c>
      <x:c r="E1552" s="321">
        <x:v>1800</x:v>
      </x:c>
      <x:c r="F1552" s="321">
        <x:v>5400</x:v>
      </x:c>
      <x:c r="G1552" s="321">
        <x:v>3000</x:v>
      </x:c>
      <x:c r="H1552" s="312" t="s">
        <x:v>59</x:v>
      </x:c>
      <x:c r="I1552" s="312" t="s">
        <x:v>18</x:v>
      </x:c>
      <x:c r="J1552" s="316" t="n">
        <x:f>IFERROR(G1552/F1552,0)</x:f>
        <x:v>0.5555555555555556</x:v>
      </x:c>
      <x:c r="K1552" s="312" t="str">
        <x:f>IF(B1552="Bilinmeyen Personel","Kontrol","OK")</x:f>
        <x:v>OK</x:v>
      </x:c>
    </x:row>
    <x:row r="1553" hidden="1">
      <x:c r="A1553" s="312" t="n">
        <x:f>ROW()-ROW($A$2)+1</x:f>
        <x:v>1552</x:v>
      </x:c>
      <x:c r="B1553" s="312" t="s">
        <x:v>16</x:v>
      </x:c>
      <x:c r="C1553" s="312" t="s">
        <x:v>57</x:v>
      </x:c>
      <x:c r="D1553" s="317">
        <x:v>2</x:v>
      </x:c>
      <x:c r="E1553" s="321">
        <x:v>1500</x:v>
      </x:c>
      <x:c r="F1553" s="321">
        <x:v>3000</x:v>
      </x:c>
      <x:c r="G1553" s="321">
        <x:v>1400</x:v>
      </x:c>
      <x:c r="H1553" s="312" t="s">
        <x:v>59</x:v>
      </x:c>
      <x:c r="I1553" s="312" t="s">
        <x:v>37</x:v>
      </x:c>
      <x:c r="J1553" s="316" t="n">
        <x:f>IFERROR(G1553/F1553,0)</x:f>
        <x:v>0.4666666666666667</x:v>
      </x:c>
      <x:c r="K1553" s="312" t="str">
        <x:f>IF(B1553="Bilinmeyen Personel","Kontrol","OK")</x:f>
        <x:v>OK</x:v>
      </x:c>
    </x:row>
    <x:row r="1554" hidden="1">
      <x:c r="A1554" s="312" t="n">
        <x:f>ROW()-ROW($A$2)+1</x:f>
        <x:v>1553</x:v>
      </x:c>
      <x:c r="B1554" s="312" t="s">
        <x:v>32</x:v>
      </x:c>
      <x:c r="C1554" s="312" t="s">
        <x:v>17</x:v>
      </x:c>
      <x:c r="D1554" s="317">
        <x:v>3</x:v>
      </x:c>
      <x:c r="E1554" s="321">
        <x:v>8450</x:v>
      </x:c>
      <x:c r="F1554" s="321">
        <x:v>25350</x:v>
      </x:c>
      <x:c r="G1554" s="321">
        <x:v>7350</x:v>
      </x:c>
      <x:c r="H1554" s="312" t="s">
        <x:v>59</x:v>
      </x:c>
      <x:c r="I1554" s="312" t="s">
        <x:v>25</x:v>
      </x:c>
      <x:c r="J1554" s="316" t="n">
        <x:f>IFERROR(G1554/F1554,0)</x:f>
        <x:v>0.28994082840236685</x:v>
      </x:c>
      <x:c r="K1554" s="312" t="str">
        <x:f>IF(B1554="Bilinmeyen Personel","Kontrol","OK")</x:f>
        <x:v>OK</x:v>
      </x:c>
    </x:row>
    <x:row r="1555" hidden="1">
      <x:c r="A1555" s="312" t="n">
        <x:f>ROW()-ROW($A$2)+1</x:f>
        <x:v>1554</x:v>
      </x:c>
      <x:c r="B1555" s="312" t="s">
        <x:v>40</x:v>
      </x:c>
      <x:c r="C1555" s="312" t="s">
        <x:v>57</x:v>
      </x:c>
      <x:c r="D1555" s="317">
        <x:v>4</x:v>
      </x:c>
      <x:c r="E1555" s="321">
        <x:v>1500</x:v>
      </x:c>
      <x:c r="F1555" s="321">
        <x:v>6000</x:v>
      </x:c>
      <x:c r="G1555" s="321">
        <x:v>2800</x:v>
      </x:c>
      <x:c r="H1555" s="312" t="s">
        <x:v>59</x:v>
      </x:c>
      <x:c r="I1555" s="312" t="s">
        <x:v>46</x:v>
      </x:c>
      <x:c r="J1555" s="316" t="n">
        <x:f>IFERROR(G1555/F1555,0)</x:f>
        <x:v>0.4666666666666667</x:v>
      </x:c>
      <x:c r="K1555" s="312" t="str">
        <x:f>IF(B1555="Bilinmeyen Personel","Kontrol","OK")</x:f>
        <x:v>OK</x:v>
      </x:c>
    </x:row>
    <x:row r="1556" hidden="1">
      <x:c r="A1556" s="312" t="n">
        <x:f>ROW()-ROW($A$2)+1</x:f>
        <x:v>1555</x:v>
      </x:c>
      <x:c r="B1556" s="312" t="s">
        <x:v>29</x:v>
      </x:c>
      <x:c r="C1556" s="312" t="s">
        <x:v>10</x:v>
      </x:c>
      <x:c r="D1556" s="317">
        <x:v>3</x:v>
      </x:c>
      <x:c r="E1556" s="321">
        <x:v>6000</x:v>
      </x:c>
      <x:c r="F1556" s="321">
        <x:v>18000</x:v>
      </x:c>
      <x:c r="G1556" s="321">
        <x:v>6000</x:v>
      </x:c>
      <x:c r="H1556" s="312" t="s">
        <x:v>59</x:v>
      </x:c>
      <x:c r="I1556" s="312" t="s">
        <x:v>25</x:v>
      </x:c>
      <x:c r="J1556" s="316" t="n">
        <x:f>IFERROR(G1556/F1556,0)</x:f>
        <x:v>0.3333333333333333</x:v>
      </x:c>
      <x:c r="K1556" s="312" t="str">
        <x:f>IF(B1556="Bilinmeyen Personel","Kontrol","OK")</x:f>
        <x:v>OK</x:v>
      </x:c>
    </x:row>
    <x:row r="1557" hidden="1">
      <x:c r="A1557" s="312" t="n">
        <x:f>ROW()-ROW($A$2)+1</x:f>
        <x:v>1556</x:v>
      </x:c>
      <x:c r="B1557" s="312" t="s">
        <x:v>50</x:v>
      </x:c>
      <x:c r="C1557" s="312" t="s">
        <x:v>53</x:v>
      </x:c>
      <x:c r="D1557" s="317">
        <x:v>4</x:v>
      </x:c>
      <x:c r="E1557" s="321">
        <x:v>1200</x:v>
      </x:c>
      <x:c r="F1557" s="321">
        <x:v>4800</x:v>
      </x:c>
      <x:c r="G1557" s="321">
        <x:v>1600</x:v>
      </x:c>
      <x:c r="H1557" s="312" t="s">
        <x:v>59</x:v>
      </x:c>
      <x:c r="I1557" s="312" t="s">
        <x:v>28</x:v>
      </x:c>
      <x:c r="J1557" s="316" t="n">
        <x:f>IFERROR(G1557/F1557,0)</x:f>
        <x:v>0.3333333333333333</x:v>
      </x:c>
      <x:c r="K1557" s="312" t="str">
        <x:f>IF(B1557="Bilinmeyen Personel","Kontrol","OK")</x:f>
        <x:v>OK</x:v>
      </x:c>
    </x:row>
    <x:row r="1558" hidden="1">
      <x:c r="A1558" s="312" t="n">
        <x:f>ROW()-ROW($A$2)+1</x:f>
        <x:v>1557</x:v>
      </x:c>
      <x:c r="B1558" s="312" t="s">
        <x:v>9</x:v>
      </x:c>
      <x:c r="C1558" s="312" t="s">
        <x:v>45</x:v>
      </x:c>
      <x:c r="D1558" s="317">
        <x:v>2</x:v>
      </x:c>
      <x:c r="E1558" s="321">
        <x:v>4200</x:v>
      </x:c>
      <x:c r="F1558" s="321">
        <x:v>8400</x:v>
      </x:c>
      <x:c r="G1558" s="321">
        <x:v>2400</x:v>
      </x:c>
      <x:c r="H1558" s="312" t="s">
        <x:v>59</x:v>
      </x:c>
      <x:c r="I1558" s="312" t="s">
        <x:v>18</x:v>
      </x:c>
      <x:c r="J1558" s="316" t="n">
        <x:f>IFERROR(G1558/F1558,0)</x:f>
        <x:v>0.2857142857142857</x:v>
      </x:c>
      <x:c r="K1558" s="312" t="str">
        <x:f>IF(B1558="Bilinmeyen Personel","Kontrol","OK")</x:f>
        <x:v>OK</x:v>
      </x:c>
    </x:row>
    <x:row r="1559" hidden="1">
      <x:c r="A1559" s="312" t="n">
        <x:f>ROW()-ROW($A$2)+1</x:f>
        <x:v>1558</x:v>
      </x:c>
      <x:c r="B1559" s="312" t="s">
        <x:v>48</x:v>
      </x:c>
      <x:c r="C1559" s="312" t="s">
        <x:v>24</x:v>
      </x:c>
      <x:c r="D1559" s="317">
        <x:v>5</x:v>
      </x:c>
      <x:c r="E1559" s="321">
        <x:v>7600</x:v>
      </x:c>
      <x:c r="F1559" s="321">
        <x:v>38000</x:v>
      </x:c>
      <x:c r="G1559" s="321">
        <x:v>8000</x:v>
      </x:c>
      <x:c r="H1559" s="312" t="s">
        <x:v>59</x:v>
      </x:c>
      <x:c r="I1559" s="312" t="s">
        <x:v>18</x:v>
      </x:c>
      <x:c r="J1559" s="316" t="n">
        <x:f>IFERROR(G1559/F1559,0)</x:f>
        <x:v>0.21052631578947367</x:v>
      </x:c>
      <x:c r="K1559" s="312" t="str">
        <x:f>IF(B1559="Bilinmeyen Personel","Kontrol","OK")</x:f>
        <x:v>OK</x:v>
      </x:c>
    </x:row>
    <x:row r="1560" hidden="1">
      <x:c r="A1560" s="312" t="n">
        <x:f>ROW()-ROW($A$2)+1</x:f>
        <x:v>1559</x:v>
      </x:c>
      <x:c r="B1560" s="312" t="s">
        <x:v>29</x:v>
      </x:c>
      <x:c r="C1560" s="312" t="s">
        <x:v>26</x:v>
      </x:c>
      <x:c r="D1560" s="317">
        <x:v>3</x:v>
      </x:c>
      <x:c r="E1560" s="321">
        <x:v>7250</x:v>
      </x:c>
      <x:c r="F1560" s="321">
        <x:v>21750</x:v>
      </x:c>
      <x:c r="G1560" s="321">
        <x:v>6750</x:v>
      </x:c>
      <x:c r="H1560" s="312" t="s">
        <x:v>60</x:v>
      </x:c>
      <x:c r="I1560" s="312" t="s">
        <x:v>41</x:v>
      </x:c>
      <x:c r="J1560" s="316" t="n">
        <x:f>IFERROR(G1560/F1560,0)</x:f>
        <x:v>0.3103448275862069</x:v>
      </x:c>
      <x:c r="K1560" s="312" t="str">
        <x:f>IF(B1560="Bilinmeyen Personel","Kontrol","OK")</x:f>
        <x:v>OK</x:v>
      </x:c>
    </x:row>
    <x:row r="1561" hidden="1">
      <x:c r="A1561" s="312" t="n">
        <x:f>ROW()-ROW($A$2)+1</x:f>
        <x:v>1560</x:v>
      </x:c>
      <x:c r="B1561" s="312" t="s">
        <x:v>13</x:v>
      </x:c>
      <x:c r="C1561" s="312" t="s">
        <x:v>55</x:v>
      </x:c>
      <x:c r="D1561" s="317">
        <x:v>2</x:v>
      </x:c>
      <x:c r="E1561" s="321">
        <x:v>7530</x:v>
      </x:c>
      <x:c r="F1561" s="321">
        <x:v>15060</x:v>
      </x:c>
      <x:c r="G1561" s="321">
        <x:v>3060</x:v>
      </x:c>
      <x:c r="H1561" s="312" t="s">
        <x:v>60</x:v>
      </x:c>
      <x:c r="I1561" s="312" t="s">
        <x:v>31</x:v>
      </x:c>
      <x:c r="J1561" s="316" t="n">
        <x:f>IFERROR(G1561/F1561,0)</x:f>
        <x:v>0.20318725099601595</x:v>
      </x:c>
      <x:c r="K1561" s="312" t="str">
        <x:f>IF(B1561="Bilinmeyen Personel","Kontrol","OK")</x:f>
        <x:v>OK</x:v>
      </x:c>
    </x:row>
    <x:row r="1562" hidden="1">
      <x:c r="A1562" s="312" t="n">
        <x:f>ROW()-ROW($A$2)+1</x:f>
        <x:v>1561</x:v>
      </x:c>
      <x:c r="B1562" s="312" t="s">
        <x:v>16</x:v>
      </x:c>
      <x:c r="C1562" s="312" t="s">
        <x:v>26</x:v>
      </x:c>
      <x:c r="D1562" s="317">
        <x:v>3</x:v>
      </x:c>
      <x:c r="E1562" s="321">
        <x:v>7250</x:v>
      </x:c>
      <x:c r="F1562" s="321">
        <x:v>21750</x:v>
      </x:c>
      <x:c r="G1562" s="321">
        <x:v>6750</x:v>
      </x:c>
      <x:c r="H1562" s="312" t="s">
        <x:v>60</x:v>
      </x:c>
      <x:c r="I1562" s="312" t="s">
        <x:v>44</x:v>
      </x:c>
      <x:c r="J1562" s="316" t="n">
        <x:f>IFERROR(G1562/F1562,0)</x:f>
        <x:v>0.3103448275862069</x:v>
      </x:c>
      <x:c r="K1562" s="312" t="str">
        <x:f>IF(B1562="Bilinmeyen Personel","Kontrol","OK")</x:f>
        <x:v>OK</x:v>
      </x:c>
    </x:row>
    <x:row r="1563" hidden="1">
      <x:c r="A1563" s="312" t="n">
        <x:f>ROW()-ROW($A$2)+1</x:f>
        <x:v>1562</x:v>
      </x:c>
      <x:c r="B1563" s="312" t="s">
        <x:v>13</x:v>
      </x:c>
      <x:c r="C1563" s="312" t="s">
        <x:v>10</x:v>
      </x:c>
      <x:c r="D1563" s="317">
        <x:v>5</x:v>
      </x:c>
      <x:c r="E1563" s="321">
        <x:v>6000</x:v>
      </x:c>
      <x:c r="F1563" s="321">
        <x:v>30000</x:v>
      </x:c>
      <x:c r="G1563" s="321">
        <x:v>10000</x:v>
      </x:c>
      <x:c r="H1563" s="312" t="s">
        <x:v>60</x:v>
      </x:c>
      <x:c r="I1563" s="312" t="s">
        <x:v>12</x:v>
      </x:c>
      <x:c r="J1563" s="316" t="n">
        <x:f>IFERROR(G1563/F1563,0)</x:f>
        <x:v>0.3333333333333333</x:v>
      </x:c>
      <x:c r="K1563" s="312" t="str">
        <x:f>IF(B1563="Bilinmeyen Personel","Kontrol","OK")</x:f>
        <x:v>OK</x:v>
      </x:c>
    </x:row>
    <x:row r="1564" hidden="1">
      <x:c r="A1564" s="312" t="n">
        <x:f>ROW()-ROW($A$2)+1</x:f>
        <x:v>1563</x:v>
      </x:c>
      <x:c r="B1564" s="312" t="s">
        <x:v>29</x:v>
      </x:c>
      <x:c r="C1564" s="312" t="s">
        <x:v>53</x:v>
      </x:c>
      <x:c r="D1564" s="317">
        <x:v>2</x:v>
      </x:c>
      <x:c r="E1564" s="321">
        <x:v>1200</x:v>
      </x:c>
      <x:c r="F1564" s="321">
        <x:v>2400</x:v>
      </x:c>
      <x:c r="G1564" s="321">
        <x:v>800</x:v>
      </x:c>
      <x:c r="H1564" s="312" t="s">
        <x:v>60</x:v>
      </x:c>
      <x:c r="I1564" s="312" t="s">
        <x:v>31</x:v>
      </x:c>
      <x:c r="J1564" s="316" t="n">
        <x:f>IFERROR(G1564/F1564,0)</x:f>
        <x:v>0.3333333333333333</x:v>
      </x:c>
      <x:c r="K1564" s="312" t="str">
        <x:f>IF(B1564="Bilinmeyen Personel","Kontrol","OK")</x:f>
        <x:v>OK</x:v>
      </x:c>
    </x:row>
    <x:row r="1565" hidden="1">
      <x:c r="A1565" s="312" t="n">
        <x:f>ROW()-ROW($A$2)+1</x:f>
        <x:v>1564</x:v>
      </x:c>
      <x:c r="B1565" s="312" t="s">
        <x:v>50</x:v>
      </x:c>
      <x:c r="C1565" s="312" t="s">
        <x:v>56</x:v>
      </x:c>
      <x:c r="D1565" s="317">
        <x:v>4</x:v>
      </x:c>
      <x:c r="E1565" s="321">
        <x:v>5300</x:v>
      </x:c>
      <x:c r="F1565" s="321">
        <x:v>21200</x:v>
      </x:c>
      <x:c r="G1565" s="321">
        <x:v>5200</x:v>
      </x:c>
      <x:c r="H1565" s="312" t="s">
        <x:v>60</x:v>
      </x:c>
      <x:c r="I1565" s="312" t="s">
        <x:v>12</x:v>
      </x:c>
      <x:c r="J1565" s="316" t="n">
        <x:f>IFERROR(G1565/F1565,0)</x:f>
        <x:v>0.24528301886792453</x:v>
      </x:c>
      <x:c r="K1565" s="312" t="str">
        <x:f>IF(B1565="Bilinmeyen Personel","Kontrol","OK")</x:f>
        <x:v>OK</x:v>
      </x:c>
    </x:row>
    <x:row r="1566" hidden="1">
      <x:c r="A1566" s="312" t="n">
        <x:f>ROW()-ROW($A$2)+1</x:f>
        <x:v>1565</x:v>
      </x:c>
      <x:c r="B1566" s="312" t="s">
        <x:v>38</x:v>
      </x:c>
      <x:c r="C1566" s="312" t="s">
        <x:v>17</x:v>
      </x:c>
      <x:c r="D1566" s="317">
        <x:v>3</x:v>
      </x:c>
      <x:c r="E1566" s="321">
        <x:v>8450</x:v>
      </x:c>
      <x:c r="F1566" s="321">
        <x:v>25350</x:v>
      </x:c>
      <x:c r="G1566" s="321">
        <x:v>7350</x:v>
      </x:c>
      <x:c r="H1566" s="312" t="s">
        <x:v>60</x:v>
      </x:c>
      <x:c r="I1566" s="312" t="s">
        <x:v>44</x:v>
      </x:c>
      <x:c r="J1566" s="316" t="n">
        <x:f>IFERROR(G1566/F1566,0)</x:f>
        <x:v>0.28994082840236685</x:v>
      </x:c>
      <x:c r="K1566" s="312" t="str">
        <x:f>IF(B1566="Bilinmeyen Personel","Kontrol","OK")</x:f>
        <x:v>OK</x:v>
      </x:c>
    </x:row>
    <x:row r="1567" hidden="1">
      <x:c r="A1567" s="312" t="n">
        <x:f>ROW()-ROW($A$2)+1</x:f>
        <x:v>1566</x:v>
      </x:c>
      <x:c r="B1567" s="312" t="s">
        <x:v>23</x:v>
      </x:c>
      <x:c r="C1567" s="312" t="s">
        <x:v>20</x:v>
      </x:c>
      <x:c r="D1567" s="317">
        <x:v>2</x:v>
      </x:c>
      <x:c r="E1567" s="321">
        <x:v>1350</x:v>
      </x:c>
      <x:c r="F1567" s="321">
        <x:v>2700</x:v>
      </x:c>
      <x:c r="G1567" s="321">
        <x:v>1100</x:v>
      </x:c>
      <x:c r="H1567" s="312" t="s">
        <x:v>60</x:v>
      </x:c>
      <x:c r="I1567" s="312" t="s">
        <x:v>44</x:v>
      </x:c>
      <x:c r="J1567" s="316" t="n">
        <x:f>IFERROR(G1567/F1567,0)</x:f>
        <x:v>0.4074074074074074</x:v>
      </x:c>
      <x:c r="K1567" s="312" t="str">
        <x:f>IF(B1567="Bilinmeyen Personel","Kontrol","OK")</x:f>
        <x:v>OK</x:v>
      </x:c>
    </x:row>
    <x:row r="1568" hidden="1">
      <x:c r="A1568" s="312" t="n">
        <x:f>ROW()-ROW($A$2)+1</x:f>
        <x:v>1567</x:v>
      </x:c>
      <x:c r="B1568" s="312" t="s">
        <x:v>32</x:v>
      </x:c>
      <x:c r="C1568" s="312" t="s">
        <x:v>34</x:v>
      </x:c>
      <x:c r="D1568" s="317">
        <x:v>2</x:v>
      </x:c>
      <x:c r="E1568" s="321">
        <x:v>1090</x:v>
      </x:c>
      <x:c r="F1568" s="321">
        <x:v>2180</x:v>
      </x:c>
      <x:c r="G1568" s="321">
        <x:v>580</x:v>
      </x:c>
      <x:c r="H1568" s="312" t="s">
        <x:v>60</x:v>
      </x:c>
      <x:c r="I1568" s="312" t="s">
        <x:v>28</x:v>
      </x:c>
      <x:c r="J1568" s="316" t="n">
        <x:f>IFERROR(G1568/F1568,0)</x:f>
        <x:v>0.26605504587155965</x:v>
      </x:c>
      <x:c r="K1568" s="312" t="str">
        <x:f>IF(B1568="Bilinmeyen Personel","Kontrol","OK")</x:f>
        <x:v>OK</x:v>
      </x:c>
    </x:row>
    <x:row r="1569" hidden="1">
      <x:c r="A1569" s="312" t="n">
        <x:f>ROW()-ROW($A$2)+1</x:f>
        <x:v>1568</x:v>
      </x:c>
      <x:c r="B1569" s="312" t="s">
        <x:v>23</x:v>
      </x:c>
      <x:c r="C1569" s="312" t="s">
        <x:v>22</x:v>
      </x:c>
      <x:c r="D1569" s="317">
        <x:v>4</x:v>
      </x:c>
      <x:c r="E1569" s="321">
        <x:v>2180</x:v>
      </x:c>
      <x:c r="F1569" s="321">
        <x:v>8720</x:v>
      </x:c>
      <x:c r="G1569" s="321">
        <x:v>2720</x:v>
      </x:c>
      <x:c r="H1569" s="312" t="s">
        <x:v>60</x:v>
      </x:c>
      <x:c r="I1569" s="312" t="s">
        <x:v>42</x:v>
      </x:c>
      <x:c r="J1569" s="316" t="n">
        <x:f>IFERROR(G1569/F1569,0)</x:f>
        <x:v>0.3119266055045872</x:v>
      </x:c>
      <x:c r="K1569" s="312" t="str">
        <x:f>IF(B1569="Bilinmeyen Personel","Kontrol","OK")</x:f>
        <x:v>OK</x:v>
      </x:c>
    </x:row>
    <x:row r="1570" hidden="1">
      <x:c r="A1570" s="312" t="n">
        <x:f>ROW()-ROW($A$2)+1</x:f>
        <x:v>1569</x:v>
      </x:c>
      <x:c r="B1570" s="312" t="s">
        <x:v>9</x:v>
      </x:c>
      <x:c r="C1570" s="312" t="s">
        <x:v>10</x:v>
      </x:c>
      <x:c r="D1570" s="317">
        <x:v>5</x:v>
      </x:c>
      <x:c r="E1570" s="321">
        <x:v>6000</x:v>
      </x:c>
      <x:c r="F1570" s="321">
        <x:v>30000</x:v>
      </x:c>
      <x:c r="G1570" s="321">
        <x:v>10000</x:v>
      </x:c>
      <x:c r="H1570" s="312" t="s">
        <x:v>60</x:v>
      </x:c>
      <x:c r="I1570" s="312" t="s">
        <x:v>25</x:v>
      </x:c>
      <x:c r="J1570" s="316" t="n">
        <x:f>IFERROR(G1570/F1570,0)</x:f>
        <x:v>0.3333333333333333</x:v>
      </x:c>
      <x:c r="K1570" s="312" t="str">
        <x:f>IF(B1570="Bilinmeyen Personel","Kontrol","OK")</x:f>
        <x:v>OK</x:v>
      </x:c>
    </x:row>
    <x:row r="1571" hidden="1">
      <x:c r="A1571" s="312" t="n">
        <x:f>ROW()-ROW($A$2)+1</x:f>
        <x:v>1570</x:v>
      </x:c>
      <x:c r="B1571" s="312" t="s">
        <x:v>13</x:v>
      </x:c>
      <x:c r="C1571" s="312" t="s">
        <x:v>14</x:v>
      </x:c>
      <x:c r="D1571" s="317">
        <x:v>4</x:v>
      </x:c>
      <x:c r="E1571" s="321">
        <x:v>1400</x:v>
      </x:c>
      <x:c r="F1571" s="321">
        <x:v>5600</x:v>
      </x:c>
      <x:c r="G1571" s="321">
        <x:v>2400</x:v>
      </x:c>
      <x:c r="H1571" s="312" t="s">
        <x:v>60</x:v>
      </x:c>
      <x:c r="I1571" s="312" t="s">
        <x:v>44</x:v>
      </x:c>
      <x:c r="J1571" s="316" t="n">
        <x:f>IFERROR(G1571/F1571,0)</x:f>
        <x:v>0.42857142857142855</x:v>
      </x:c>
      <x:c r="K1571" s="312" t="str">
        <x:f>IF(B1571="Bilinmeyen Personel","Kontrol","OK")</x:f>
        <x:v>OK</x:v>
      </x:c>
    </x:row>
    <x:row r="1572" hidden="1">
      <x:c r="A1572" s="312" t="n">
        <x:f>ROW()-ROW($A$2)+1</x:f>
        <x:v>1571</x:v>
      </x:c>
      <x:c r="B1572" s="312" t="s">
        <x:v>16</x:v>
      </x:c>
      <x:c r="C1572" s="312" t="s">
        <x:v>17</x:v>
      </x:c>
      <x:c r="D1572" s="317">
        <x:v>3</x:v>
      </x:c>
      <x:c r="E1572" s="321">
        <x:v>8450</x:v>
      </x:c>
      <x:c r="F1572" s="321">
        <x:v>25350</x:v>
      </x:c>
      <x:c r="G1572" s="321">
        <x:v>7350</x:v>
      </x:c>
      <x:c r="H1572" s="312" t="s">
        <x:v>60</x:v>
      </x:c>
      <x:c r="I1572" s="312" t="s">
        <x:v>44</x:v>
      </x:c>
      <x:c r="J1572" s="316" t="n">
        <x:f>IFERROR(G1572/F1572,0)</x:f>
        <x:v>0.28994082840236685</x:v>
      </x:c>
      <x:c r="K1572" s="312" t="str">
        <x:f>IF(B1572="Bilinmeyen Personel","Kontrol","OK")</x:f>
        <x:v>OK</x:v>
      </x:c>
    </x:row>
    <x:row r="1573" hidden="1">
      <x:c r="A1573" s="312" t="n">
        <x:f>ROW()-ROW($A$2)+1</x:f>
        <x:v>1572</x:v>
      </x:c>
      <x:c r="B1573" s="312" t="s">
        <x:v>19</x:v>
      </x:c>
      <x:c r="C1573" s="312" t="s">
        <x:v>20</x:v>
      </x:c>
      <x:c r="D1573" s="317">
        <x:v>2</x:v>
      </x:c>
      <x:c r="E1573" s="321">
        <x:v>1350</x:v>
      </x:c>
      <x:c r="F1573" s="321">
        <x:v>2700</x:v>
      </x:c>
      <x:c r="G1573" s="321">
        <x:v>1100</x:v>
      </x:c>
      <x:c r="H1573" s="312" t="s">
        <x:v>60</x:v>
      </x:c>
      <x:c r="I1573" s="312" t="s">
        <x:v>46</x:v>
      </x:c>
      <x:c r="J1573" s="316" t="n">
        <x:f>IFERROR(G1573/F1573,0)</x:f>
        <x:v>0.4074074074074074</x:v>
      </x:c>
      <x:c r="K1573" s="312" t="str">
        <x:f>IF(B1573="Bilinmeyen Personel","Kontrol","OK")</x:f>
        <x:v>OK</x:v>
      </x:c>
    </x:row>
    <x:row r="1574" hidden="1">
      <x:c r="A1574" s="312" t="n">
        <x:f>ROW()-ROW($A$2)+1</x:f>
        <x:v>1573</x:v>
      </x:c>
      <x:c r="B1574" s="312" t="s">
        <x:v>9</x:v>
      </x:c>
      <x:c r="C1574" s="312" t="s">
        <x:v>22</x:v>
      </x:c>
      <x:c r="D1574" s="317">
        <x:v>5</x:v>
      </x:c>
      <x:c r="E1574" s="321">
        <x:v>2180</x:v>
      </x:c>
      <x:c r="F1574" s="321">
        <x:v>10900</x:v>
      </x:c>
      <x:c r="G1574" s="321">
        <x:v>3400</x:v>
      </x:c>
      <x:c r="H1574" s="312" t="s">
        <x:v>60</x:v>
      </x:c>
      <x:c r="I1574" s="312" t="s">
        <x:v>28</x:v>
      </x:c>
      <x:c r="J1574" s="316" t="n">
        <x:f>IFERROR(G1574/F1574,0)</x:f>
        <x:v>0.3119266055045872</x:v>
      </x:c>
      <x:c r="K1574" s="312" t="str">
        <x:f>IF(B1574="Bilinmeyen Personel","Kontrol","OK")</x:f>
        <x:v>OK</x:v>
      </x:c>
    </x:row>
    <x:row r="1575" hidden="1">
      <x:c r="A1575" s="312" t="n">
        <x:f>ROW()-ROW($A$2)+1</x:f>
        <x:v>1574</x:v>
      </x:c>
      <x:c r="B1575" s="312" t="s">
        <x:v>23</x:v>
      </x:c>
      <x:c r="C1575" s="312" t="s">
        <x:v>24</x:v>
      </x:c>
      <x:c r="D1575" s="317">
        <x:v>3</x:v>
      </x:c>
      <x:c r="E1575" s="321">
        <x:v>7600</x:v>
      </x:c>
      <x:c r="F1575" s="321">
        <x:v>22800</x:v>
      </x:c>
      <x:c r="G1575" s="321">
        <x:v>4800</x:v>
      </x:c>
      <x:c r="H1575" s="312" t="s">
        <x:v>60</x:v>
      </x:c>
      <x:c r="I1575" s="312" t="s">
        <x:v>15</x:v>
      </x:c>
      <x:c r="J1575" s="316" t="n">
        <x:f>IFERROR(G1575/F1575,0)</x:f>
        <x:v>0.21052631578947367</x:v>
      </x:c>
      <x:c r="K1575" s="312" t="str">
        <x:f>IF(B1575="Bilinmeyen Personel","Kontrol","OK")</x:f>
        <x:v>OK</x:v>
      </x:c>
    </x:row>
    <x:row r="1576" hidden="1">
      <x:c r="A1576" s="312" t="n">
        <x:f>ROW()-ROW($A$2)+1</x:f>
        <x:v>1575</x:v>
      </x:c>
      <x:c r="B1576" s="312" t="s">
        <x:v>13</x:v>
      </x:c>
      <x:c r="C1576" s="312" t="s">
        <x:v>26</x:v>
      </x:c>
      <x:c r="D1576" s="317">
        <x:v>5</x:v>
      </x:c>
      <x:c r="E1576" s="321">
        <x:v>7250</x:v>
      </x:c>
      <x:c r="F1576" s="321">
        <x:v>36250</x:v>
      </x:c>
      <x:c r="G1576" s="321">
        <x:v>11250</x:v>
      </x:c>
      <x:c r="H1576" s="312" t="s">
        <x:v>60</x:v>
      </x:c>
      <x:c r="I1576" s="312" t="s">
        <x:v>54</x:v>
      </x:c>
      <x:c r="J1576" s="316" t="n">
        <x:f>IFERROR(G1576/F1576,0)</x:f>
        <x:v>0.3103448275862069</x:v>
      </x:c>
      <x:c r="K1576" s="312" t="str">
        <x:f>IF(B1576="Bilinmeyen Personel","Kontrol","OK")</x:f>
        <x:v>OK</x:v>
      </x:c>
    </x:row>
    <x:row r="1577" hidden="1">
      <x:c r="A1577" s="312" t="n">
        <x:f>ROW()-ROW($A$2)+1</x:f>
        <x:v>1576</x:v>
      </x:c>
      <x:c r="B1577" s="312" t="s">
        <x:v>19</x:v>
      </x:c>
      <x:c r="C1577" s="312" t="s">
        <x:v>27</x:v>
      </x:c>
      <x:c r="D1577" s="317">
        <x:v>5</x:v>
      </x:c>
      <x:c r="E1577" s="321">
        <x:v>1100</x:v>
      </x:c>
      <x:c r="F1577" s="321">
        <x:v>5500</x:v>
      </x:c>
      <x:c r="G1577" s="321">
        <x:v>1500</x:v>
      </x:c>
      <x:c r="H1577" s="312" t="s">
        <x:v>60</x:v>
      </x:c>
      <x:c r="I1577" s="312" t="s">
        <x:v>12</x:v>
      </x:c>
      <x:c r="J1577" s="316" t="n">
        <x:f>IFERROR(G1577/F1577,0)</x:f>
        <x:v>0.2727272727272727</x:v>
      </x:c>
      <x:c r="K1577" s="312" t="str">
        <x:f>IF(B1577="Bilinmeyen Personel","Kontrol","OK")</x:f>
        <x:v>OK</x:v>
      </x:c>
    </x:row>
    <x:row r="1578" hidden="1">
      <x:c r="A1578" s="312" t="n">
        <x:f>ROW()-ROW($A$2)+1</x:f>
        <x:v>1577</x:v>
      </x:c>
      <x:c r="B1578" s="312" t="s">
        <x:v>29</x:v>
      </x:c>
      <x:c r="C1578" s="312" t="s">
        <x:v>10</x:v>
      </x:c>
      <x:c r="D1578" s="317">
        <x:v>2</x:v>
      </x:c>
      <x:c r="E1578" s="321">
        <x:v>6000</x:v>
      </x:c>
      <x:c r="F1578" s="321">
        <x:v>12000</x:v>
      </x:c>
      <x:c r="G1578" s="321">
        <x:v>4000</x:v>
      </x:c>
      <x:c r="H1578" s="312" t="s">
        <x:v>60</x:v>
      </x:c>
      <x:c r="I1578" s="312" t="s">
        <x:v>42</x:v>
      </x:c>
      <x:c r="J1578" s="316" t="n">
        <x:f>IFERROR(G1578/F1578,0)</x:f>
        <x:v>0.3333333333333333</x:v>
      </x:c>
      <x:c r="K1578" s="312" t="str">
        <x:f>IF(B1578="Bilinmeyen Personel","Kontrol","OK")</x:f>
        <x:v>OK</x:v>
      </x:c>
    </x:row>
    <x:row r="1579" hidden="1">
      <x:c r="A1579" s="312" t="n">
        <x:f>ROW()-ROW($A$2)+1</x:f>
        <x:v>1578</x:v>
      </x:c>
      <x:c r="B1579" s="312" t="s">
        <x:v>9</x:v>
      </x:c>
      <x:c r="C1579" s="312" t="s">
        <x:v>30</x:v>
      </x:c>
      <x:c r="D1579" s="317">
        <x:v>2</x:v>
      </x:c>
      <x:c r="E1579" s="321">
        <x:v>1200</x:v>
      </x:c>
      <x:c r="F1579" s="321">
        <x:v>2400</x:v>
      </x:c>
      <x:c r="G1579" s="321">
        <x:v>800</x:v>
      </x:c>
      <x:c r="H1579" s="312" t="s">
        <x:v>60</x:v>
      </x:c>
      <x:c r="I1579" s="312" t="s">
        <x:v>46</x:v>
      </x:c>
      <x:c r="J1579" s="316" t="n">
        <x:f>IFERROR(G1579/F1579,0)</x:f>
        <x:v>0.3333333333333333</x:v>
      </x:c>
      <x:c r="K1579" s="312" t="str">
        <x:f>IF(B1579="Bilinmeyen Personel","Kontrol","OK")</x:f>
        <x:v>OK</x:v>
      </x:c>
    </x:row>
    <x:row r="1580" hidden="1">
      <x:c r="A1580" s="312" t="n">
        <x:f>ROW()-ROW($A$2)+1</x:f>
        <x:v>1579</x:v>
      </x:c>
      <x:c r="B1580" s="312" t="s">
        <x:v>32</x:v>
      </x:c>
      <x:c r="C1580" s="312" t="s">
        <x:v>33</x:v>
      </x:c>
      <x:c r="D1580" s="317">
        <x:v>5</x:v>
      </x:c>
      <x:c r="E1580" s="321">
        <x:v>1800</x:v>
      </x:c>
      <x:c r="F1580" s="321">
        <x:v>9000</x:v>
      </x:c>
      <x:c r="G1580" s="321">
        <x:v>5000</x:v>
      </x:c>
      <x:c r="H1580" s="312" t="s">
        <x:v>60</x:v>
      </x:c>
      <x:c r="I1580" s="312" t="s">
        <x:v>25</x:v>
      </x:c>
      <x:c r="J1580" s="316" t="n">
        <x:f>IFERROR(G1580/F1580,0)</x:f>
        <x:v>0.5555555555555556</x:v>
      </x:c>
      <x:c r="K1580" s="312" t="str">
        <x:f>IF(B1580="Bilinmeyen Personel","Kontrol","OK")</x:f>
        <x:v>OK</x:v>
      </x:c>
    </x:row>
    <x:row r="1581" hidden="1">
      <x:c r="A1581" s="312" t="n">
        <x:f>ROW()-ROW($A$2)+1</x:f>
        <x:v>1580</x:v>
      </x:c>
      <x:c r="B1581" s="312" t="s">
        <x:v>32</x:v>
      </x:c>
      <x:c r="C1581" s="312" t="s">
        <x:v>34</x:v>
      </x:c>
      <x:c r="D1581" s="317">
        <x:v>4</x:v>
      </x:c>
      <x:c r="E1581" s="321">
        <x:v>1090</x:v>
      </x:c>
      <x:c r="F1581" s="321">
        <x:v>4360</x:v>
      </x:c>
      <x:c r="G1581" s="321">
        <x:v>1160</x:v>
      </x:c>
      <x:c r="H1581" s="312" t="s">
        <x:v>60</x:v>
      </x:c>
      <x:c r="I1581" s="312" t="s">
        <x:v>15</x:v>
      </x:c>
      <x:c r="J1581" s="316" t="n">
        <x:f>IFERROR(G1581/F1581,0)</x:f>
        <x:v>0.26605504587155965</x:v>
      </x:c>
      <x:c r="K1581" s="312" t="str">
        <x:f>IF(B1581="Bilinmeyen Personel","Kontrol","OK")</x:f>
        <x:v>OK</x:v>
      </x:c>
    </x:row>
    <x:row r="1582" hidden="1">
      <x:c r="A1582" s="312" t="n">
        <x:f>ROW()-ROW($A$2)+1</x:f>
        <x:v>1581</x:v>
      </x:c>
      <x:c r="B1582" s="312" t="s">
        <x:v>29</x:v>
      </x:c>
      <x:c r="C1582" s="312" t="s">
        <x:v>22</x:v>
      </x:c>
      <x:c r="D1582" s="317">
        <x:v>5</x:v>
      </x:c>
      <x:c r="E1582" s="321">
        <x:v>2180</x:v>
      </x:c>
      <x:c r="F1582" s="321">
        <x:v>10900</x:v>
      </x:c>
      <x:c r="G1582" s="321">
        <x:v>3400</x:v>
      </x:c>
      <x:c r="H1582" s="312" t="s">
        <x:v>60</x:v>
      </x:c>
      <x:c r="I1582" s="312" t="s">
        <x:v>31</x:v>
      </x:c>
      <x:c r="J1582" s="316" t="n">
        <x:f>IFERROR(G1582/F1582,0)</x:f>
        <x:v>0.3119266055045872</x:v>
      </x:c>
      <x:c r="K1582" s="312" t="str">
        <x:f>IF(B1582="Bilinmeyen Personel","Kontrol","OK")</x:f>
        <x:v>OK</x:v>
      </x:c>
    </x:row>
    <x:row r="1583" hidden="1">
      <x:c r="A1583" s="312" t="n">
        <x:f>ROW()-ROW($A$2)+1</x:f>
        <x:v>1582</x:v>
      </x:c>
      <x:c r="B1583" s="312" t="s">
        <x:v>35</x:v>
      </x:c>
      <x:c r="C1583" s="312" t="s">
        <x:v>33</x:v>
      </x:c>
      <x:c r="D1583" s="317">
        <x:v>5</x:v>
      </x:c>
      <x:c r="E1583" s="321">
        <x:v>1800</x:v>
      </x:c>
      <x:c r="F1583" s="321">
        <x:v>9000</x:v>
      </x:c>
      <x:c r="G1583" s="321">
        <x:v>5000</x:v>
      </x:c>
      <x:c r="H1583" s="312" t="s">
        <x:v>60</x:v>
      </x:c>
      <x:c r="I1583" s="312" t="s">
        <x:v>54</x:v>
      </x:c>
      <x:c r="J1583" s="316" t="n">
        <x:f>IFERROR(G1583/F1583,0)</x:f>
        <x:v>0.5555555555555556</x:v>
      </x:c>
      <x:c r="K1583" s="312" t="str">
        <x:f>IF(B1583="Bilinmeyen Personel","Kontrol","OK")</x:f>
        <x:v>OK</x:v>
      </x:c>
    </x:row>
    <x:row r="1584" hidden="1">
      <x:c r="A1584" s="312" t="n">
        <x:f>ROW()-ROW($A$2)+1</x:f>
        <x:v>1583</x:v>
      </x:c>
      <x:c r="B1584" s="312" t="s">
        <x:v>23</x:v>
      </x:c>
      <x:c r="C1584" s="312" t="s">
        <x:v>36</x:v>
      </x:c>
      <x:c r="D1584" s="317">
        <x:v>4</x:v>
      </x:c>
      <x:c r="E1584" s="321">
        <x:v>8000</x:v>
      </x:c>
      <x:c r="F1584" s="321">
        <x:v>32000</x:v>
      </x:c>
      <x:c r="G1584" s="321">
        <x:v>8000</x:v>
      </x:c>
      <x:c r="H1584" s="312" t="s">
        <x:v>60</x:v>
      </x:c>
      <x:c r="I1584" s="312" t="s">
        <x:v>41</x:v>
      </x:c>
      <x:c r="J1584" s="316" t="n">
        <x:f>IFERROR(G1584/F1584,0)</x:f>
        <x:v>0.25</x:v>
      </x:c>
      <x:c r="K1584" s="312" t="str">
        <x:f>IF(B1584="Bilinmeyen Personel","Kontrol","OK")</x:f>
        <x:v>OK</x:v>
      </x:c>
    </x:row>
    <x:row r="1585" hidden="1">
      <x:c r="A1585" s="312" t="n">
        <x:f>ROW()-ROW($A$2)+1</x:f>
        <x:v>1584</x:v>
      </x:c>
      <x:c r="B1585" s="312" t="s">
        <x:v>29</x:v>
      </x:c>
      <x:c r="C1585" s="312" t="s">
        <x:v>14</x:v>
      </x:c>
      <x:c r="D1585" s="317">
        <x:v>5</x:v>
      </x:c>
      <x:c r="E1585" s="321">
        <x:v>1400</x:v>
      </x:c>
      <x:c r="F1585" s="321">
        <x:v>7000</x:v>
      </x:c>
      <x:c r="G1585" s="321">
        <x:v>3000</x:v>
      </x:c>
      <x:c r="H1585" s="312" t="s">
        <x:v>60</x:v>
      </x:c>
      <x:c r="I1585" s="312" t="s">
        <x:v>25</x:v>
      </x:c>
      <x:c r="J1585" s="316" t="n">
        <x:f>IFERROR(G1585/F1585,0)</x:f>
        <x:v>0.42857142857142855</x:v>
      </x:c>
      <x:c r="K1585" s="312" t="str">
        <x:f>IF(B1585="Bilinmeyen Personel","Kontrol","OK")</x:f>
        <x:v>OK</x:v>
      </x:c>
    </x:row>
    <x:row r="1586" hidden="1">
      <x:c r="A1586" s="312" t="n">
        <x:f>ROW()-ROW($A$2)+1</x:f>
        <x:v>1585</x:v>
      </x:c>
      <x:c r="B1586" s="312" t="s">
        <x:v>38</x:v>
      </x:c>
      <x:c r="C1586" s="312" t="s">
        <x:v>39</x:v>
      </x:c>
      <x:c r="D1586" s="317">
        <x:v>4</x:v>
      </x:c>
      <x:c r="E1586" s="321">
        <x:v>10590</x:v>
      </x:c>
      <x:c r="F1586" s="321">
        <x:v>42360</x:v>
      </x:c>
      <x:c r="G1586" s="321">
        <x:v>18360</x:v>
      </x:c>
      <x:c r="H1586" s="312" t="s">
        <x:v>60</x:v>
      </x:c>
      <x:c r="I1586" s="312" t="s">
        <x:v>42</x:v>
      </x:c>
      <x:c r="J1586" s="316" t="n">
        <x:f>IFERROR(G1586/F1586,0)</x:f>
        <x:v>0.43342776203966005</x:v>
      </x:c>
      <x:c r="K1586" s="312" t="str">
        <x:f>IF(B1586="Bilinmeyen Personel","Kontrol","OK")</x:f>
        <x:v>OK</x:v>
      </x:c>
    </x:row>
    <x:row r="1587" hidden="1">
      <x:c r="A1587" s="312" t="n">
        <x:f>ROW()-ROW($A$2)+1</x:f>
        <x:v>1586</x:v>
      </x:c>
      <x:c r="B1587" s="312" t="s">
        <x:v>40</x:v>
      </x:c>
      <x:c r="C1587" s="312" t="s">
        <x:v>20</x:v>
      </x:c>
      <x:c r="D1587" s="317">
        <x:v>3</x:v>
      </x:c>
      <x:c r="E1587" s="321">
        <x:v>1350</x:v>
      </x:c>
      <x:c r="F1587" s="321">
        <x:v>4050</x:v>
      </x:c>
      <x:c r="G1587" s="321">
        <x:v>1650</x:v>
      </x:c>
      <x:c r="H1587" s="312" t="s">
        <x:v>60</x:v>
      </x:c>
      <x:c r="I1587" s="312" t="s">
        <x:v>21</x:v>
      </x:c>
      <x:c r="J1587" s="316" t="n">
        <x:f>IFERROR(G1587/F1587,0)</x:f>
        <x:v>0.4074074074074074</x:v>
      </x:c>
      <x:c r="K1587" s="312" t="str">
        <x:f>IF(B1587="Bilinmeyen Personel","Kontrol","OK")</x:f>
        <x:v>OK</x:v>
      </x:c>
    </x:row>
    <x:row r="1588" hidden="1">
      <x:c r="A1588" s="312" t="n">
        <x:f>ROW()-ROW($A$2)+1</x:f>
        <x:v>1587</x:v>
      </x:c>
      <x:c r="B1588" s="312" t="s">
        <x:v>32</x:v>
      </x:c>
      <x:c r="C1588" s="312" t="s">
        <x:v>14</x:v>
      </x:c>
      <x:c r="D1588" s="317">
        <x:v>3</x:v>
      </x:c>
      <x:c r="E1588" s="321">
        <x:v>1400</x:v>
      </x:c>
      <x:c r="F1588" s="321">
        <x:v>4200</x:v>
      </x:c>
      <x:c r="G1588" s="321">
        <x:v>1800</x:v>
      </x:c>
      <x:c r="H1588" s="312" t="s">
        <x:v>60</x:v>
      </x:c>
      <x:c r="I1588" s="312" t="s">
        <x:v>54</x:v>
      </x:c>
      <x:c r="J1588" s="316" t="n">
        <x:f>IFERROR(G1588/F1588,0)</x:f>
        <x:v>0.42857142857142855</x:v>
      </x:c>
      <x:c r="K1588" s="312" t="str">
        <x:f>IF(B1588="Bilinmeyen Personel","Kontrol","OK")</x:f>
        <x:v>OK</x:v>
      </x:c>
    </x:row>
    <x:row r="1589" hidden="1">
      <x:c r="A1589" s="312" t="n">
        <x:f>ROW()-ROW($A$2)+1</x:f>
        <x:v>1588</x:v>
      </x:c>
      <x:c r="B1589" s="312" t="s">
        <x:v>19</x:v>
      </x:c>
      <x:c r="C1589" s="312" t="s">
        <x:v>10</x:v>
      </x:c>
      <x:c r="D1589" s="317">
        <x:v>2</x:v>
      </x:c>
      <x:c r="E1589" s="321">
        <x:v>6000</x:v>
      </x:c>
      <x:c r="F1589" s="321">
        <x:v>12000</x:v>
      </x:c>
      <x:c r="G1589" s="321">
        <x:v>4000</x:v>
      </x:c>
      <x:c r="H1589" s="312" t="s">
        <x:v>60</x:v>
      </x:c>
      <x:c r="I1589" s="312" t="s">
        <x:v>31</x:v>
      </x:c>
      <x:c r="J1589" s="316" t="n">
        <x:f>IFERROR(G1589/F1589,0)</x:f>
        <x:v>0.3333333333333333</x:v>
      </x:c>
      <x:c r="K1589" s="312" t="str">
        <x:f>IF(B1589="Bilinmeyen Personel","Kontrol","OK")</x:f>
        <x:v>OK</x:v>
      </x:c>
    </x:row>
    <x:row r="1590" hidden="1">
      <x:c r="A1590" s="312" t="n">
        <x:f>ROW()-ROW($A$2)+1</x:f>
        <x:v>1589</x:v>
      </x:c>
      <x:c r="B1590" s="312" t="s">
        <x:v>38</x:v>
      </x:c>
      <x:c r="C1590" s="312" t="s">
        <x:v>27</x:v>
      </x:c>
      <x:c r="D1590" s="317">
        <x:v>5</x:v>
      </x:c>
      <x:c r="E1590" s="321">
        <x:v>1100</x:v>
      </x:c>
      <x:c r="F1590" s="321">
        <x:v>5500</x:v>
      </x:c>
      <x:c r="G1590" s="321">
        <x:v>1500</x:v>
      </x:c>
      <x:c r="H1590" s="312" t="s">
        <x:v>60</x:v>
      </x:c>
      <x:c r="I1590" s="312" t="s">
        <x:v>44</x:v>
      </x:c>
      <x:c r="J1590" s="316" t="n">
        <x:f>IFERROR(G1590/F1590,0)</x:f>
        <x:v>0.2727272727272727</x:v>
      </x:c>
      <x:c r="K1590" s="312" t="str">
        <x:f>IF(B1590="Bilinmeyen Personel","Kontrol","OK")</x:f>
        <x:v>OK</x:v>
      </x:c>
    </x:row>
    <x:row r="1591" hidden="1">
      <x:c r="A1591" s="312" t="n">
        <x:f>ROW()-ROW($A$2)+1</x:f>
        <x:v>1590</x:v>
      </x:c>
      <x:c r="B1591" s="312" t="s">
        <x:v>16</x:v>
      </x:c>
      <x:c r="C1591" s="312" t="s">
        <x:v>10</x:v>
      </x:c>
      <x:c r="D1591" s="317">
        <x:v>3</x:v>
      </x:c>
      <x:c r="E1591" s="321">
        <x:v>6000</x:v>
      </x:c>
      <x:c r="F1591" s="321">
        <x:v>18000</x:v>
      </x:c>
      <x:c r="G1591" s="321">
        <x:v>6000</x:v>
      </x:c>
      <x:c r="H1591" s="312" t="s">
        <x:v>60</x:v>
      </x:c>
      <x:c r="I1591" s="312" t="s">
        <x:v>31</x:v>
      </x:c>
      <x:c r="J1591" s="316" t="n">
        <x:f>IFERROR(G1591/F1591,0)</x:f>
        <x:v>0.3333333333333333</x:v>
      </x:c>
      <x:c r="K1591" s="312" t="str">
        <x:f>IF(B1591="Bilinmeyen Personel","Kontrol","OK")</x:f>
        <x:v>OK</x:v>
      </x:c>
    </x:row>
    <x:row r="1592" hidden="1">
      <x:c r="A1592" s="312" t="n">
        <x:f>ROW()-ROW($A$2)+1</x:f>
        <x:v>1591</x:v>
      </x:c>
      <x:c r="B1592" s="312" t="s">
        <x:v>40</x:v>
      </x:c>
      <x:c r="C1592" s="312" t="s">
        <x:v>43</x:v>
      </x:c>
      <x:c r="D1592" s="317">
        <x:v>2</x:v>
      </x:c>
      <x:c r="E1592" s="321">
        <x:v>1490</x:v>
      </x:c>
      <x:c r="F1592" s="321">
        <x:v>2980</x:v>
      </x:c>
      <x:c r="G1592" s="321">
        <x:v>1380</x:v>
      </x:c>
      <x:c r="H1592" s="312" t="s">
        <x:v>60</x:v>
      </x:c>
      <x:c r="I1592" s="312" t="s">
        <x:v>46</x:v>
      </x:c>
      <x:c r="J1592" s="316" t="n">
        <x:f>IFERROR(G1592/F1592,0)</x:f>
        <x:v>0.46308724832214765</x:v>
      </x:c>
      <x:c r="K1592" s="312" t="str">
        <x:f>IF(B1592="Bilinmeyen Personel","Kontrol","OK")</x:f>
        <x:v>OK</x:v>
      </x:c>
    </x:row>
    <x:row r="1593" hidden="1">
      <x:c r="A1593" s="312" t="n">
        <x:f>ROW()-ROW($A$2)+1</x:f>
        <x:v>1592</x:v>
      </x:c>
      <x:c r="B1593" s="312" t="s">
        <x:v>38</x:v>
      </x:c>
      <x:c r="C1593" s="312" t="s">
        <x:v>39</x:v>
      </x:c>
      <x:c r="D1593" s="317">
        <x:v>2</x:v>
      </x:c>
      <x:c r="E1593" s="321">
        <x:v>10590</x:v>
      </x:c>
      <x:c r="F1593" s="321">
        <x:v>21180</x:v>
      </x:c>
      <x:c r="G1593" s="321">
        <x:v>9180</x:v>
      </x:c>
      <x:c r="H1593" s="312" t="s">
        <x:v>60</x:v>
      </x:c>
      <x:c r="I1593" s="312" t="s">
        <x:v>21</x:v>
      </x:c>
      <x:c r="J1593" s="316" t="n">
        <x:f>IFERROR(G1593/F1593,0)</x:f>
        <x:v>0.43342776203966005</x:v>
      </x:c>
      <x:c r="K1593" s="312" t="str">
        <x:f>IF(B1593="Bilinmeyen Personel","Kontrol","OK")</x:f>
        <x:v>OK</x:v>
      </x:c>
    </x:row>
    <x:row r="1594" hidden="1">
      <x:c r="A1594" s="312" t="n">
        <x:f>ROW()-ROW($A$2)+1</x:f>
        <x:v>1593</x:v>
      </x:c>
      <x:c r="B1594" s="312" t="s">
        <x:v>16</x:v>
      </x:c>
      <x:c r="C1594" s="312" t="s">
        <x:v>36</x:v>
      </x:c>
      <x:c r="D1594" s="317">
        <x:v>4</x:v>
      </x:c>
      <x:c r="E1594" s="321">
        <x:v>8000</x:v>
      </x:c>
      <x:c r="F1594" s="321">
        <x:v>32000</x:v>
      </x:c>
      <x:c r="G1594" s="321">
        <x:v>8000</x:v>
      </x:c>
      <x:c r="H1594" s="312" t="s">
        <x:v>60</x:v>
      </x:c>
      <x:c r="I1594" s="312" t="s">
        <x:v>44</x:v>
      </x:c>
      <x:c r="J1594" s="316" t="n">
        <x:f>IFERROR(G1594/F1594,0)</x:f>
        <x:v>0.25</x:v>
      </x:c>
      <x:c r="K1594" s="312" t="str">
        <x:f>IF(B1594="Bilinmeyen Personel","Kontrol","OK")</x:f>
        <x:v>OK</x:v>
      </x:c>
    </x:row>
    <x:row r="1595" hidden="1">
      <x:c r="A1595" s="312" t="n">
        <x:f>ROW()-ROW($A$2)+1</x:f>
        <x:v>1594</x:v>
      </x:c>
      <x:c r="B1595" s="312" t="s">
        <x:v>32</x:v>
      </x:c>
      <x:c r="C1595" s="312" t="s">
        <x:v>27</x:v>
      </x:c>
      <x:c r="D1595" s="317">
        <x:v>3</x:v>
      </x:c>
      <x:c r="E1595" s="321">
        <x:v>1100</x:v>
      </x:c>
      <x:c r="F1595" s="321">
        <x:v>3300</x:v>
      </x:c>
      <x:c r="G1595" s="321">
        <x:v>900</x:v>
      </x:c>
      <x:c r="H1595" s="312" t="s">
        <x:v>60</x:v>
      </x:c>
      <x:c r="I1595" s="312" t="s">
        <x:v>12</x:v>
      </x:c>
      <x:c r="J1595" s="316" t="n">
        <x:f>IFERROR(G1595/F1595,0)</x:f>
        <x:v>0.2727272727272727</x:v>
      </x:c>
      <x:c r="K1595" s="312" t="str">
        <x:f>IF(B1595="Bilinmeyen Personel","Kontrol","OK")</x:f>
        <x:v>OK</x:v>
      </x:c>
    </x:row>
    <x:row r="1596" hidden="1">
      <x:c r="A1596" s="312" t="n">
        <x:f>ROW()-ROW($A$2)+1</x:f>
        <x:v>1595</x:v>
      </x:c>
      <x:c r="B1596" s="312" t="s">
        <x:v>40</x:v>
      </x:c>
      <x:c r="C1596" s="312" t="s">
        <x:v>30</x:v>
      </x:c>
      <x:c r="D1596" s="317">
        <x:v>2</x:v>
      </x:c>
      <x:c r="E1596" s="321">
        <x:v>1200</x:v>
      </x:c>
      <x:c r="F1596" s="321">
        <x:v>2400</x:v>
      </x:c>
      <x:c r="G1596" s="321">
        <x:v>800</x:v>
      </x:c>
      <x:c r="H1596" s="312" t="s">
        <x:v>60</x:v>
      </x:c>
      <x:c r="I1596" s="312" t="s">
        <x:v>37</x:v>
      </x:c>
      <x:c r="J1596" s="316" t="n">
        <x:f>IFERROR(G1596/F1596,0)</x:f>
        <x:v>0.3333333333333333</x:v>
      </x:c>
      <x:c r="K1596" s="312" t="str">
        <x:f>IF(B1596="Bilinmeyen Personel","Kontrol","OK")</x:f>
        <x:v>OK</x:v>
      </x:c>
    </x:row>
    <x:row r="1597" hidden="1">
      <x:c r="A1597" s="312" t="n">
        <x:f>ROW()-ROW($A$2)+1</x:f>
        <x:v>1596</x:v>
      </x:c>
      <x:c r="B1597" s="312" t="s">
        <x:v>23</x:v>
      </x:c>
      <x:c r="C1597" s="312" t="s">
        <x:v>45</x:v>
      </x:c>
      <x:c r="D1597" s="317">
        <x:v>3</x:v>
      </x:c>
      <x:c r="E1597" s="321">
        <x:v>4200</x:v>
      </x:c>
      <x:c r="F1597" s="321">
        <x:v>12600</x:v>
      </x:c>
      <x:c r="G1597" s="321">
        <x:v>3600</x:v>
      </x:c>
      <x:c r="H1597" s="312" t="s">
        <x:v>60</x:v>
      </x:c>
      <x:c r="I1597" s="312" t="s">
        <x:v>25</x:v>
      </x:c>
      <x:c r="J1597" s="316" t="n">
        <x:f>IFERROR(G1597/F1597,0)</x:f>
        <x:v>0.2857142857142857</x:v>
      </x:c>
      <x:c r="K1597" s="312" t="str">
        <x:f>IF(B1597="Bilinmeyen Personel","Kontrol","OK")</x:f>
        <x:v>OK</x:v>
      </x:c>
    </x:row>
    <x:row r="1598" hidden="1">
      <x:c r="A1598" s="312" t="n">
        <x:f>ROW()-ROW($A$2)+1</x:f>
        <x:v>1597</x:v>
      </x:c>
      <x:c r="B1598" s="312" t="s">
        <x:v>13</x:v>
      </x:c>
      <x:c r="C1598" s="312" t="s">
        <x:v>47</x:v>
      </x:c>
      <x:c r="D1598" s="317">
        <x:v>2</x:v>
      </x:c>
      <x:c r="E1598" s="321">
        <x:v>5775</x:v>
      </x:c>
      <x:c r="F1598" s="321">
        <x:v>11550</x:v>
      </x:c>
      <x:c r="G1598" s="321">
        <x:v>3550</x:v>
      </x:c>
      <x:c r="H1598" s="312" t="s">
        <x:v>60</x:v>
      </x:c>
      <x:c r="I1598" s="312" t="s">
        <x:v>31</x:v>
      </x:c>
      <x:c r="J1598" s="316" t="n">
        <x:f>IFERROR(G1598/F1598,0)</x:f>
        <x:v>0.30735930735930733</x:v>
      </x:c>
      <x:c r="K1598" s="312" t="str">
        <x:f>IF(B1598="Bilinmeyen Personel","Kontrol","OK")</x:f>
        <x:v>OK</x:v>
      </x:c>
    </x:row>
    <x:row r="1599" hidden="1">
      <x:c r="A1599" s="312" t="n">
        <x:f>ROW()-ROW($A$2)+1</x:f>
        <x:v>1598</x:v>
      </x:c>
      <x:c r="B1599" s="312" t="s">
        <x:v>48</x:v>
      </x:c>
      <x:c r="C1599" s="312" t="s">
        <x:v>24</x:v>
      </x:c>
      <x:c r="D1599" s="317">
        <x:v>4</x:v>
      </x:c>
      <x:c r="E1599" s="321">
        <x:v>7600</x:v>
      </x:c>
      <x:c r="F1599" s="321">
        <x:v>30400</x:v>
      </x:c>
      <x:c r="G1599" s="321">
        <x:v>6400</x:v>
      </x:c>
      <x:c r="H1599" s="312" t="s">
        <x:v>60</x:v>
      </x:c>
      <x:c r="I1599" s="312" t="s">
        <x:v>44</x:v>
      </x:c>
      <x:c r="J1599" s="316" t="n">
        <x:f>IFERROR(G1599/F1599,0)</x:f>
        <x:v>0.21052631578947367</x:v>
      </x:c>
      <x:c r="K1599" s="312" t="str">
        <x:f>IF(B1599="Bilinmeyen Personel","Kontrol","OK")</x:f>
        <x:v>OK</x:v>
      </x:c>
    </x:row>
    <x:row r="1600" hidden="1">
      <x:c r="A1600" s="312" t="n">
        <x:f>ROW()-ROW($A$2)+1</x:f>
        <x:v>1599</x:v>
      </x:c>
      <x:c r="B1600" s="312" t="s">
        <x:v>13</x:v>
      </x:c>
      <x:c r="C1600" s="312" t="s">
        <x:v>26</x:v>
      </x:c>
      <x:c r="D1600" s="317">
        <x:v>2</x:v>
      </x:c>
      <x:c r="E1600" s="321">
        <x:v>7250</x:v>
      </x:c>
      <x:c r="F1600" s="321">
        <x:v>14500</x:v>
      </x:c>
      <x:c r="G1600" s="321">
        <x:v>4500</x:v>
      </x:c>
      <x:c r="H1600" s="312" t="s">
        <x:v>60</x:v>
      </x:c>
      <x:c r="I1600" s="312" t="s">
        <x:v>42</x:v>
      </x:c>
      <x:c r="J1600" s="316" t="n">
        <x:f>IFERROR(G1600/F1600,0)</x:f>
        <x:v>0.3103448275862069</x:v>
      </x:c>
      <x:c r="K1600" s="312" t="str">
        <x:f>IF(B1600="Bilinmeyen Personel","Kontrol","OK")</x:f>
        <x:v>OK</x:v>
      </x:c>
    </x:row>
    <x:row r="1601" hidden="1">
      <x:c r="A1601" s="312" t="n">
        <x:f>ROW()-ROW($A$2)+1</x:f>
        <x:v>1600</x:v>
      </x:c>
      <x:c r="B1601" s="312" t="s">
        <x:v>9</x:v>
      </x:c>
      <x:c r="C1601" s="312" t="s">
        <x:v>26</x:v>
      </x:c>
      <x:c r="D1601" s="317">
        <x:v>3</x:v>
      </x:c>
      <x:c r="E1601" s="321">
        <x:v>7250</x:v>
      </x:c>
      <x:c r="F1601" s="321">
        <x:v>21750</x:v>
      </x:c>
      <x:c r="G1601" s="321">
        <x:v>6750</x:v>
      </x:c>
      <x:c r="H1601" s="312" t="s">
        <x:v>60</x:v>
      </x:c>
      <x:c r="I1601" s="312" t="s">
        <x:v>28</x:v>
      </x:c>
      <x:c r="J1601" s="316" t="n">
        <x:f>IFERROR(G1601/F1601,0)</x:f>
        <x:v>0.3103448275862069</x:v>
      </x:c>
      <x:c r="K1601" s="312" t="str">
        <x:f>IF(B1601="Bilinmeyen Personel","Kontrol","OK")</x:f>
        <x:v>OK</x:v>
      </x:c>
    </x:row>
    <x:row r="1602" hidden="1">
      <x:c r="A1602" s="312" t="n">
        <x:f>ROW()-ROW($A$2)+1</x:f>
        <x:v>1601</x:v>
      </x:c>
      <x:c r="B1602" s="312" t="s">
        <x:v>38</x:v>
      </x:c>
      <x:c r="C1602" s="312" t="s">
        <x:v>26</x:v>
      </x:c>
      <x:c r="D1602" s="317">
        <x:v>3</x:v>
      </x:c>
      <x:c r="E1602" s="321">
        <x:v>7250</x:v>
      </x:c>
      <x:c r="F1602" s="321">
        <x:v>21750</x:v>
      </x:c>
      <x:c r="G1602" s="321">
        <x:v>6750</x:v>
      </x:c>
      <x:c r="H1602" s="312" t="s">
        <x:v>60</x:v>
      </x:c>
      <x:c r="I1602" s="312" t="s">
        <x:v>37</x:v>
      </x:c>
      <x:c r="J1602" s="316" t="n">
        <x:f>IFERROR(G1602/F1602,0)</x:f>
        <x:v>0.3103448275862069</x:v>
      </x:c>
      <x:c r="K1602" s="312" t="str">
        <x:f>IF(B1602="Bilinmeyen Personel","Kontrol","OK")</x:f>
        <x:v>OK</x:v>
      </x:c>
    </x:row>
    <x:row r="1603" hidden="1">
      <x:c r="A1603" s="312" t="n">
        <x:f>ROW()-ROW($A$2)+1</x:f>
        <x:v>1602</x:v>
      </x:c>
      <x:c r="B1603" s="312" t="s">
        <x:v>29</x:v>
      </x:c>
      <x:c r="C1603" s="312" t="s">
        <x:v>20</x:v>
      </x:c>
      <x:c r="D1603" s="317">
        <x:v>5</x:v>
      </x:c>
      <x:c r="E1603" s="321">
        <x:v>1350</x:v>
      </x:c>
      <x:c r="F1603" s="321">
        <x:v>6750</x:v>
      </x:c>
      <x:c r="G1603" s="321">
        <x:v>2750</x:v>
      </x:c>
      <x:c r="H1603" s="312" t="s">
        <x:v>60</x:v>
      </x:c>
      <x:c r="I1603" s="312" t="s">
        <x:v>31</x:v>
      </x:c>
      <x:c r="J1603" s="316" t="n">
        <x:f>IFERROR(G1603/F1603,0)</x:f>
        <x:v>0.4074074074074074</x:v>
      </x:c>
      <x:c r="K1603" s="312" t="str">
        <x:f>IF(B1603="Bilinmeyen Personel","Kontrol","OK")</x:f>
        <x:v>OK</x:v>
      </x:c>
    </x:row>
    <x:row r="1604" hidden="1">
      <x:c r="A1604" s="312" t="n">
        <x:f>ROW()-ROW($A$2)+1</x:f>
        <x:v>1603</x:v>
      </x:c>
      <x:c r="B1604" s="312" t="s">
        <x:v>13</x:v>
      </x:c>
      <x:c r="C1604" s="312" t="s">
        <x:v>26</x:v>
      </x:c>
      <x:c r="D1604" s="317">
        <x:v>5</x:v>
      </x:c>
      <x:c r="E1604" s="321">
        <x:v>7250</x:v>
      </x:c>
      <x:c r="F1604" s="321">
        <x:v>36250</x:v>
      </x:c>
      <x:c r="G1604" s="321">
        <x:v>11250</x:v>
      </x:c>
      <x:c r="H1604" s="312" t="s">
        <x:v>60</x:v>
      </x:c>
      <x:c r="I1604" s="312" t="s">
        <x:v>54</x:v>
      </x:c>
      <x:c r="J1604" s="316" t="n">
        <x:f>IFERROR(G1604/F1604,0)</x:f>
        <x:v>0.3103448275862069</x:v>
      </x:c>
      <x:c r="K1604" s="312" t="str">
        <x:f>IF(B1604="Bilinmeyen Personel","Kontrol","OK")</x:f>
        <x:v>OK</x:v>
      </x:c>
    </x:row>
    <x:row r="1605" hidden="1">
      <x:c r="A1605" s="312" t="n">
        <x:f>ROW()-ROW($A$2)+1</x:f>
        <x:v>1604</x:v>
      </x:c>
      <x:c r="B1605" s="312" t="s">
        <x:v>32</x:v>
      </x:c>
      <x:c r="C1605" s="312" t="s">
        <x:v>24</x:v>
      </x:c>
      <x:c r="D1605" s="317">
        <x:v>5</x:v>
      </x:c>
      <x:c r="E1605" s="321">
        <x:v>7600</x:v>
      </x:c>
      <x:c r="F1605" s="321">
        <x:v>38000</x:v>
      </x:c>
      <x:c r="G1605" s="321">
        <x:v>8000</x:v>
      </x:c>
      <x:c r="H1605" s="312" t="s">
        <x:v>60</x:v>
      </x:c>
      <x:c r="I1605" s="312" t="s">
        <x:v>15</x:v>
      </x:c>
      <x:c r="J1605" s="316" t="n">
        <x:f>IFERROR(G1605/F1605,0)</x:f>
        <x:v>0.21052631578947367</x:v>
      </x:c>
      <x:c r="K1605" s="312" t="str">
        <x:f>IF(B1605="Bilinmeyen Personel","Kontrol","OK")</x:f>
        <x:v>OK</x:v>
      </x:c>
    </x:row>
    <x:row r="1606" hidden="1">
      <x:c r="A1606" s="312" t="n">
        <x:f>ROW()-ROW($A$2)+1</x:f>
        <x:v>1605</x:v>
      </x:c>
      <x:c r="B1606" s="312" t="s">
        <x:v>50</x:v>
      </x:c>
      <x:c r="C1606" s="312" t="s">
        <x:v>24</x:v>
      </x:c>
      <x:c r="D1606" s="317">
        <x:v>4</x:v>
      </x:c>
      <x:c r="E1606" s="321">
        <x:v>7600</x:v>
      </x:c>
      <x:c r="F1606" s="321">
        <x:v>30400</x:v>
      </x:c>
      <x:c r="G1606" s="321">
        <x:v>6400</x:v>
      </x:c>
      <x:c r="H1606" s="312" t="s">
        <x:v>60</x:v>
      </x:c>
      <x:c r="I1606" s="312" t="s">
        <x:v>21</x:v>
      </x:c>
      <x:c r="J1606" s="316" t="n">
        <x:f>IFERROR(G1606/F1606,0)</x:f>
        <x:v>0.21052631578947367</x:v>
      </x:c>
      <x:c r="K1606" s="312" t="str">
        <x:f>IF(B1606="Bilinmeyen Personel","Kontrol","OK")</x:f>
        <x:v>OK</x:v>
      </x:c>
    </x:row>
    <x:row r="1607" hidden="1">
      <x:c r="A1607" s="312" t="n">
        <x:f>ROW()-ROW($A$2)+1</x:f>
        <x:v>1606</x:v>
      </x:c>
      <x:c r="B1607" s="312" t="s">
        <x:v>13</x:v>
      </x:c>
      <x:c r="C1607" s="312" t="s">
        <x:v>43</x:v>
      </x:c>
      <x:c r="D1607" s="317">
        <x:v>4</x:v>
      </x:c>
      <x:c r="E1607" s="321">
        <x:v>1490</x:v>
      </x:c>
      <x:c r="F1607" s="321">
        <x:v>5960</x:v>
      </x:c>
      <x:c r="G1607" s="321">
        <x:v>2760</x:v>
      </x:c>
      <x:c r="H1607" s="312" t="s">
        <x:v>60</x:v>
      </x:c>
      <x:c r="I1607" s="312" t="s">
        <x:v>18</x:v>
      </x:c>
      <x:c r="J1607" s="316" t="n">
        <x:f>IFERROR(G1607/F1607,0)</x:f>
        <x:v>0.46308724832214765</x:v>
      </x:c>
      <x:c r="K1607" s="312" t="str">
        <x:f>IF(B1607="Bilinmeyen Personel","Kontrol","OK")</x:f>
        <x:v>OK</x:v>
      </x:c>
    </x:row>
    <x:row r="1608" hidden="1">
      <x:c r="A1608" s="312" t="n">
        <x:f>ROW()-ROW($A$2)+1</x:f>
        <x:v>1607</x:v>
      </x:c>
      <x:c r="B1608" s="312" t="s">
        <x:v>29</x:v>
      </x:c>
      <x:c r="C1608" s="312" t="s">
        <x:v>51</x:v>
      </x:c>
      <x:c r="D1608" s="317">
        <x:v>5</x:v>
      </x:c>
      <x:c r="E1608" s="321">
        <x:v>2900</x:v>
      </x:c>
      <x:c r="F1608" s="321">
        <x:v>14500</x:v>
      </x:c>
      <x:c r="G1608" s="321">
        <x:v>4500</x:v>
      </x:c>
      <x:c r="H1608" s="312" t="s">
        <x:v>60</x:v>
      </x:c>
      <x:c r="I1608" s="312" t="s">
        <x:v>46</x:v>
      </x:c>
      <x:c r="J1608" s="316" t="n">
        <x:f>IFERROR(G1608/F1608,0)</x:f>
        <x:v>0.3103448275862069</x:v>
      </x:c>
      <x:c r="K1608" s="312" t="str">
        <x:f>IF(B1608="Bilinmeyen Personel","Kontrol","OK")</x:f>
        <x:v>OK</x:v>
      </x:c>
    </x:row>
    <x:row r="1609" hidden="1">
      <x:c r="A1609" s="312" t="n">
        <x:f>ROW()-ROW($A$2)+1</x:f>
        <x:v>1608</x:v>
      </x:c>
      <x:c r="B1609" s="312" t="s">
        <x:v>40</x:v>
      </x:c>
      <x:c r="C1609" s="312" t="s">
        <x:v>43</x:v>
      </x:c>
      <x:c r="D1609" s="317">
        <x:v>4</x:v>
      </x:c>
      <x:c r="E1609" s="321">
        <x:v>1490</x:v>
      </x:c>
      <x:c r="F1609" s="321">
        <x:v>5960</x:v>
      </x:c>
      <x:c r="G1609" s="321">
        <x:v>2760</x:v>
      </x:c>
      <x:c r="H1609" s="312" t="s">
        <x:v>60</x:v>
      </x:c>
      <x:c r="I1609" s="312" t="s">
        <x:v>15</x:v>
      </x:c>
      <x:c r="J1609" s="316" t="n">
        <x:f>IFERROR(G1609/F1609,0)</x:f>
        <x:v>0.46308724832214765</x:v>
      </x:c>
      <x:c r="K1609" s="312" t="str">
        <x:f>IF(B1609="Bilinmeyen Personel","Kontrol","OK")</x:f>
        <x:v>OK</x:v>
      </x:c>
    </x:row>
    <x:row r="1610" hidden="1">
      <x:c r="A1610" s="312" t="n">
        <x:f>ROW()-ROW($A$2)+1</x:f>
        <x:v>1609</x:v>
      </x:c>
      <x:c r="B1610" s="312" t="s">
        <x:v>40</x:v>
      </x:c>
      <x:c r="C1610" s="312" t="s">
        <x:v>34</x:v>
      </x:c>
      <x:c r="D1610" s="317">
        <x:v>2</x:v>
      </x:c>
      <x:c r="E1610" s="321">
        <x:v>1090</x:v>
      </x:c>
      <x:c r="F1610" s="321">
        <x:v>2180</x:v>
      </x:c>
      <x:c r="G1610" s="321">
        <x:v>580</x:v>
      </x:c>
      <x:c r="H1610" s="312" t="s">
        <x:v>60</x:v>
      </x:c>
      <x:c r="I1610" s="312" t="s">
        <x:v>28</x:v>
      </x:c>
      <x:c r="J1610" s="316" t="n">
        <x:f>IFERROR(G1610/F1610,0)</x:f>
        <x:v>0.26605504587155965</x:v>
      </x:c>
      <x:c r="K1610" s="312" t="str">
        <x:f>IF(B1610="Bilinmeyen Personel","Kontrol","OK")</x:f>
        <x:v>OK</x:v>
      </x:c>
    </x:row>
    <x:row r="1611" hidden="1">
      <x:c r="A1611" s="312" t="n">
        <x:f>ROW()-ROW($A$2)+1</x:f>
        <x:v>1610</x:v>
      </x:c>
      <x:c r="B1611" s="312" t="s">
        <x:v>29</x:v>
      </x:c>
      <x:c r="C1611" s="312" t="s">
        <x:v>30</x:v>
      </x:c>
      <x:c r="D1611" s="317">
        <x:v>3</x:v>
      </x:c>
      <x:c r="E1611" s="321">
        <x:v>1200</x:v>
      </x:c>
      <x:c r="F1611" s="321">
        <x:v>3600</x:v>
      </x:c>
      <x:c r="G1611" s="321">
        <x:v>1200</x:v>
      </x:c>
      <x:c r="H1611" s="312" t="s">
        <x:v>60</x:v>
      </x:c>
      <x:c r="I1611" s="312" t="s">
        <x:v>54</x:v>
      </x:c>
      <x:c r="J1611" s="316" t="n">
        <x:f>IFERROR(G1611/F1611,0)</x:f>
        <x:v>0.3333333333333333</x:v>
      </x:c>
      <x:c r="K1611" s="312" t="str">
        <x:f>IF(B1611="Bilinmeyen Personel","Kontrol","OK")</x:f>
        <x:v>OK</x:v>
      </x:c>
    </x:row>
    <x:row r="1612" hidden="1">
      <x:c r="A1612" s="312" t="n">
        <x:f>ROW()-ROW($A$2)+1</x:f>
        <x:v>1611</x:v>
      </x:c>
      <x:c r="B1612" s="312" t="s">
        <x:v>38</x:v>
      </x:c>
      <x:c r="C1612" s="312" t="s">
        <x:v>39</x:v>
      </x:c>
      <x:c r="D1612" s="317">
        <x:v>4</x:v>
      </x:c>
      <x:c r="E1612" s="321">
        <x:v>10590</x:v>
      </x:c>
      <x:c r="F1612" s="321">
        <x:v>42360</x:v>
      </x:c>
      <x:c r="G1612" s="321">
        <x:v>18360</x:v>
      </x:c>
      <x:c r="H1612" s="312" t="s">
        <x:v>60</x:v>
      </x:c>
      <x:c r="I1612" s="312" t="s">
        <x:v>31</x:v>
      </x:c>
      <x:c r="J1612" s="316" t="n">
        <x:f>IFERROR(G1612/F1612,0)</x:f>
        <x:v>0.43342776203966005</x:v>
      </x:c>
      <x:c r="K1612" s="312" t="str">
        <x:f>IF(B1612="Bilinmeyen Personel","Kontrol","OK")</x:f>
        <x:v>OK</x:v>
      </x:c>
    </x:row>
    <x:row r="1613" hidden="1">
      <x:c r="A1613" s="312" t="n">
        <x:f>ROW()-ROW($A$2)+1</x:f>
        <x:v>1612</x:v>
      </x:c>
      <x:c r="B1613" s="312" t="s">
        <x:v>32</x:v>
      </x:c>
      <x:c r="C1613" s="312" t="s">
        <x:v>45</x:v>
      </x:c>
      <x:c r="D1613" s="317">
        <x:v>2</x:v>
      </x:c>
      <x:c r="E1613" s="321">
        <x:v>4200</x:v>
      </x:c>
      <x:c r="F1613" s="321">
        <x:v>8400</x:v>
      </x:c>
      <x:c r="G1613" s="321">
        <x:v>2400</x:v>
      </x:c>
      <x:c r="H1613" s="312" t="s">
        <x:v>60</x:v>
      </x:c>
      <x:c r="I1613" s="312" t="s">
        <x:v>37</x:v>
      </x:c>
      <x:c r="J1613" s="316" t="n">
        <x:f>IFERROR(G1613/F1613,0)</x:f>
        <x:v>0.2857142857142857</x:v>
      </x:c>
      <x:c r="K1613" s="312" t="str">
        <x:f>IF(B1613="Bilinmeyen Personel","Kontrol","OK")</x:f>
        <x:v>OK</x:v>
      </x:c>
    </x:row>
    <x:row r="1614" hidden="1">
      <x:c r="A1614" s="312" t="n">
        <x:f>ROW()-ROW($A$2)+1</x:f>
        <x:v>1613</x:v>
      </x:c>
      <x:c r="B1614" s="312" t="s">
        <x:v>19</x:v>
      </x:c>
      <x:c r="C1614" s="312" t="s">
        <x:v>45</x:v>
      </x:c>
      <x:c r="D1614" s="317">
        <x:v>5</x:v>
      </x:c>
      <x:c r="E1614" s="321">
        <x:v>4200</x:v>
      </x:c>
      <x:c r="F1614" s="321">
        <x:v>21000</x:v>
      </x:c>
      <x:c r="G1614" s="321">
        <x:v>6000</x:v>
      </x:c>
      <x:c r="H1614" s="312" t="s">
        <x:v>60</x:v>
      </x:c>
      <x:c r="I1614" s="312" t="s">
        <x:v>18</x:v>
      </x:c>
      <x:c r="J1614" s="316" t="n">
        <x:f>IFERROR(G1614/F1614,0)</x:f>
        <x:v>0.2857142857142857</x:v>
      </x:c>
      <x:c r="K1614" s="312" t="str">
        <x:f>IF(B1614="Bilinmeyen Personel","Kontrol","OK")</x:f>
        <x:v>OK</x:v>
      </x:c>
    </x:row>
    <x:row r="1615" hidden="1">
      <x:c r="A1615" s="312" t="n">
        <x:f>ROW()-ROW($A$2)+1</x:f>
        <x:v>1614</x:v>
      </x:c>
      <x:c r="B1615" s="312" t="s">
        <x:v>35</x:v>
      </x:c>
      <x:c r="C1615" s="312" t="s">
        <x:v>39</x:v>
      </x:c>
      <x:c r="D1615" s="317">
        <x:v>2</x:v>
      </x:c>
      <x:c r="E1615" s="321">
        <x:v>10590</x:v>
      </x:c>
      <x:c r="F1615" s="321">
        <x:v>21180</x:v>
      </x:c>
      <x:c r="G1615" s="321">
        <x:v>9180</x:v>
      </x:c>
      <x:c r="H1615" s="312" t="s">
        <x:v>60</x:v>
      </x:c>
      <x:c r="I1615" s="312" t="s">
        <x:v>18</x:v>
      </x:c>
      <x:c r="J1615" s="316" t="n">
        <x:f>IFERROR(G1615/F1615,0)</x:f>
        <x:v>0.43342776203966005</x:v>
      </x:c>
      <x:c r="K1615" s="312" t="str">
        <x:f>IF(B1615="Bilinmeyen Personel","Kontrol","OK")</x:f>
        <x:v>OK</x:v>
      </x:c>
    </x:row>
    <x:row r="1616" hidden="1">
      <x:c r="A1616" s="312" t="n">
        <x:f>ROW()-ROW($A$2)+1</x:f>
        <x:v>1615</x:v>
      </x:c>
      <x:c r="B1616" s="312" t="s">
        <x:v>50</x:v>
      </x:c>
      <x:c r="C1616" s="312" t="s">
        <x:v>52</x:v>
      </x:c>
      <x:c r="D1616" s="317">
        <x:v>4</x:v>
      </x:c>
      <x:c r="E1616" s="321">
        <x:v>1250</x:v>
      </x:c>
      <x:c r="F1616" s="321">
        <x:v>5000</x:v>
      </x:c>
      <x:c r="G1616" s="321">
        <x:v>1800</x:v>
      </x:c>
      <x:c r="H1616" s="312" t="s">
        <x:v>60</x:v>
      </x:c>
      <x:c r="I1616" s="312" t="s">
        <x:v>21</x:v>
      </x:c>
      <x:c r="J1616" s="316" t="n">
        <x:f>IFERROR(G1616/F1616,0)</x:f>
        <x:v>0.36</x:v>
      </x:c>
      <x:c r="K1616" s="312" t="str">
        <x:f>IF(B1616="Bilinmeyen Personel","Kontrol","OK")</x:f>
        <x:v>OK</x:v>
      </x:c>
    </x:row>
    <x:row r="1617" hidden="1">
      <x:c r="A1617" s="312" t="n">
        <x:f>ROW()-ROW($A$2)+1</x:f>
        <x:v>1616</x:v>
      </x:c>
      <x:c r="B1617" s="312" t="s">
        <x:v>9</x:v>
      </x:c>
      <x:c r="C1617" s="312" t="s">
        <x:v>43</x:v>
      </x:c>
      <x:c r="D1617" s="317">
        <x:v>4</x:v>
      </x:c>
      <x:c r="E1617" s="321">
        <x:v>1490</x:v>
      </x:c>
      <x:c r="F1617" s="321">
        <x:v>5960</x:v>
      </x:c>
      <x:c r="G1617" s="321">
        <x:v>2760</x:v>
      </x:c>
      <x:c r="H1617" s="312" t="s">
        <x:v>60</x:v>
      </x:c>
      <x:c r="I1617" s="312" t="s">
        <x:v>44</x:v>
      </x:c>
      <x:c r="J1617" s="316" t="n">
        <x:f>IFERROR(G1617/F1617,0)</x:f>
        <x:v>0.46308724832214765</x:v>
      </x:c>
      <x:c r="K1617" s="312" t="str">
        <x:f>IF(B1617="Bilinmeyen Personel","Kontrol","OK")</x:f>
        <x:v>OK</x:v>
      </x:c>
    </x:row>
    <x:row r="1618" hidden="1">
      <x:c r="A1618" s="312" t="n">
        <x:f>ROW()-ROW($A$2)+1</x:f>
        <x:v>1617</x:v>
      </x:c>
      <x:c r="B1618" s="312" t="s">
        <x:v>32</x:v>
      </x:c>
      <x:c r="C1618" s="312" t="s">
        <x:v>30</x:v>
      </x:c>
      <x:c r="D1618" s="317">
        <x:v>4</x:v>
      </x:c>
      <x:c r="E1618" s="321">
        <x:v>1200</x:v>
      </x:c>
      <x:c r="F1618" s="321">
        <x:v>4800</x:v>
      </x:c>
      <x:c r="G1618" s="321">
        <x:v>1600</x:v>
      </x:c>
      <x:c r="H1618" s="312" t="s">
        <x:v>60</x:v>
      </x:c>
      <x:c r="I1618" s="312" t="s">
        <x:v>44</x:v>
      </x:c>
      <x:c r="J1618" s="316" t="n">
        <x:f>IFERROR(G1618/F1618,0)</x:f>
        <x:v>0.3333333333333333</x:v>
      </x:c>
      <x:c r="K1618" s="312" t="str">
        <x:f>IF(B1618="Bilinmeyen Personel","Kontrol","OK")</x:f>
        <x:v>OK</x:v>
      </x:c>
    </x:row>
    <x:row r="1619" hidden="1">
      <x:c r="A1619" s="312" t="n">
        <x:f>ROW()-ROW($A$2)+1</x:f>
        <x:v>1618</x:v>
      </x:c>
      <x:c r="B1619" s="312" t="s">
        <x:v>16</x:v>
      </x:c>
      <x:c r="C1619" s="312" t="s">
        <x:v>22</x:v>
      </x:c>
      <x:c r="D1619" s="317">
        <x:v>3</x:v>
      </x:c>
      <x:c r="E1619" s="321">
        <x:v>2180</x:v>
      </x:c>
      <x:c r="F1619" s="321">
        <x:v>6540</x:v>
      </x:c>
      <x:c r="G1619" s="321">
        <x:v>2040</x:v>
      </x:c>
      <x:c r="H1619" s="312" t="s">
        <x:v>60</x:v>
      </x:c>
      <x:c r="I1619" s="312" t="s">
        <x:v>54</x:v>
      </x:c>
      <x:c r="J1619" s="316" t="n">
        <x:f>IFERROR(G1619/F1619,0)</x:f>
        <x:v>0.3119266055045872</x:v>
      </x:c>
      <x:c r="K1619" s="312" t="str">
        <x:f>IF(B1619="Bilinmeyen Personel","Kontrol","OK")</x:f>
        <x:v>OK</x:v>
      </x:c>
    </x:row>
    <x:row r="1620" hidden="1">
      <x:c r="A1620" s="312" t="n">
        <x:f>ROW()-ROW($A$2)+1</x:f>
        <x:v>1619</x:v>
      </x:c>
      <x:c r="B1620" s="312" t="s">
        <x:v>40</x:v>
      </x:c>
      <x:c r="C1620" s="312" t="s">
        <x:v>53</x:v>
      </x:c>
      <x:c r="D1620" s="317">
        <x:v>2</x:v>
      </x:c>
      <x:c r="E1620" s="321">
        <x:v>1200</x:v>
      </x:c>
      <x:c r="F1620" s="321">
        <x:v>2400</x:v>
      </x:c>
      <x:c r="G1620" s="321">
        <x:v>800</x:v>
      </x:c>
      <x:c r="H1620" s="312" t="s">
        <x:v>60</x:v>
      </x:c>
      <x:c r="I1620" s="312" t="s">
        <x:v>54</x:v>
      </x:c>
      <x:c r="J1620" s="316" t="n">
        <x:f>IFERROR(G1620/F1620,0)</x:f>
        <x:v>0.3333333333333333</x:v>
      </x:c>
      <x:c r="K1620" s="312" t="str">
        <x:f>IF(B1620="Bilinmeyen Personel","Kontrol","OK")</x:f>
        <x:v>OK</x:v>
      </x:c>
    </x:row>
    <x:row r="1621" hidden="1">
      <x:c r="A1621" s="312" t="n">
        <x:f>ROW()-ROW($A$2)+1</x:f>
        <x:v>1620</x:v>
      </x:c>
      <x:c r="B1621" s="312" t="s">
        <x:v>9</x:v>
      </x:c>
      <x:c r="C1621" s="312" t="s">
        <x:v>33</x:v>
      </x:c>
      <x:c r="D1621" s="317">
        <x:v>4</x:v>
      </x:c>
      <x:c r="E1621" s="321">
        <x:v>1800</x:v>
      </x:c>
      <x:c r="F1621" s="321">
        <x:v>7200</x:v>
      </x:c>
      <x:c r="G1621" s="321">
        <x:v>4000</x:v>
      </x:c>
      <x:c r="H1621" s="312" t="s">
        <x:v>60</x:v>
      </x:c>
      <x:c r="I1621" s="312" t="s">
        <x:v>15</x:v>
      </x:c>
      <x:c r="J1621" s="316" t="n">
        <x:f>IFERROR(G1621/F1621,0)</x:f>
        <x:v>0.5555555555555556</x:v>
      </x:c>
      <x:c r="K1621" s="312" t="str">
        <x:f>IF(B1621="Bilinmeyen Personel","Kontrol","OK")</x:f>
        <x:v>OK</x:v>
      </x:c>
    </x:row>
    <x:row r="1622" hidden="1">
      <x:c r="A1622" s="312" t="n">
        <x:f>ROW()-ROW($A$2)+1</x:f>
        <x:v>1621</x:v>
      </x:c>
      <x:c r="B1622" s="312" t="s">
        <x:v>16</x:v>
      </x:c>
      <x:c r="C1622" s="312" t="s">
        <x:v>24</x:v>
      </x:c>
      <x:c r="D1622" s="317">
        <x:v>2</x:v>
      </x:c>
      <x:c r="E1622" s="321">
        <x:v>7600</x:v>
      </x:c>
      <x:c r="F1622" s="321">
        <x:v>15200</x:v>
      </x:c>
      <x:c r="G1622" s="321">
        <x:v>3200</x:v>
      </x:c>
      <x:c r="H1622" s="312" t="s">
        <x:v>60</x:v>
      </x:c>
      <x:c r="I1622" s="312" t="s">
        <x:v>12</x:v>
      </x:c>
      <x:c r="J1622" s="316" t="n">
        <x:f>IFERROR(G1622/F1622,0)</x:f>
        <x:v>0.21052631578947367</x:v>
      </x:c>
      <x:c r="K1622" s="312" t="str">
        <x:f>IF(B1622="Bilinmeyen Personel","Kontrol","OK")</x:f>
        <x:v>OK</x:v>
      </x:c>
    </x:row>
    <x:row r="1623" hidden="1">
      <x:c r="A1623" s="312" t="n">
        <x:f>ROW()-ROW($A$2)+1</x:f>
        <x:v>1622</x:v>
      </x:c>
      <x:c r="B1623" s="312" t="s">
        <x:v>35</x:v>
      </x:c>
      <x:c r="C1623" s="312" t="s">
        <x:v>55</x:v>
      </x:c>
      <x:c r="D1623" s="317">
        <x:v>4</x:v>
      </x:c>
      <x:c r="E1623" s="321">
        <x:v>7530</x:v>
      </x:c>
      <x:c r="F1623" s="321">
        <x:v>30120</x:v>
      </x:c>
      <x:c r="G1623" s="321">
        <x:v>6120</x:v>
      </x:c>
      <x:c r="H1623" s="312" t="s">
        <x:v>60</x:v>
      </x:c>
      <x:c r="I1623" s="312" t="s">
        <x:v>54</x:v>
      </x:c>
      <x:c r="J1623" s="316" t="n">
        <x:f>IFERROR(G1623/F1623,0)</x:f>
        <x:v>0.20318725099601595</x:v>
      </x:c>
      <x:c r="K1623" s="312" t="str">
        <x:f>IF(B1623="Bilinmeyen Personel","Kontrol","OK")</x:f>
        <x:v>OK</x:v>
      </x:c>
    </x:row>
    <x:row r="1624" hidden="1">
      <x:c r="A1624" s="312" t="n">
        <x:f>ROW()-ROW($A$2)+1</x:f>
        <x:v>1623</x:v>
      </x:c>
      <x:c r="B1624" s="312" t="s">
        <x:v>50</x:v>
      </x:c>
      <x:c r="C1624" s="312" t="s">
        <x:v>43</x:v>
      </x:c>
      <x:c r="D1624" s="317">
        <x:v>2</x:v>
      </x:c>
      <x:c r="E1624" s="321">
        <x:v>1490</x:v>
      </x:c>
      <x:c r="F1624" s="321">
        <x:v>2980</x:v>
      </x:c>
      <x:c r="G1624" s="321">
        <x:v>1380</x:v>
      </x:c>
      <x:c r="H1624" s="312" t="s">
        <x:v>60</x:v>
      </x:c>
      <x:c r="I1624" s="312" t="s">
        <x:v>31</x:v>
      </x:c>
      <x:c r="J1624" s="316" t="n">
        <x:f>IFERROR(G1624/F1624,0)</x:f>
        <x:v>0.46308724832214765</x:v>
      </x:c>
      <x:c r="K1624" s="312" t="str">
        <x:f>IF(B1624="Bilinmeyen Personel","Kontrol","OK")</x:f>
        <x:v>OK</x:v>
      </x:c>
    </x:row>
    <x:row r="1625" hidden="1">
      <x:c r="A1625" s="312" t="n">
        <x:f>ROW()-ROW($A$2)+1</x:f>
        <x:v>1624</x:v>
      </x:c>
      <x:c r="B1625" s="312" t="s">
        <x:v>9</x:v>
      </x:c>
      <x:c r="C1625" s="312" t="s">
        <x:v>56</x:v>
      </x:c>
      <x:c r="D1625" s="317">
        <x:v>3</x:v>
      </x:c>
      <x:c r="E1625" s="321">
        <x:v>5300</x:v>
      </x:c>
      <x:c r="F1625" s="321">
        <x:v>15900</x:v>
      </x:c>
      <x:c r="G1625" s="321">
        <x:v>3900</x:v>
      </x:c>
      <x:c r="H1625" s="312" t="s">
        <x:v>60</x:v>
      </x:c>
      <x:c r="I1625" s="312" t="s">
        <x:v>15</x:v>
      </x:c>
      <x:c r="J1625" s="316" t="n">
        <x:f>IFERROR(G1625/F1625,0)</x:f>
        <x:v>0.24528301886792453</x:v>
      </x:c>
      <x:c r="K1625" s="312" t="str">
        <x:f>IF(B1625="Bilinmeyen Personel","Kontrol","OK")</x:f>
        <x:v>OK</x:v>
      </x:c>
    </x:row>
    <x:row r="1626" hidden="1">
      <x:c r="A1626" s="312" t="n">
        <x:f>ROW()-ROW($A$2)+1</x:f>
        <x:v>1625</x:v>
      </x:c>
      <x:c r="B1626" s="312" t="s">
        <x:v>23</x:v>
      </x:c>
      <x:c r="C1626" s="312" t="s">
        <x:v>30</x:v>
      </x:c>
      <x:c r="D1626" s="317">
        <x:v>3</x:v>
      </x:c>
      <x:c r="E1626" s="321">
        <x:v>1200</x:v>
      </x:c>
      <x:c r="F1626" s="321">
        <x:v>3600</x:v>
      </x:c>
      <x:c r="G1626" s="321">
        <x:v>1200</x:v>
      </x:c>
      <x:c r="H1626" s="312" t="s">
        <x:v>60</x:v>
      </x:c>
      <x:c r="I1626" s="312" t="s">
        <x:v>31</x:v>
      </x:c>
      <x:c r="J1626" s="316" t="n">
        <x:f>IFERROR(G1626/F1626,0)</x:f>
        <x:v>0.3333333333333333</x:v>
      </x:c>
      <x:c r="K1626" s="312" t="str">
        <x:f>IF(B1626="Bilinmeyen Personel","Kontrol","OK")</x:f>
        <x:v>OK</x:v>
      </x:c>
    </x:row>
    <x:row r="1627" hidden="1">
      <x:c r="A1627" s="312" t="n">
        <x:f>ROW()-ROW($A$2)+1</x:f>
        <x:v>1626</x:v>
      </x:c>
      <x:c r="B1627" s="312" t="s">
        <x:v>40</x:v>
      </x:c>
      <x:c r="C1627" s="312" t="s">
        <x:v>34</x:v>
      </x:c>
      <x:c r="D1627" s="317">
        <x:v>2</x:v>
      </x:c>
      <x:c r="E1627" s="321">
        <x:v>1090</x:v>
      </x:c>
      <x:c r="F1627" s="321">
        <x:v>2180</x:v>
      </x:c>
      <x:c r="G1627" s="321">
        <x:v>580</x:v>
      </x:c>
      <x:c r="H1627" s="312" t="s">
        <x:v>60</x:v>
      </x:c>
      <x:c r="I1627" s="312" t="s">
        <x:v>37</x:v>
      </x:c>
      <x:c r="J1627" s="316" t="n">
        <x:f>IFERROR(G1627/F1627,0)</x:f>
        <x:v>0.26605504587155965</x:v>
      </x:c>
      <x:c r="K1627" s="312" t="str">
        <x:f>IF(B1627="Bilinmeyen Personel","Kontrol","OK")</x:f>
        <x:v>OK</x:v>
      </x:c>
    </x:row>
    <x:row r="1628" hidden="1">
      <x:c r="A1628" s="312" t="n">
        <x:f>ROW()-ROW($A$2)+1</x:f>
        <x:v>1627</x:v>
      </x:c>
      <x:c r="B1628" s="312" t="s">
        <x:v>23</x:v>
      </x:c>
      <x:c r="C1628" s="312" t="s">
        <x:v>26</x:v>
      </x:c>
      <x:c r="D1628" s="317">
        <x:v>5</x:v>
      </x:c>
      <x:c r="E1628" s="321">
        <x:v>7250</x:v>
      </x:c>
      <x:c r="F1628" s="321">
        <x:v>36250</x:v>
      </x:c>
      <x:c r="G1628" s="321">
        <x:v>11250</x:v>
      </x:c>
      <x:c r="H1628" s="312" t="s">
        <x:v>60</x:v>
      </x:c>
      <x:c r="I1628" s="312" t="s">
        <x:v>31</x:v>
      </x:c>
      <x:c r="J1628" s="316" t="n">
        <x:f>IFERROR(G1628/F1628,0)</x:f>
        <x:v>0.3103448275862069</x:v>
      </x:c>
      <x:c r="K1628" s="312" t="str">
        <x:f>IF(B1628="Bilinmeyen Personel","Kontrol","OK")</x:f>
        <x:v>OK</x:v>
      </x:c>
    </x:row>
    <x:row r="1629" hidden="1">
      <x:c r="A1629" s="312" t="n">
        <x:f>ROW()-ROW($A$2)+1</x:f>
        <x:v>1628</x:v>
      </x:c>
      <x:c r="B1629" s="312" t="s">
        <x:v>48</x:v>
      </x:c>
      <x:c r="C1629" s="312" t="s">
        <x:v>14</x:v>
      </x:c>
      <x:c r="D1629" s="317">
        <x:v>2</x:v>
      </x:c>
      <x:c r="E1629" s="321">
        <x:v>1400</x:v>
      </x:c>
      <x:c r="F1629" s="321">
        <x:v>2800</x:v>
      </x:c>
      <x:c r="G1629" s="321">
        <x:v>1200</x:v>
      </x:c>
      <x:c r="H1629" s="312" t="s">
        <x:v>60</x:v>
      </x:c>
      <x:c r="I1629" s="312" t="s">
        <x:v>44</x:v>
      </x:c>
      <x:c r="J1629" s="316" t="n">
        <x:f>IFERROR(G1629/F1629,0)</x:f>
        <x:v>0.42857142857142855</x:v>
      </x:c>
      <x:c r="K1629" s="312" t="str">
        <x:f>IF(B1629="Bilinmeyen Personel","Kontrol","OK")</x:f>
        <x:v>OK</x:v>
      </x:c>
    </x:row>
    <x:row r="1630" hidden="1">
      <x:c r="A1630" s="312" t="n">
        <x:f>ROW()-ROW($A$2)+1</x:f>
        <x:v>1629</x:v>
      </x:c>
      <x:c r="B1630" s="312" t="s">
        <x:v>16</x:v>
      </x:c>
      <x:c r="C1630" s="312" t="s">
        <x:v>57</x:v>
      </x:c>
      <x:c r="D1630" s="317">
        <x:v>2</x:v>
      </x:c>
      <x:c r="E1630" s="321">
        <x:v>1500</x:v>
      </x:c>
      <x:c r="F1630" s="321">
        <x:v>3000</x:v>
      </x:c>
      <x:c r="G1630" s="321">
        <x:v>1400</x:v>
      </x:c>
      <x:c r="H1630" s="312" t="s">
        <x:v>60</x:v>
      </x:c>
      <x:c r="I1630" s="312" t="s">
        <x:v>21</x:v>
      </x:c>
      <x:c r="J1630" s="316" t="n">
        <x:f>IFERROR(G1630/F1630,0)</x:f>
        <x:v>0.4666666666666667</x:v>
      </x:c>
      <x:c r="K1630" s="312" t="str">
        <x:f>IF(B1630="Bilinmeyen Personel","Kontrol","OK")</x:f>
        <x:v>OK</x:v>
      </x:c>
    </x:row>
    <x:row r="1631" hidden="1">
      <x:c r="A1631" s="312" t="n">
        <x:f>ROW()-ROW($A$2)+1</x:f>
        <x:v>1630</x:v>
      </x:c>
      <x:c r="B1631" s="312" t="s">
        <x:v>35</x:v>
      </x:c>
      <x:c r="C1631" s="312" t="s">
        <x:v>20</x:v>
      </x:c>
      <x:c r="D1631" s="317">
        <x:v>3</x:v>
      </x:c>
      <x:c r="E1631" s="321">
        <x:v>1350</x:v>
      </x:c>
      <x:c r="F1631" s="321">
        <x:v>4050</x:v>
      </x:c>
      <x:c r="G1631" s="321">
        <x:v>1650</x:v>
      </x:c>
      <x:c r="H1631" s="312" t="s">
        <x:v>60</x:v>
      </x:c>
      <x:c r="I1631" s="312" t="s">
        <x:v>21</x:v>
      </x:c>
      <x:c r="J1631" s="316" t="n">
        <x:f>IFERROR(G1631/F1631,0)</x:f>
        <x:v>0.4074074074074074</x:v>
      </x:c>
      <x:c r="K1631" s="312" t="str">
        <x:f>IF(B1631="Bilinmeyen Personel","Kontrol","OK")</x:f>
        <x:v>OK</x:v>
      </x:c>
    </x:row>
    <x:row r="1632" hidden="1">
      <x:c r="A1632" s="312" t="n">
        <x:f>ROW()-ROW($A$2)+1</x:f>
        <x:v>1631</x:v>
      </x:c>
      <x:c r="B1632" s="312" t="s">
        <x:v>35</x:v>
      </x:c>
      <x:c r="C1632" s="312" t="s">
        <x:v>30</x:v>
      </x:c>
      <x:c r="D1632" s="317">
        <x:v>2</x:v>
      </x:c>
      <x:c r="E1632" s="321">
        <x:v>1200</x:v>
      </x:c>
      <x:c r="F1632" s="321">
        <x:v>2400</x:v>
      </x:c>
      <x:c r="G1632" s="321">
        <x:v>800</x:v>
      </x:c>
      <x:c r="H1632" s="312" t="s">
        <x:v>60</x:v>
      </x:c>
      <x:c r="I1632" s="312" t="s">
        <x:v>54</x:v>
      </x:c>
      <x:c r="J1632" s="316" t="n">
        <x:f>IFERROR(G1632/F1632,0)</x:f>
        <x:v>0.3333333333333333</x:v>
      </x:c>
      <x:c r="K1632" s="312" t="str">
        <x:f>IF(B1632="Bilinmeyen Personel","Kontrol","OK")</x:f>
        <x:v>OK</x:v>
      </x:c>
    </x:row>
    <x:row r="1633" hidden="1">
      <x:c r="A1633" s="312" t="n">
        <x:f>ROW()-ROW($A$2)+1</x:f>
        <x:v>1632</x:v>
      </x:c>
      <x:c r="B1633" s="312" t="s">
        <x:v>13</x:v>
      </x:c>
      <x:c r="C1633" s="312" t="s">
        <x:v>55</x:v>
      </x:c>
      <x:c r="D1633" s="317">
        <x:v>5</x:v>
      </x:c>
      <x:c r="E1633" s="321">
        <x:v>7530</x:v>
      </x:c>
      <x:c r="F1633" s="321">
        <x:v>37650</x:v>
      </x:c>
      <x:c r="G1633" s="321">
        <x:v>7650</x:v>
      </x:c>
      <x:c r="H1633" s="312" t="s">
        <x:v>60</x:v>
      </x:c>
      <x:c r="I1633" s="312" t="s">
        <x:v>15</x:v>
      </x:c>
      <x:c r="J1633" s="316" t="n">
        <x:f>IFERROR(G1633/F1633,0)</x:f>
        <x:v>0.20318725099601595</x:v>
      </x:c>
      <x:c r="K1633" s="312" t="str">
        <x:f>IF(B1633="Bilinmeyen Personel","Kontrol","OK")</x:f>
        <x:v>OK</x:v>
      </x:c>
    </x:row>
    <x:row r="1634" hidden="1">
      <x:c r="A1634" s="312" t="n">
        <x:f>ROW()-ROW($A$2)+1</x:f>
        <x:v>1633</x:v>
      </x:c>
      <x:c r="B1634" s="312" t="s">
        <x:v>48</x:v>
      </x:c>
      <x:c r="C1634" s="312" t="s">
        <x:v>30</x:v>
      </x:c>
      <x:c r="D1634" s="317">
        <x:v>5</x:v>
      </x:c>
      <x:c r="E1634" s="321">
        <x:v>1200</x:v>
      </x:c>
      <x:c r="F1634" s="321">
        <x:v>6000</x:v>
      </x:c>
      <x:c r="G1634" s="321">
        <x:v>2000</x:v>
      </x:c>
      <x:c r="H1634" s="312" t="s">
        <x:v>60</x:v>
      </x:c>
      <x:c r="I1634" s="312" t="s">
        <x:v>25</x:v>
      </x:c>
      <x:c r="J1634" s="316" t="n">
        <x:f>IFERROR(G1634/F1634,0)</x:f>
        <x:v>0.3333333333333333</x:v>
      </x:c>
      <x:c r="K1634" s="312" t="str">
        <x:f>IF(B1634="Bilinmeyen Personel","Kontrol","OK")</x:f>
        <x:v>OK</x:v>
      </x:c>
    </x:row>
    <x:row r="1635" hidden="1">
      <x:c r="A1635" s="312" t="n">
        <x:f>ROW()-ROW($A$2)+1</x:f>
        <x:v>1634</x:v>
      </x:c>
      <x:c r="B1635" s="312" t="s">
        <x:v>38</x:v>
      </x:c>
      <x:c r="C1635" s="312" t="s">
        <x:v>33</x:v>
      </x:c>
      <x:c r="D1635" s="317">
        <x:v>3</x:v>
      </x:c>
      <x:c r="E1635" s="321">
        <x:v>1800</x:v>
      </x:c>
      <x:c r="F1635" s="321">
        <x:v>5400</x:v>
      </x:c>
      <x:c r="G1635" s="321">
        <x:v>3000</x:v>
      </x:c>
      <x:c r="H1635" s="312" t="s">
        <x:v>60</x:v>
      </x:c>
      <x:c r="I1635" s="312" t="s">
        <x:v>44</x:v>
      </x:c>
      <x:c r="J1635" s="316" t="n">
        <x:f>IFERROR(G1635/F1635,0)</x:f>
        <x:v>0.5555555555555556</x:v>
      </x:c>
      <x:c r="K1635" s="312" t="str">
        <x:f>IF(B1635="Bilinmeyen Personel","Kontrol","OK")</x:f>
        <x:v>OK</x:v>
      </x:c>
    </x:row>
    <x:row r="1636" hidden="1">
      <x:c r="A1636" s="312" t="n">
        <x:f>ROW()-ROW($A$2)+1</x:f>
        <x:v>1635</x:v>
      </x:c>
      <x:c r="B1636" s="312" t="s">
        <x:v>9</x:v>
      </x:c>
      <x:c r="C1636" s="312" t="s">
        <x:v>26</x:v>
      </x:c>
      <x:c r="D1636" s="317">
        <x:v>3</x:v>
      </x:c>
      <x:c r="E1636" s="321">
        <x:v>7250</x:v>
      </x:c>
      <x:c r="F1636" s="321">
        <x:v>21750</x:v>
      </x:c>
      <x:c r="G1636" s="321">
        <x:v>6750</x:v>
      </x:c>
      <x:c r="H1636" s="312" t="s">
        <x:v>60</x:v>
      </x:c>
      <x:c r="I1636" s="312" t="s">
        <x:v>54</x:v>
      </x:c>
      <x:c r="J1636" s="316" t="n">
        <x:f>IFERROR(G1636/F1636,0)</x:f>
        <x:v>0.3103448275862069</x:v>
      </x:c>
      <x:c r="K1636" s="312" t="str">
        <x:f>IF(B1636="Bilinmeyen Personel","Kontrol","OK")</x:f>
        <x:v>OK</x:v>
      </x:c>
    </x:row>
    <x:row r="1637" hidden="1">
      <x:c r="A1637" s="312" t="n">
        <x:f>ROW()-ROW($A$2)+1</x:f>
        <x:v>1636</x:v>
      </x:c>
      <x:c r="B1637" s="312" t="s">
        <x:v>40</x:v>
      </x:c>
      <x:c r="C1637" s="312" t="s">
        <x:v>43</x:v>
      </x:c>
      <x:c r="D1637" s="317">
        <x:v>2</x:v>
      </x:c>
      <x:c r="E1637" s="321">
        <x:v>1490</x:v>
      </x:c>
      <x:c r="F1637" s="321">
        <x:v>2980</x:v>
      </x:c>
      <x:c r="G1637" s="321">
        <x:v>1380</x:v>
      </x:c>
      <x:c r="H1637" s="312" t="s">
        <x:v>60</x:v>
      </x:c>
      <x:c r="I1637" s="312" t="s">
        <x:v>41</x:v>
      </x:c>
      <x:c r="J1637" s="316" t="n">
        <x:f>IFERROR(G1637/F1637,0)</x:f>
        <x:v>0.46308724832214765</x:v>
      </x:c>
      <x:c r="K1637" s="312" t="str">
        <x:f>IF(B1637="Bilinmeyen Personel","Kontrol","OK")</x:f>
        <x:v>OK</x:v>
      </x:c>
    </x:row>
    <x:row r="1638" hidden="1">
      <x:c r="A1638" s="312" t="n">
        <x:f>ROW()-ROW($A$2)+1</x:f>
        <x:v>1637</x:v>
      </x:c>
      <x:c r="B1638" s="312" t="s">
        <x:v>40</x:v>
      </x:c>
      <x:c r="C1638" s="312" t="s">
        <x:v>53</x:v>
      </x:c>
      <x:c r="D1638" s="317">
        <x:v>3</x:v>
      </x:c>
      <x:c r="E1638" s="321">
        <x:v>1200</x:v>
      </x:c>
      <x:c r="F1638" s="321">
        <x:v>3600</x:v>
      </x:c>
      <x:c r="G1638" s="321">
        <x:v>1200</x:v>
      </x:c>
      <x:c r="H1638" s="312" t="s">
        <x:v>60</x:v>
      </x:c>
      <x:c r="I1638" s="312" t="s">
        <x:v>31</x:v>
      </x:c>
      <x:c r="J1638" s="316" t="n">
        <x:f>IFERROR(G1638/F1638,0)</x:f>
        <x:v>0.3333333333333333</x:v>
      </x:c>
      <x:c r="K1638" s="312" t="str">
        <x:f>IF(B1638="Bilinmeyen Personel","Kontrol","OK")</x:f>
        <x:v>OK</x:v>
      </x:c>
    </x:row>
    <x:row r="1639" hidden="1">
      <x:c r="A1639" s="312" t="n">
        <x:f>ROW()-ROW($A$2)+1</x:f>
        <x:v>1638</x:v>
      </x:c>
      <x:c r="B1639" s="312" t="s">
        <x:v>13</x:v>
      </x:c>
      <x:c r="C1639" s="312" t="s">
        <x:v>36</x:v>
      </x:c>
      <x:c r="D1639" s="317">
        <x:v>5</x:v>
      </x:c>
      <x:c r="E1639" s="321">
        <x:v>8000</x:v>
      </x:c>
      <x:c r="F1639" s="321">
        <x:v>40000</x:v>
      </x:c>
      <x:c r="G1639" s="321">
        <x:v>10000</x:v>
      </x:c>
      <x:c r="H1639" s="312" t="s">
        <x:v>60</x:v>
      </x:c>
      <x:c r="I1639" s="312" t="s">
        <x:v>18</x:v>
      </x:c>
      <x:c r="J1639" s="316" t="n">
        <x:f>IFERROR(G1639/F1639,0)</x:f>
        <x:v>0.25</x:v>
      </x:c>
      <x:c r="K1639" s="312" t="str">
        <x:f>IF(B1639="Bilinmeyen Personel","Kontrol","OK")</x:f>
        <x:v>OK</x:v>
      </x:c>
    </x:row>
    <x:row r="1640" hidden="1">
      <x:c r="A1640" s="312" t="n">
        <x:f>ROW()-ROW($A$2)+1</x:f>
        <x:v>1639</x:v>
      </x:c>
      <x:c r="B1640" s="312" t="s">
        <x:v>32</x:v>
      </x:c>
      <x:c r="C1640" s="312" t="s">
        <x:v>14</x:v>
      </x:c>
      <x:c r="D1640" s="317">
        <x:v>3</x:v>
      </x:c>
      <x:c r="E1640" s="321">
        <x:v>1400</x:v>
      </x:c>
      <x:c r="F1640" s="321">
        <x:v>4200</x:v>
      </x:c>
      <x:c r="G1640" s="321">
        <x:v>1800</x:v>
      </x:c>
      <x:c r="H1640" s="312" t="s">
        <x:v>60</x:v>
      </x:c>
      <x:c r="I1640" s="312" t="s">
        <x:v>54</x:v>
      </x:c>
      <x:c r="J1640" s="316" t="n">
        <x:f>IFERROR(G1640/F1640,0)</x:f>
        <x:v>0.42857142857142855</x:v>
      </x:c>
      <x:c r="K1640" s="312" t="str">
        <x:f>IF(B1640="Bilinmeyen Personel","Kontrol","OK")</x:f>
        <x:v>OK</x:v>
      </x:c>
    </x:row>
    <x:row r="1641" hidden="1">
      <x:c r="A1641" s="312" t="n">
        <x:f>ROW()-ROW($A$2)+1</x:f>
        <x:v>1640</x:v>
      </x:c>
      <x:c r="B1641" s="312" t="s">
        <x:v>29</x:v>
      </x:c>
      <x:c r="C1641" s="312" t="s">
        <x:v>20</x:v>
      </x:c>
      <x:c r="D1641" s="317">
        <x:v>2</x:v>
      </x:c>
      <x:c r="E1641" s="321">
        <x:v>1350</x:v>
      </x:c>
      <x:c r="F1641" s="321">
        <x:v>2700</x:v>
      </x:c>
      <x:c r="G1641" s="321">
        <x:v>1100</x:v>
      </x:c>
      <x:c r="H1641" s="312" t="s">
        <x:v>60</x:v>
      </x:c>
      <x:c r="I1641" s="312" t="s">
        <x:v>28</x:v>
      </x:c>
      <x:c r="J1641" s="316" t="n">
        <x:f>IFERROR(G1641/F1641,0)</x:f>
        <x:v>0.4074074074074074</x:v>
      </x:c>
      <x:c r="K1641" s="312" t="str">
        <x:f>IF(B1641="Bilinmeyen Personel","Kontrol","OK")</x:f>
        <x:v>OK</x:v>
      </x:c>
    </x:row>
    <x:row r="1642" hidden="1">
      <x:c r="A1642" s="312" t="n">
        <x:f>ROW()-ROW($A$2)+1</x:f>
        <x:v>1641</x:v>
      </x:c>
      <x:c r="B1642" s="312" t="s">
        <x:v>38</x:v>
      </x:c>
      <x:c r="C1642" s="312" t="s">
        <x:v>53</x:v>
      </x:c>
      <x:c r="D1642" s="317">
        <x:v>2</x:v>
      </x:c>
      <x:c r="E1642" s="321">
        <x:v>1200</x:v>
      </x:c>
      <x:c r="F1642" s="321">
        <x:v>2400</x:v>
      </x:c>
      <x:c r="G1642" s="321">
        <x:v>800</x:v>
      </x:c>
      <x:c r="H1642" s="312" t="s">
        <x:v>60</x:v>
      </x:c>
      <x:c r="I1642" s="312" t="s">
        <x:v>41</x:v>
      </x:c>
      <x:c r="J1642" s="316" t="n">
        <x:f>IFERROR(G1642/F1642,0)</x:f>
        <x:v>0.3333333333333333</x:v>
      </x:c>
      <x:c r="K1642" s="312" t="str">
        <x:f>IF(B1642="Bilinmeyen Personel","Kontrol","OK")</x:f>
        <x:v>OK</x:v>
      </x:c>
    </x:row>
    <x:row r="1643" hidden="1">
      <x:c r="A1643" s="312" t="n">
        <x:f>ROW()-ROW($A$2)+1</x:f>
        <x:v>1642</x:v>
      </x:c>
      <x:c r="B1643" s="312" t="s">
        <x:v>32</x:v>
      </x:c>
      <x:c r="C1643" s="312" t="s">
        <x:v>56</x:v>
      </x:c>
      <x:c r="D1643" s="317">
        <x:v>3</x:v>
      </x:c>
      <x:c r="E1643" s="321">
        <x:v>5300</x:v>
      </x:c>
      <x:c r="F1643" s="321">
        <x:v>15900</x:v>
      </x:c>
      <x:c r="G1643" s="321">
        <x:v>3900</x:v>
      </x:c>
      <x:c r="H1643" s="312" t="s">
        <x:v>60</x:v>
      </x:c>
      <x:c r="I1643" s="312" t="s">
        <x:v>54</x:v>
      </x:c>
      <x:c r="J1643" s="316" t="n">
        <x:f>IFERROR(G1643/F1643,0)</x:f>
        <x:v>0.24528301886792453</x:v>
      </x:c>
      <x:c r="K1643" s="312" t="str">
        <x:f>IF(B1643="Bilinmeyen Personel","Kontrol","OK")</x:f>
        <x:v>OK</x:v>
      </x:c>
    </x:row>
    <x:row r="1644" hidden="1">
      <x:c r="A1644" s="312" t="n">
        <x:f>ROW()-ROW($A$2)+1</x:f>
        <x:v>1643</x:v>
      </x:c>
      <x:c r="B1644" s="312" t="s">
        <x:v>40</x:v>
      </x:c>
      <x:c r="C1644" s="312" t="s">
        <x:v>39</x:v>
      </x:c>
      <x:c r="D1644" s="317">
        <x:v>2</x:v>
      </x:c>
      <x:c r="E1644" s="321">
        <x:v>10590</x:v>
      </x:c>
      <x:c r="F1644" s="321">
        <x:v>21180</x:v>
      </x:c>
      <x:c r="G1644" s="321">
        <x:v>9180</x:v>
      </x:c>
      <x:c r="H1644" s="312" t="s">
        <x:v>60</x:v>
      </x:c>
      <x:c r="I1644" s="312" t="s">
        <x:v>54</x:v>
      </x:c>
      <x:c r="J1644" s="316" t="n">
        <x:f>IFERROR(G1644/F1644,0)</x:f>
        <x:v>0.43342776203966005</x:v>
      </x:c>
      <x:c r="K1644" s="312" t="str">
        <x:f>IF(B1644="Bilinmeyen Personel","Kontrol","OK")</x:f>
        <x:v>OK</x:v>
      </x:c>
    </x:row>
    <x:row r="1645" hidden="1">
      <x:c r="A1645" s="312" t="n">
        <x:f>ROW()-ROW($A$2)+1</x:f>
        <x:v>1644</x:v>
      </x:c>
      <x:c r="B1645" s="312" t="s">
        <x:v>23</x:v>
      </x:c>
      <x:c r="C1645" s="312" t="s">
        <x:v>52</x:v>
      </x:c>
      <x:c r="D1645" s="317">
        <x:v>5</x:v>
      </x:c>
      <x:c r="E1645" s="321">
        <x:v>1250</x:v>
      </x:c>
      <x:c r="F1645" s="321">
        <x:v>6250</x:v>
      </x:c>
      <x:c r="G1645" s="321">
        <x:v>2250</x:v>
      </x:c>
      <x:c r="H1645" s="312" t="s">
        <x:v>60</x:v>
      </x:c>
      <x:c r="I1645" s="312" t="s">
        <x:v>41</x:v>
      </x:c>
      <x:c r="J1645" s="316" t="n">
        <x:f>IFERROR(G1645/F1645,0)</x:f>
        <x:v>0.36</x:v>
      </x:c>
      <x:c r="K1645" s="312" t="str">
        <x:f>IF(B1645="Bilinmeyen Personel","Kontrol","OK")</x:f>
        <x:v>OK</x:v>
      </x:c>
    </x:row>
    <x:row r="1646" hidden="1">
      <x:c r="A1646" s="312" t="n">
        <x:f>ROW()-ROW($A$2)+1</x:f>
        <x:v>1645</x:v>
      </x:c>
      <x:c r="B1646" s="312" t="s">
        <x:v>50</x:v>
      </x:c>
      <x:c r="C1646" s="312" t="s">
        <x:v>53</x:v>
      </x:c>
      <x:c r="D1646" s="317">
        <x:v>2</x:v>
      </x:c>
      <x:c r="E1646" s="321">
        <x:v>1200</x:v>
      </x:c>
      <x:c r="F1646" s="321">
        <x:v>2400</x:v>
      </x:c>
      <x:c r="G1646" s="321">
        <x:v>800</x:v>
      </x:c>
      <x:c r="H1646" s="312" t="s">
        <x:v>60</x:v>
      </x:c>
      <x:c r="I1646" s="312" t="s">
        <x:v>18</x:v>
      </x:c>
      <x:c r="J1646" s="316" t="n">
        <x:f>IFERROR(G1646/F1646,0)</x:f>
        <x:v>0.3333333333333333</x:v>
      </x:c>
      <x:c r="K1646" s="312" t="str">
        <x:f>IF(B1646="Bilinmeyen Personel","Kontrol","OK")</x:f>
        <x:v>OK</x:v>
      </x:c>
    </x:row>
    <x:row r="1647" hidden="1">
      <x:c r="A1647" s="312" t="n">
        <x:f>ROW()-ROW($A$2)+1</x:f>
        <x:v>1646</x:v>
      </x:c>
      <x:c r="B1647" s="312" t="s">
        <x:v>23</x:v>
      </x:c>
      <x:c r="C1647" s="312" t="s">
        <x:v>14</x:v>
      </x:c>
      <x:c r="D1647" s="317">
        <x:v>2</x:v>
      </x:c>
      <x:c r="E1647" s="321">
        <x:v>1400</x:v>
      </x:c>
      <x:c r="F1647" s="321">
        <x:v>2800</x:v>
      </x:c>
      <x:c r="G1647" s="321">
        <x:v>1200</x:v>
      </x:c>
      <x:c r="H1647" s="312" t="s">
        <x:v>60</x:v>
      </x:c>
      <x:c r="I1647" s="312" t="s">
        <x:v>12</x:v>
      </x:c>
      <x:c r="J1647" s="316" t="n">
        <x:f>IFERROR(G1647/F1647,0)</x:f>
        <x:v>0.42857142857142855</x:v>
      </x:c>
      <x:c r="K1647" s="312" t="str">
        <x:f>IF(B1647="Bilinmeyen Personel","Kontrol","OK")</x:f>
        <x:v>OK</x:v>
      </x:c>
    </x:row>
    <x:row r="1648" hidden="1">
      <x:c r="A1648" s="312" t="n">
        <x:f>ROW()-ROW($A$2)+1</x:f>
        <x:v>1647</x:v>
      </x:c>
      <x:c r="B1648" s="312" t="s">
        <x:v>50</x:v>
      </x:c>
      <x:c r="C1648" s="312" t="s">
        <x:v>55</x:v>
      </x:c>
      <x:c r="D1648" s="317">
        <x:v>3</x:v>
      </x:c>
      <x:c r="E1648" s="321">
        <x:v>7530</x:v>
      </x:c>
      <x:c r="F1648" s="321">
        <x:v>22590</x:v>
      </x:c>
      <x:c r="G1648" s="321">
        <x:v>4590</x:v>
      </x:c>
      <x:c r="H1648" s="312" t="s">
        <x:v>60</x:v>
      </x:c>
      <x:c r="I1648" s="312" t="s">
        <x:v>15</x:v>
      </x:c>
      <x:c r="J1648" s="316" t="n">
        <x:f>IFERROR(G1648/F1648,0)</x:f>
        <x:v>0.20318725099601595</x:v>
      </x:c>
      <x:c r="K1648" s="312" t="str">
        <x:f>IF(B1648="Bilinmeyen Personel","Kontrol","OK")</x:f>
        <x:v>OK</x:v>
      </x:c>
    </x:row>
    <x:row r="1649" hidden="1">
      <x:c r="A1649" s="312" t="n">
        <x:f>ROW()-ROW($A$2)+1</x:f>
        <x:v>1648</x:v>
      </x:c>
      <x:c r="B1649" s="312" t="s">
        <x:v>32</x:v>
      </x:c>
      <x:c r="C1649" s="312" t="s">
        <x:v>24</x:v>
      </x:c>
      <x:c r="D1649" s="317">
        <x:v>3</x:v>
      </x:c>
      <x:c r="E1649" s="321">
        <x:v>7600</x:v>
      </x:c>
      <x:c r="F1649" s="321">
        <x:v>22800</x:v>
      </x:c>
      <x:c r="G1649" s="321">
        <x:v>4800</x:v>
      </x:c>
      <x:c r="H1649" s="312" t="s">
        <x:v>60</x:v>
      </x:c>
      <x:c r="I1649" s="312" t="s">
        <x:v>46</x:v>
      </x:c>
      <x:c r="J1649" s="316" t="n">
        <x:f>IFERROR(G1649/F1649,0)</x:f>
        <x:v>0.21052631578947367</x:v>
      </x:c>
      <x:c r="K1649" s="312" t="str">
        <x:f>IF(B1649="Bilinmeyen Personel","Kontrol","OK")</x:f>
        <x:v>OK</x:v>
      </x:c>
    </x:row>
    <x:row r="1650" hidden="1">
      <x:c r="A1650" s="312" t="n">
        <x:f>ROW()-ROW($A$2)+1</x:f>
        <x:v>1649</x:v>
      </x:c>
      <x:c r="B1650" s="312" t="s">
        <x:v>50</x:v>
      </x:c>
      <x:c r="C1650" s="312" t="s">
        <x:v>57</x:v>
      </x:c>
      <x:c r="D1650" s="317">
        <x:v>2</x:v>
      </x:c>
      <x:c r="E1650" s="321">
        <x:v>1500</x:v>
      </x:c>
      <x:c r="F1650" s="321">
        <x:v>3000</x:v>
      </x:c>
      <x:c r="G1650" s="321">
        <x:v>1400</x:v>
      </x:c>
      <x:c r="H1650" s="312" t="s">
        <x:v>60</x:v>
      </x:c>
      <x:c r="I1650" s="312" t="s">
        <x:v>31</x:v>
      </x:c>
      <x:c r="J1650" s="316" t="n">
        <x:f>IFERROR(G1650/F1650,0)</x:f>
        <x:v>0.4666666666666667</x:v>
      </x:c>
      <x:c r="K1650" s="312" t="str">
        <x:f>IF(B1650="Bilinmeyen Personel","Kontrol","OK")</x:f>
        <x:v>OK</x:v>
      </x:c>
    </x:row>
    <x:row r="1651" hidden="1">
      <x:c r="A1651" s="312" t="n">
        <x:f>ROW()-ROW($A$2)+1</x:f>
        <x:v>1650</x:v>
      </x:c>
      <x:c r="B1651" s="312" t="s">
        <x:v>40</x:v>
      </x:c>
      <x:c r="C1651" s="312" t="s">
        <x:v>22</x:v>
      </x:c>
      <x:c r="D1651" s="317">
        <x:v>5</x:v>
      </x:c>
      <x:c r="E1651" s="321">
        <x:v>2180</x:v>
      </x:c>
      <x:c r="F1651" s="321">
        <x:v>10900</x:v>
      </x:c>
      <x:c r="G1651" s="321">
        <x:v>3400</x:v>
      </x:c>
      <x:c r="H1651" s="312" t="s">
        <x:v>60</x:v>
      </x:c>
      <x:c r="I1651" s="312" t="s">
        <x:v>31</x:v>
      </x:c>
      <x:c r="J1651" s="316" t="n">
        <x:f>IFERROR(G1651/F1651,0)</x:f>
        <x:v>0.3119266055045872</x:v>
      </x:c>
      <x:c r="K1651" s="312" t="str">
        <x:f>IF(B1651="Bilinmeyen Personel","Kontrol","OK")</x:f>
        <x:v>OK</x:v>
      </x:c>
    </x:row>
    <x:row r="1652" hidden="1">
      <x:c r="A1652" s="312" t="n">
        <x:f>ROW()-ROW($A$2)+1</x:f>
        <x:v>1651</x:v>
      </x:c>
      <x:c r="B1652" s="312" t="s">
        <x:v>19</x:v>
      </x:c>
      <x:c r="C1652" s="312" t="s">
        <x:v>22</x:v>
      </x:c>
      <x:c r="D1652" s="317">
        <x:v>2</x:v>
      </x:c>
      <x:c r="E1652" s="321">
        <x:v>2180</x:v>
      </x:c>
      <x:c r="F1652" s="321">
        <x:v>4360</x:v>
      </x:c>
      <x:c r="G1652" s="321">
        <x:v>1360</x:v>
      </x:c>
      <x:c r="H1652" s="312" t="s">
        <x:v>60</x:v>
      </x:c>
      <x:c r="I1652" s="312" t="s">
        <x:v>42</x:v>
      </x:c>
      <x:c r="J1652" s="316" t="n">
        <x:f>IFERROR(G1652/F1652,0)</x:f>
        <x:v>0.3119266055045872</x:v>
      </x:c>
      <x:c r="K1652" s="312" t="str">
        <x:f>IF(B1652="Bilinmeyen Personel","Kontrol","OK")</x:f>
        <x:v>OK</x:v>
      </x:c>
    </x:row>
    <x:row r="1653" hidden="1">
      <x:c r="A1653" s="312" t="n">
        <x:f>ROW()-ROW($A$2)+1</x:f>
        <x:v>1652</x:v>
      </x:c>
      <x:c r="B1653" s="312" t="s">
        <x:v>40</x:v>
      </x:c>
      <x:c r="C1653" s="312" t="s">
        <x:v>47</x:v>
      </x:c>
      <x:c r="D1653" s="317">
        <x:v>2</x:v>
      </x:c>
      <x:c r="E1653" s="321">
        <x:v>5775</x:v>
      </x:c>
      <x:c r="F1653" s="321">
        <x:v>11550</x:v>
      </x:c>
      <x:c r="G1653" s="321">
        <x:v>3550</x:v>
      </x:c>
      <x:c r="H1653" s="312" t="s">
        <x:v>60</x:v>
      </x:c>
      <x:c r="I1653" s="312" t="s">
        <x:v>44</x:v>
      </x:c>
      <x:c r="J1653" s="316" t="n">
        <x:f>IFERROR(G1653/F1653,0)</x:f>
        <x:v>0.30735930735930733</x:v>
      </x:c>
      <x:c r="K1653" s="312" t="str">
        <x:f>IF(B1653="Bilinmeyen Personel","Kontrol","OK")</x:f>
        <x:v>OK</x:v>
      </x:c>
    </x:row>
    <x:row r="1654" hidden="1">
      <x:c r="A1654" s="312" t="n">
        <x:f>ROW()-ROW($A$2)+1</x:f>
        <x:v>1653</x:v>
      </x:c>
      <x:c r="B1654" s="312" t="s">
        <x:v>40</x:v>
      </x:c>
      <x:c r="C1654" s="312" t="s">
        <x:v>27</x:v>
      </x:c>
      <x:c r="D1654" s="317">
        <x:v>3</x:v>
      </x:c>
      <x:c r="E1654" s="321">
        <x:v>1100</x:v>
      </x:c>
      <x:c r="F1654" s="321">
        <x:v>3300</x:v>
      </x:c>
      <x:c r="G1654" s="321">
        <x:v>900</x:v>
      </x:c>
      <x:c r="H1654" s="312" t="s">
        <x:v>60</x:v>
      </x:c>
      <x:c r="I1654" s="312" t="s">
        <x:v>42</x:v>
      </x:c>
      <x:c r="J1654" s="316" t="n">
        <x:f>IFERROR(G1654/F1654,0)</x:f>
        <x:v>0.2727272727272727</x:v>
      </x:c>
      <x:c r="K1654" s="312" t="str">
        <x:f>IF(B1654="Bilinmeyen Personel","Kontrol","OK")</x:f>
        <x:v>OK</x:v>
      </x:c>
    </x:row>
    <x:row r="1655" hidden="1">
      <x:c r="A1655" s="312" t="n">
        <x:f>ROW()-ROW($A$2)+1</x:f>
        <x:v>1654</x:v>
      </x:c>
      <x:c r="B1655" s="312" t="s">
        <x:v>48</x:v>
      </x:c>
      <x:c r="C1655" s="312" t="s">
        <x:v>47</x:v>
      </x:c>
      <x:c r="D1655" s="317">
        <x:v>2</x:v>
      </x:c>
      <x:c r="E1655" s="321">
        <x:v>5775</x:v>
      </x:c>
      <x:c r="F1655" s="321">
        <x:v>11550</x:v>
      </x:c>
      <x:c r="G1655" s="321">
        <x:v>3550</x:v>
      </x:c>
      <x:c r="H1655" s="312" t="s">
        <x:v>60</x:v>
      </x:c>
      <x:c r="I1655" s="312" t="s">
        <x:v>42</x:v>
      </x:c>
      <x:c r="J1655" s="316" t="n">
        <x:f>IFERROR(G1655/F1655,0)</x:f>
        <x:v>0.30735930735930733</x:v>
      </x:c>
      <x:c r="K1655" s="312" t="str">
        <x:f>IF(B1655="Bilinmeyen Personel","Kontrol","OK")</x:f>
        <x:v>OK</x:v>
      </x:c>
    </x:row>
    <x:row r="1656" hidden="1">
      <x:c r="A1656" s="312" t="n">
        <x:f>ROW()-ROW($A$2)+1</x:f>
        <x:v>1655</x:v>
      </x:c>
      <x:c r="B1656" s="312" t="s">
        <x:v>35</x:v>
      </x:c>
      <x:c r="C1656" s="312" t="s">
        <x:v>20</x:v>
      </x:c>
      <x:c r="D1656" s="317">
        <x:v>3</x:v>
      </x:c>
      <x:c r="E1656" s="321">
        <x:v>1350</x:v>
      </x:c>
      <x:c r="F1656" s="321">
        <x:v>4050</x:v>
      </x:c>
      <x:c r="G1656" s="321">
        <x:v>1650</x:v>
      </x:c>
      <x:c r="H1656" s="312" t="s">
        <x:v>60</x:v>
      </x:c>
      <x:c r="I1656" s="312" t="s">
        <x:v>54</x:v>
      </x:c>
      <x:c r="J1656" s="316" t="n">
        <x:f>IFERROR(G1656/F1656,0)</x:f>
        <x:v>0.4074074074074074</x:v>
      </x:c>
      <x:c r="K1656" s="312" t="str">
        <x:f>IF(B1656="Bilinmeyen Personel","Kontrol","OK")</x:f>
        <x:v>OK</x:v>
      </x:c>
    </x:row>
    <x:row r="1657" hidden="1">
      <x:c r="A1657" s="312" t="n">
        <x:f>ROW()-ROW($A$2)+1</x:f>
        <x:v>1656</x:v>
      </x:c>
      <x:c r="B1657" s="312" t="s">
        <x:v>9</x:v>
      </x:c>
      <x:c r="C1657" s="312" t="s">
        <x:v>24</x:v>
      </x:c>
      <x:c r="D1657" s="317">
        <x:v>5</x:v>
      </x:c>
      <x:c r="E1657" s="321">
        <x:v>7600</x:v>
      </x:c>
      <x:c r="F1657" s="321">
        <x:v>38000</x:v>
      </x:c>
      <x:c r="G1657" s="321">
        <x:v>8000</x:v>
      </x:c>
      <x:c r="H1657" s="312" t="s">
        <x:v>60</x:v>
      </x:c>
      <x:c r="I1657" s="312" t="s">
        <x:v>21</x:v>
      </x:c>
      <x:c r="J1657" s="316" t="n">
        <x:f>IFERROR(G1657/F1657,0)</x:f>
        <x:v>0.21052631578947367</x:v>
      </x:c>
      <x:c r="K1657" s="312" t="str">
        <x:f>IF(B1657="Bilinmeyen Personel","Kontrol","OK")</x:f>
        <x:v>OK</x:v>
      </x:c>
    </x:row>
    <x:row r="1658" hidden="1">
      <x:c r="A1658" s="312" t="n">
        <x:f>ROW()-ROW($A$2)+1</x:f>
        <x:v>1657</x:v>
      </x:c>
      <x:c r="B1658" s="312" t="s">
        <x:v>16</x:v>
      </x:c>
      <x:c r="C1658" s="312" t="s">
        <x:v>26</x:v>
      </x:c>
      <x:c r="D1658" s="317">
        <x:v>4</x:v>
      </x:c>
      <x:c r="E1658" s="321">
        <x:v>7250</x:v>
      </x:c>
      <x:c r="F1658" s="321">
        <x:v>29000</x:v>
      </x:c>
      <x:c r="G1658" s="321">
        <x:v>9000</x:v>
      </x:c>
      <x:c r="H1658" s="312" t="s">
        <x:v>60</x:v>
      </x:c>
      <x:c r="I1658" s="312" t="s">
        <x:v>54</x:v>
      </x:c>
      <x:c r="J1658" s="316" t="n">
        <x:f>IFERROR(G1658/F1658,0)</x:f>
        <x:v>0.3103448275862069</x:v>
      </x:c>
      <x:c r="K1658" s="312" t="str">
        <x:f>IF(B1658="Bilinmeyen Personel","Kontrol","OK")</x:f>
        <x:v>OK</x:v>
      </x:c>
    </x:row>
    <x:row r="1659" hidden="1">
      <x:c r="A1659" s="312" t="n">
        <x:f>ROW()-ROW($A$2)+1</x:f>
        <x:v>1658</x:v>
      </x:c>
      <x:c r="B1659" s="312" t="s">
        <x:v>50</x:v>
      </x:c>
      <x:c r="C1659" s="312" t="s">
        <x:v>43</x:v>
      </x:c>
      <x:c r="D1659" s="317">
        <x:v>4</x:v>
      </x:c>
      <x:c r="E1659" s="321">
        <x:v>1490</x:v>
      </x:c>
      <x:c r="F1659" s="321">
        <x:v>5960</x:v>
      </x:c>
      <x:c r="G1659" s="321">
        <x:v>2760</x:v>
      </x:c>
      <x:c r="H1659" s="312" t="s">
        <x:v>60</x:v>
      </x:c>
      <x:c r="I1659" s="312" t="s">
        <x:v>44</x:v>
      </x:c>
      <x:c r="J1659" s="316" t="n">
        <x:f>IFERROR(G1659/F1659,0)</x:f>
        <x:v>0.46308724832214765</x:v>
      </x:c>
      <x:c r="K1659" s="312" t="str">
        <x:f>IF(B1659="Bilinmeyen Personel","Kontrol","OK")</x:f>
        <x:v>OK</x:v>
      </x:c>
    </x:row>
    <x:row r="1660" hidden="1">
      <x:c r="A1660" s="312" t="n">
        <x:f>ROW()-ROW($A$2)+1</x:f>
        <x:v>1659</x:v>
      </x:c>
      <x:c r="B1660" s="312" t="s">
        <x:v>19</x:v>
      </x:c>
      <x:c r="C1660" s="312" t="s">
        <x:v>43</x:v>
      </x:c>
      <x:c r="D1660" s="317">
        <x:v>5</x:v>
      </x:c>
      <x:c r="E1660" s="321">
        <x:v>1490</x:v>
      </x:c>
      <x:c r="F1660" s="321">
        <x:v>7450</x:v>
      </x:c>
      <x:c r="G1660" s="321">
        <x:v>3450</x:v>
      </x:c>
      <x:c r="H1660" s="312" t="s">
        <x:v>60</x:v>
      </x:c>
      <x:c r="I1660" s="312" t="s">
        <x:v>12</x:v>
      </x:c>
      <x:c r="J1660" s="316" t="n">
        <x:f>IFERROR(G1660/F1660,0)</x:f>
        <x:v>0.46308724832214765</x:v>
      </x:c>
      <x:c r="K1660" s="312" t="str">
        <x:f>IF(B1660="Bilinmeyen Personel","Kontrol","OK")</x:f>
        <x:v>OK</x:v>
      </x:c>
    </x:row>
    <x:row r="1661" hidden="1">
      <x:c r="A1661" s="312" t="n">
        <x:f>ROW()-ROW($A$2)+1</x:f>
        <x:v>1660</x:v>
      </x:c>
      <x:c r="B1661" s="312" t="s">
        <x:v>38</x:v>
      </x:c>
      <x:c r="C1661" s="312" t="s">
        <x:v>34</x:v>
      </x:c>
      <x:c r="D1661" s="317">
        <x:v>3</x:v>
      </x:c>
      <x:c r="E1661" s="321">
        <x:v>1090</x:v>
      </x:c>
      <x:c r="F1661" s="321">
        <x:v>3270</x:v>
      </x:c>
      <x:c r="G1661" s="321">
        <x:v>870</x:v>
      </x:c>
      <x:c r="H1661" s="312" t="s">
        <x:v>60</x:v>
      </x:c>
      <x:c r="I1661" s="312" t="s">
        <x:v>37</x:v>
      </x:c>
      <x:c r="J1661" s="316" t="n">
        <x:f>IFERROR(G1661/F1661,0)</x:f>
        <x:v>0.26605504587155965</x:v>
      </x:c>
      <x:c r="K1661" s="312" t="str">
        <x:f>IF(B1661="Bilinmeyen Personel","Kontrol","OK")</x:f>
        <x:v>OK</x:v>
      </x:c>
    </x:row>
    <x:row r="1662" hidden="1">
      <x:c r="A1662" s="312" t="n">
        <x:f>ROW()-ROW($A$2)+1</x:f>
        <x:v>1661</x:v>
      </x:c>
      <x:c r="B1662" s="312" t="s">
        <x:v>38</x:v>
      </x:c>
      <x:c r="C1662" s="312" t="s">
        <x:v>30</x:v>
      </x:c>
      <x:c r="D1662" s="317">
        <x:v>3</x:v>
      </x:c>
      <x:c r="E1662" s="321">
        <x:v>1200</x:v>
      </x:c>
      <x:c r="F1662" s="321">
        <x:v>3600</x:v>
      </x:c>
      <x:c r="G1662" s="321">
        <x:v>1200</x:v>
      </x:c>
      <x:c r="H1662" s="312" t="s">
        <x:v>60</x:v>
      </x:c>
      <x:c r="I1662" s="312" t="s">
        <x:v>37</x:v>
      </x:c>
      <x:c r="J1662" s="316" t="n">
        <x:f>IFERROR(G1662/F1662,0)</x:f>
        <x:v>0.3333333333333333</x:v>
      </x:c>
      <x:c r="K1662" s="312" t="str">
        <x:f>IF(B1662="Bilinmeyen Personel","Kontrol","OK")</x:f>
        <x:v>OK</x:v>
      </x:c>
    </x:row>
    <x:row r="1663" hidden="1">
      <x:c r="A1663" s="312" t="n">
        <x:f>ROW()-ROW($A$2)+1</x:f>
        <x:v>1662</x:v>
      </x:c>
      <x:c r="B1663" s="312" t="s">
        <x:v>50</x:v>
      </x:c>
      <x:c r="C1663" s="312" t="s">
        <x:v>34</x:v>
      </x:c>
      <x:c r="D1663" s="317">
        <x:v>4</x:v>
      </x:c>
      <x:c r="E1663" s="321">
        <x:v>1090</x:v>
      </x:c>
      <x:c r="F1663" s="321">
        <x:v>4360</x:v>
      </x:c>
      <x:c r="G1663" s="321">
        <x:v>1160</x:v>
      </x:c>
      <x:c r="H1663" s="312" t="s">
        <x:v>60</x:v>
      </x:c>
      <x:c r="I1663" s="312" t="s">
        <x:v>54</x:v>
      </x:c>
      <x:c r="J1663" s="316" t="n">
        <x:f>IFERROR(G1663/F1663,0)</x:f>
        <x:v>0.26605504587155965</x:v>
      </x:c>
      <x:c r="K1663" s="312" t="str">
        <x:f>IF(B1663="Bilinmeyen Personel","Kontrol","OK")</x:f>
        <x:v>OK</x:v>
      </x:c>
    </x:row>
    <x:row r="1664" hidden="1">
      <x:c r="A1664" s="312" t="n">
        <x:f>ROW()-ROW($A$2)+1</x:f>
        <x:v>1663</x:v>
      </x:c>
      <x:c r="B1664" s="312" t="s">
        <x:v>50</x:v>
      </x:c>
      <x:c r="C1664" s="312" t="s">
        <x:v>22</x:v>
      </x:c>
      <x:c r="D1664" s="317">
        <x:v>4</x:v>
      </x:c>
      <x:c r="E1664" s="321">
        <x:v>2180</x:v>
      </x:c>
      <x:c r="F1664" s="321">
        <x:v>8720</x:v>
      </x:c>
      <x:c r="G1664" s="321">
        <x:v>2720</x:v>
      </x:c>
      <x:c r="H1664" s="312" t="s">
        <x:v>60</x:v>
      </x:c>
      <x:c r="I1664" s="312" t="s">
        <x:v>15</x:v>
      </x:c>
      <x:c r="J1664" s="316" t="n">
        <x:f>IFERROR(G1664/F1664,0)</x:f>
        <x:v>0.3119266055045872</x:v>
      </x:c>
      <x:c r="K1664" s="312" t="str">
        <x:f>IF(B1664="Bilinmeyen Personel","Kontrol","OK")</x:f>
        <x:v>OK</x:v>
      </x:c>
    </x:row>
    <x:row r="1665" hidden="1">
      <x:c r="A1665" s="312" t="n">
        <x:f>ROW()-ROW($A$2)+1</x:f>
        <x:v>1664</x:v>
      </x:c>
      <x:c r="B1665" s="312" t="s">
        <x:v>16</x:v>
      </x:c>
      <x:c r="C1665" s="312" t="s">
        <x:v>56</x:v>
      </x:c>
      <x:c r="D1665" s="317">
        <x:v>4</x:v>
      </x:c>
      <x:c r="E1665" s="321">
        <x:v>5300</x:v>
      </x:c>
      <x:c r="F1665" s="321">
        <x:v>21200</x:v>
      </x:c>
      <x:c r="G1665" s="321">
        <x:v>5200</x:v>
      </x:c>
      <x:c r="H1665" s="312" t="s">
        <x:v>60</x:v>
      </x:c>
      <x:c r="I1665" s="312" t="s">
        <x:v>25</x:v>
      </x:c>
      <x:c r="J1665" s="316" t="n">
        <x:f>IFERROR(G1665/F1665,0)</x:f>
        <x:v>0.24528301886792453</x:v>
      </x:c>
      <x:c r="K1665" s="312" t="str">
        <x:f>IF(B1665="Bilinmeyen Personel","Kontrol","OK")</x:f>
        <x:v>OK</x:v>
      </x:c>
    </x:row>
    <x:row r="1666" hidden="1">
      <x:c r="A1666" s="312" t="n">
        <x:f>ROW()-ROW($A$2)+1</x:f>
        <x:v>1665</x:v>
      </x:c>
      <x:c r="B1666" s="312" t="s">
        <x:v>50</x:v>
      </x:c>
      <x:c r="C1666" s="312" t="s">
        <x:v>56</x:v>
      </x:c>
      <x:c r="D1666" s="317">
        <x:v>3</x:v>
      </x:c>
      <x:c r="E1666" s="321">
        <x:v>5300</x:v>
      </x:c>
      <x:c r="F1666" s="321">
        <x:v>15900</x:v>
      </x:c>
      <x:c r="G1666" s="321">
        <x:v>3900</x:v>
      </x:c>
      <x:c r="H1666" s="312" t="s">
        <x:v>60</x:v>
      </x:c>
      <x:c r="I1666" s="312" t="s">
        <x:v>12</x:v>
      </x:c>
      <x:c r="J1666" s="316" t="n">
        <x:f>IFERROR(G1666/F1666,0)</x:f>
        <x:v>0.24528301886792453</x:v>
      </x:c>
      <x:c r="K1666" s="312" t="str">
        <x:f>IF(B1666="Bilinmeyen Personel","Kontrol","OK")</x:f>
        <x:v>OK</x:v>
      </x:c>
    </x:row>
    <x:row r="1667" hidden="1">
      <x:c r="A1667" s="312" t="n">
        <x:f>ROW()-ROW($A$2)+1</x:f>
        <x:v>1666</x:v>
      </x:c>
      <x:c r="B1667" s="312" t="s">
        <x:v>29</x:v>
      </x:c>
      <x:c r="C1667" s="312" t="s">
        <x:v>26</x:v>
      </x:c>
      <x:c r="D1667" s="317">
        <x:v>3</x:v>
      </x:c>
      <x:c r="E1667" s="321">
        <x:v>7250</x:v>
      </x:c>
      <x:c r="F1667" s="321">
        <x:v>21750</x:v>
      </x:c>
      <x:c r="G1667" s="321">
        <x:v>6750</x:v>
      </x:c>
      <x:c r="H1667" s="312" t="s">
        <x:v>60</x:v>
      </x:c>
      <x:c r="I1667" s="312" t="s">
        <x:v>15</x:v>
      </x:c>
      <x:c r="J1667" s="316" t="n">
        <x:f>IFERROR(G1667/F1667,0)</x:f>
        <x:v>0.3103448275862069</x:v>
      </x:c>
      <x:c r="K1667" s="312" t="str">
        <x:f>IF(B1667="Bilinmeyen Personel","Kontrol","OK")</x:f>
        <x:v>OK</x:v>
      </x:c>
    </x:row>
    <x:row r="1668" hidden="1">
      <x:c r="A1668" s="312" t="n">
        <x:f>ROW()-ROW($A$2)+1</x:f>
        <x:v>1667</x:v>
      </x:c>
      <x:c r="B1668" s="312" t="s">
        <x:v>29</x:v>
      </x:c>
      <x:c r="C1668" s="312" t="s">
        <x:v>53</x:v>
      </x:c>
      <x:c r="D1668" s="317">
        <x:v>2</x:v>
      </x:c>
      <x:c r="E1668" s="321">
        <x:v>1200</x:v>
      </x:c>
      <x:c r="F1668" s="321">
        <x:v>2400</x:v>
      </x:c>
      <x:c r="G1668" s="321">
        <x:v>800</x:v>
      </x:c>
      <x:c r="H1668" s="312" t="s">
        <x:v>60</x:v>
      </x:c>
      <x:c r="I1668" s="312" t="s">
        <x:v>37</x:v>
      </x:c>
      <x:c r="J1668" s="316" t="n">
        <x:f>IFERROR(G1668/F1668,0)</x:f>
        <x:v>0.3333333333333333</x:v>
      </x:c>
      <x:c r="K1668" s="312" t="str">
        <x:f>IF(B1668="Bilinmeyen Personel","Kontrol","OK")</x:f>
        <x:v>OK</x:v>
      </x:c>
    </x:row>
    <x:row r="1669" hidden="1">
      <x:c r="A1669" s="312" t="n">
        <x:f>ROW()-ROW($A$2)+1</x:f>
        <x:v>1668</x:v>
      </x:c>
      <x:c r="B1669" s="312" t="s">
        <x:v>19</x:v>
      </x:c>
      <x:c r="C1669" s="312" t="s">
        <x:v>10</x:v>
      </x:c>
      <x:c r="D1669" s="317">
        <x:v>5</x:v>
      </x:c>
      <x:c r="E1669" s="321">
        <x:v>6000</x:v>
      </x:c>
      <x:c r="F1669" s="321">
        <x:v>30000</x:v>
      </x:c>
      <x:c r="G1669" s="321">
        <x:v>10000</x:v>
      </x:c>
      <x:c r="H1669" s="312" t="s">
        <x:v>60</x:v>
      </x:c>
      <x:c r="I1669" s="312" t="s">
        <x:v>28</x:v>
      </x:c>
      <x:c r="J1669" s="316" t="n">
        <x:f>IFERROR(G1669/F1669,0)</x:f>
        <x:v>0.3333333333333333</x:v>
      </x:c>
      <x:c r="K1669" s="312" t="str">
        <x:f>IF(B1669="Bilinmeyen Personel","Kontrol","OK")</x:f>
        <x:v>OK</x:v>
      </x:c>
    </x:row>
    <x:row r="1670" hidden="1">
      <x:c r="A1670" s="312" t="n">
        <x:f>ROW()-ROW($A$2)+1</x:f>
        <x:v>1669</x:v>
      </x:c>
      <x:c r="B1670" s="312" t="s">
        <x:v>16</x:v>
      </x:c>
      <x:c r="C1670" s="312" t="s">
        <x:v>17</x:v>
      </x:c>
      <x:c r="D1670" s="317">
        <x:v>3</x:v>
      </x:c>
      <x:c r="E1670" s="321">
        <x:v>8450</x:v>
      </x:c>
      <x:c r="F1670" s="321">
        <x:v>25350</x:v>
      </x:c>
      <x:c r="G1670" s="321">
        <x:v>7350</x:v>
      </x:c>
      <x:c r="H1670" s="312" t="s">
        <x:v>60</x:v>
      </x:c>
      <x:c r="I1670" s="312" t="s">
        <x:v>18</x:v>
      </x:c>
      <x:c r="J1670" s="316" t="n">
        <x:f>IFERROR(G1670/F1670,0)</x:f>
        <x:v>0.28994082840236685</x:v>
      </x:c>
      <x:c r="K1670" s="312" t="str">
        <x:f>IF(B1670="Bilinmeyen Personel","Kontrol","OK")</x:f>
        <x:v>OK</x:v>
      </x:c>
    </x:row>
    <x:row r="1671" hidden="1">
      <x:c r="A1671" s="312" t="n">
        <x:f>ROW()-ROW($A$2)+1</x:f>
        <x:v>1670</x:v>
      </x:c>
      <x:c r="B1671" s="312" t="s">
        <x:v>32</x:v>
      </x:c>
      <x:c r="C1671" s="312" t="s">
        <x:v>45</x:v>
      </x:c>
      <x:c r="D1671" s="317">
        <x:v>5</x:v>
      </x:c>
      <x:c r="E1671" s="321">
        <x:v>4200</x:v>
      </x:c>
      <x:c r="F1671" s="321">
        <x:v>21000</x:v>
      </x:c>
      <x:c r="G1671" s="321">
        <x:v>6000</x:v>
      </x:c>
      <x:c r="H1671" s="312" t="s">
        <x:v>61</x:v>
      </x:c>
      <x:c r="I1671" s="312" t="s">
        <x:v>41</x:v>
      </x:c>
      <x:c r="J1671" s="316" t="n">
        <x:f>IFERROR(G1671/F1671,0)</x:f>
        <x:v>0.2857142857142857</x:v>
      </x:c>
      <x:c r="K1671" s="312" t="str">
        <x:f>IF(B1671="Bilinmeyen Personel","Kontrol","OK")</x:f>
        <x:v>OK</x:v>
      </x:c>
    </x:row>
    <x:row r="1672" hidden="1">
      <x:c r="A1672" s="312" t="n">
        <x:f>ROW()-ROW($A$2)+1</x:f>
        <x:v>1671</x:v>
      </x:c>
      <x:c r="B1672" s="312" t="s">
        <x:v>32</x:v>
      </x:c>
      <x:c r="C1672" s="312" t="s">
        <x:v>39</x:v>
      </x:c>
      <x:c r="D1672" s="317">
        <x:v>5</x:v>
      </x:c>
      <x:c r="E1672" s="321">
        <x:v>10590</x:v>
      </x:c>
      <x:c r="F1672" s="321">
        <x:v>52950</x:v>
      </x:c>
      <x:c r="G1672" s="321">
        <x:v>22950</x:v>
      </x:c>
      <x:c r="H1672" s="312" t="s">
        <x:v>61</x:v>
      </x:c>
      <x:c r="I1672" s="312" t="s">
        <x:v>41</x:v>
      </x:c>
      <x:c r="J1672" s="316" t="n">
        <x:f>IFERROR(G1672/F1672,0)</x:f>
        <x:v>0.43342776203966005</x:v>
      </x:c>
      <x:c r="K1672" s="312" t="str">
        <x:f>IF(B1672="Bilinmeyen Personel","Kontrol","OK")</x:f>
        <x:v>OK</x:v>
      </x:c>
    </x:row>
    <x:row r="1673" hidden="1">
      <x:c r="A1673" s="312" t="n">
        <x:f>ROW()-ROW($A$2)+1</x:f>
        <x:v>1672</x:v>
      </x:c>
      <x:c r="B1673" s="312" t="s">
        <x:v>29</x:v>
      </x:c>
      <x:c r="C1673" s="312" t="s">
        <x:v>53</x:v>
      </x:c>
      <x:c r="D1673" s="317">
        <x:v>3</x:v>
      </x:c>
      <x:c r="E1673" s="321">
        <x:v>1200</x:v>
      </x:c>
      <x:c r="F1673" s="321">
        <x:v>3600</x:v>
      </x:c>
      <x:c r="G1673" s="321">
        <x:v>1200</x:v>
      </x:c>
      <x:c r="H1673" s="312" t="s">
        <x:v>61</x:v>
      </x:c>
      <x:c r="I1673" s="312" t="s">
        <x:v>42</x:v>
      </x:c>
      <x:c r="J1673" s="316" t="n">
        <x:f>IFERROR(G1673/F1673,0)</x:f>
        <x:v>0.3333333333333333</x:v>
      </x:c>
      <x:c r="K1673" s="312" t="str">
        <x:f>IF(B1673="Bilinmeyen Personel","Kontrol","OK")</x:f>
        <x:v>OK</x:v>
      </x:c>
    </x:row>
    <x:row r="1674" hidden="1">
      <x:c r="A1674" s="312" t="n">
        <x:f>ROW()-ROW($A$2)+1</x:f>
        <x:v>1673</x:v>
      </x:c>
      <x:c r="B1674" s="312" t="s">
        <x:v>48</x:v>
      </x:c>
      <x:c r="C1674" s="312" t="s">
        <x:v>27</x:v>
      </x:c>
      <x:c r="D1674" s="317">
        <x:v>4</x:v>
      </x:c>
      <x:c r="E1674" s="321">
        <x:v>1100</x:v>
      </x:c>
      <x:c r="F1674" s="321">
        <x:v>4400</x:v>
      </x:c>
      <x:c r="G1674" s="321">
        <x:v>1200</x:v>
      </x:c>
      <x:c r="H1674" s="312" t="s">
        <x:v>61</x:v>
      </x:c>
      <x:c r="I1674" s="312" t="s">
        <x:v>44</x:v>
      </x:c>
      <x:c r="J1674" s="316" t="n">
        <x:f>IFERROR(G1674/F1674,0)</x:f>
        <x:v>0.2727272727272727</x:v>
      </x:c>
      <x:c r="K1674" s="312" t="str">
        <x:f>IF(B1674="Bilinmeyen Personel","Kontrol","OK")</x:f>
        <x:v>OK</x:v>
      </x:c>
    </x:row>
    <x:row r="1675" hidden="1">
      <x:c r="A1675" s="312" t="n">
        <x:f>ROW()-ROW($A$2)+1</x:f>
        <x:v>1674</x:v>
      </x:c>
      <x:c r="B1675" s="312" t="s">
        <x:v>40</x:v>
      </x:c>
      <x:c r="C1675" s="312" t="s">
        <x:v>58</x:v>
      </x:c>
      <x:c r="D1675" s="317">
        <x:v>2</x:v>
      </x:c>
      <x:c r="E1675" s="321">
        <x:v>3700</x:v>
      </x:c>
      <x:c r="F1675" s="321">
        <x:v>7400</x:v>
      </x:c>
      <x:c r="G1675" s="321">
        <x:v>1400</x:v>
      </x:c>
      <x:c r="H1675" s="312" t="s">
        <x:v>61</x:v>
      </x:c>
      <x:c r="I1675" s="312" t="s">
        <x:v>31</x:v>
      </x:c>
      <x:c r="J1675" s="316" t="n">
        <x:f>IFERROR(G1675/F1675,0)</x:f>
        <x:v>0.1891891891891892</x:v>
      </x:c>
      <x:c r="K1675" s="312" t="str">
        <x:f>IF(B1675="Bilinmeyen Personel","Kontrol","OK")</x:f>
        <x:v>OK</x:v>
      </x:c>
    </x:row>
    <x:row r="1676" hidden="1">
      <x:c r="A1676" s="312" t="n">
        <x:f>ROW()-ROW($A$2)+1</x:f>
        <x:v>1675</x:v>
      </x:c>
      <x:c r="B1676" s="312" t="s">
        <x:v>13</x:v>
      </x:c>
      <x:c r="C1676" s="312" t="s">
        <x:v>58</x:v>
      </x:c>
      <x:c r="D1676" s="317">
        <x:v>2</x:v>
      </x:c>
      <x:c r="E1676" s="321">
        <x:v>3700</x:v>
      </x:c>
      <x:c r="F1676" s="321">
        <x:v>7400</x:v>
      </x:c>
      <x:c r="G1676" s="321">
        <x:v>1400</x:v>
      </x:c>
      <x:c r="H1676" s="312" t="s">
        <x:v>61</x:v>
      </x:c>
      <x:c r="I1676" s="312" t="s">
        <x:v>31</x:v>
      </x:c>
      <x:c r="J1676" s="316" t="n">
        <x:f>IFERROR(G1676/F1676,0)</x:f>
        <x:v>0.1891891891891892</x:v>
      </x:c>
      <x:c r="K1676" s="312" t="str">
        <x:f>IF(B1676="Bilinmeyen Personel","Kontrol","OK")</x:f>
        <x:v>OK</x:v>
      </x:c>
    </x:row>
    <x:row r="1677" hidden="1">
      <x:c r="A1677" s="312" t="n">
        <x:f>ROW()-ROW($A$2)+1</x:f>
        <x:v>1676</x:v>
      </x:c>
      <x:c r="B1677" s="312" t="s">
        <x:v>32</x:v>
      </x:c>
      <x:c r="C1677" s="312" t="s">
        <x:v>27</x:v>
      </x:c>
      <x:c r="D1677" s="317">
        <x:v>3</x:v>
      </x:c>
      <x:c r="E1677" s="321">
        <x:v>1100</x:v>
      </x:c>
      <x:c r="F1677" s="321">
        <x:v>3300</x:v>
      </x:c>
      <x:c r="G1677" s="321">
        <x:v>900</x:v>
      </x:c>
      <x:c r="H1677" s="312" t="s">
        <x:v>61</x:v>
      </x:c>
      <x:c r="I1677" s="312" t="s">
        <x:v>15</x:v>
      </x:c>
      <x:c r="J1677" s="316" t="n">
        <x:f>IFERROR(G1677/F1677,0)</x:f>
        <x:v>0.2727272727272727</x:v>
      </x:c>
      <x:c r="K1677" s="312" t="str">
        <x:f>IF(B1677="Bilinmeyen Personel","Kontrol","OK")</x:f>
        <x:v>OK</x:v>
      </x:c>
    </x:row>
    <x:row r="1678" hidden="1">
      <x:c r="A1678" s="312" t="n">
        <x:f>ROW()-ROW($A$2)+1</x:f>
        <x:v>1677</x:v>
      </x:c>
      <x:c r="B1678" s="312" t="s">
        <x:v>29</x:v>
      </x:c>
      <x:c r="C1678" s="312" t="s">
        <x:v>58</x:v>
      </x:c>
      <x:c r="D1678" s="317">
        <x:v>2</x:v>
      </x:c>
      <x:c r="E1678" s="321">
        <x:v>3700</x:v>
      </x:c>
      <x:c r="F1678" s="321">
        <x:v>7400</x:v>
      </x:c>
      <x:c r="G1678" s="321">
        <x:v>1400</x:v>
      </x:c>
      <x:c r="H1678" s="312" t="s">
        <x:v>61</x:v>
      </x:c>
      <x:c r="I1678" s="312" t="s">
        <x:v>31</x:v>
      </x:c>
      <x:c r="J1678" s="316" t="n">
        <x:f>IFERROR(G1678/F1678,0)</x:f>
        <x:v>0.1891891891891892</x:v>
      </x:c>
      <x:c r="K1678" s="312" t="str">
        <x:f>IF(B1678="Bilinmeyen Personel","Kontrol","OK")</x:f>
        <x:v>OK</x:v>
      </x:c>
    </x:row>
    <x:row r="1679" hidden="1">
      <x:c r="A1679" s="312" t="n">
        <x:f>ROW()-ROW($A$2)+1</x:f>
        <x:v>1678</x:v>
      </x:c>
      <x:c r="B1679" s="312" t="s">
        <x:v>48</x:v>
      </x:c>
      <x:c r="C1679" s="312" t="s">
        <x:v>43</x:v>
      </x:c>
      <x:c r="D1679" s="317">
        <x:v>2</x:v>
      </x:c>
      <x:c r="E1679" s="321">
        <x:v>1490</x:v>
      </x:c>
      <x:c r="F1679" s="321">
        <x:v>2980</x:v>
      </x:c>
      <x:c r="G1679" s="321">
        <x:v>1380</x:v>
      </x:c>
      <x:c r="H1679" s="312" t="s">
        <x:v>61</x:v>
      </x:c>
      <x:c r="I1679" s="312" t="s">
        <x:v>46</x:v>
      </x:c>
      <x:c r="J1679" s="316" t="n">
        <x:f>IFERROR(G1679/F1679,0)</x:f>
        <x:v>0.46308724832214765</x:v>
      </x:c>
      <x:c r="K1679" s="312" t="str">
        <x:f>IF(B1679="Bilinmeyen Personel","Kontrol","OK")</x:f>
        <x:v>OK</x:v>
      </x:c>
    </x:row>
    <x:row r="1680" hidden="1">
      <x:c r="A1680" s="312" t="n">
        <x:f>ROW()-ROW($A$2)+1</x:f>
        <x:v>1679</x:v>
      </x:c>
      <x:c r="B1680" s="312" t="s">
        <x:v>40</x:v>
      </x:c>
      <x:c r="C1680" s="312" t="s">
        <x:v>57</x:v>
      </x:c>
      <x:c r="D1680" s="317">
        <x:v>3</x:v>
      </x:c>
      <x:c r="E1680" s="321">
        <x:v>1500</x:v>
      </x:c>
      <x:c r="F1680" s="321">
        <x:v>4500</x:v>
      </x:c>
      <x:c r="G1680" s="321">
        <x:v>2100</x:v>
      </x:c>
      <x:c r="H1680" s="312" t="s">
        <x:v>61</x:v>
      </x:c>
      <x:c r="I1680" s="312" t="s">
        <x:v>15</x:v>
      </x:c>
      <x:c r="J1680" s="316" t="n">
        <x:f>IFERROR(G1680/F1680,0)</x:f>
        <x:v>0.4666666666666667</x:v>
      </x:c>
      <x:c r="K1680" s="312" t="str">
        <x:f>IF(B1680="Bilinmeyen Personel","Kontrol","OK")</x:f>
        <x:v>OK</x:v>
      </x:c>
    </x:row>
    <x:row r="1681" hidden="1">
      <x:c r="A1681" s="312" t="n">
        <x:f>ROW()-ROW($A$2)+1</x:f>
        <x:v>1680</x:v>
      </x:c>
      <x:c r="B1681" s="312" t="s">
        <x:v>38</x:v>
      </x:c>
      <x:c r="C1681" s="312" t="s">
        <x:v>34</x:v>
      </x:c>
      <x:c r="D1681" s="317">
        <x:v>3</x:v>
      </x:c>
      <x:c r="E1681" s="321">
        <x:v>1090</x:v>
      </x:c>
      <x:c r="F1681" s="321">
        <x:v>3270</x:v>
      </x:c>
      <x:c r="G1681" s="321">
        <x:v>870</x:v>
      </x:c>
      <x:c r="H1681" s="312" t="s">
        <x:v>61</x:v>
      </x:c>
      <x:c r="I1681" s="312" t="s">
        <x:v>37</x:v>
      </x:c>
      <x:c r="J1681" s="316" t="n">
        <x:f>IFERROR(G1681/F1681,0)</x:f>
        <x:v>0.26605504587155965</x:v>
      </x:c>
      <x:c r="K1681" s="312" t="str">
        <x:f>IF(B1681="Bilinmeyen Personel","Kontrol","OK")</x:f>
        <x:v>OK</x:v>
      </x:c>
    </x:row>
    <x:row r="1682" hidden="1">
      <x:c r="A1682" s="312" t="n">
        <x:f>ROW()-ROW($A$2)+1</x:f>
        <x:v>1681</x:v>
      </x:c>
      <x:c r="B1682" s="312" t="s">
        <x:v>48</x:v>
      </x:c>
      <x:c r="C1682" s="312" t="s">
        <x:v>33</x:v>
      </x:c>
      <x:c r="D1682" s="317">
        <x:v>5</x:v>
      </x:c>
      <x:c r="E1682" s="321">
        <x:v>1800</x:v>
      </x:c>
      <x:c r="F1682" s="321">
        <x:v>9000</x:v>
      </x:c>
      <x:c r="G1682" s="321">
        <x:v>5000</x:v>
      </x:c>
      <x:c r="H1682" s="312" t="s">
        <x:v>61</x:v>
      </x:c>
      <x:c r="I1682" s="312" t="s">
        <x:v>46</x:v>
      </x:c>
      <x:c r="J1682" s="316" t="n">
        <x:f>IFERROR(G1682/F1682,0)</x:f>
        <x:v>0.5555555555555556</x:v>
      </x:c>
      <x:c r="K1682" s="312" t="str">
        <x:f>IF(B1682="Bilinmeyen Personel","Kontrol","OK")</x:f>
        <x:v>OK</x:v>
      </x:c>
    </x:row>
    <x:row r="1683" hidden="1">
      <x:c r="A1683" s="312" t="n">
        <x:f>ROW()-ROW($A$2)+1</x:f>
        <x:v>1682</x:v>
      </x:c>
      <x:c r="B1683" s="312" t="s">
        <x:v>35</x:v>
      </x:c>
      <x:c r="C1683" s="312" t="s">
        <x:v>55</x:v>
      </x:c>
      <x:c r="D1683" s="317">
        <x:v>5</x:v>
      </x:c>
      <x:c r="E1683" s="321">
        <x:v>7530</x:v>
      </x:c>
      <x:c r="F1683" s="321">
        <x:v>37650</x:v>
      </x:c>
      <x:c r="G1683" s="321">
        <x:v>7650</x:v>
      </x:c>
      <x:c r="H1683" s="312" t="s">
        <x:v>61</x:v>
      </x:c>
      <x:c r="I1683" s="312" t="s">
        <x:v>25</x:v>
      </x:c>
      <x:c r="J1683" s="316" t="n">
        <x:f>IFERROR(G1683/F1683,0)</x:f>
        <x:v>0.20318725099601595</x:v>
      </x:c>
      <x:c r="K1683" s="312" t="str">
        <x:f>IF(B1683="Bilinmeyen Personel","Kontrol","OK")</x:f>
        <x:v>OK</x:v>
      </x:c>
    </x:row>
    <x:row r="1684" hidden="1">
      <x:c r="A1684" s="312" t="n">
        <x:f>ROW()-ROW($A$2)+1</x:f>
        <x:v>1683</x:v>
      </x:c>
      <x:c r="B1684" s="312" t="s">
        <x:v>32</x:v>
      </x:c>
      <x:c r="C1684" s="312" t="s">
        <x:v>27</x:v>
      </x:c>
      <x:c r="D1684" s="317">
        <x:v>5</x:v>
      </x:c>
      <x:c r="E1684" s="321">
        <x:v>1100</x:v>
      </x:c>
      <x:c r="F1684" s="321">
        <x:v>5500</x:v>
      </x:c>
      <x:c r="G1684" s="321">
        <x:v>1500</x:v>
      </x:c>
      <x:c r="H1684" s="312" t="s">
        <x:v>61</x:v>
      </x:c>
      <x:c r="I1684" s="312" t="s">
        <x:v>21</x:v>
      </x:c>
      <x:c r="J1684" s="316" t="n">
        <x:f>IFERROR(G1684/F1684,0)</x:f>
        <x:v>0.2727272727272727</x:v>
      </x:c>
      <x:c r="K1684" s="312" t="str">
        <x:f>IF(B1684="Bilinmeyen Personel","Kontrol","OK")</x:f>
        <x:v>OK</x:v>
      </x:c>
    </x:row>
    <x:row r="1685" hidden="1">
      <x:c r="A1685" s="312" t="n">
        <x:f>ROW()-ROW($A$2)+1</x:f>
        <x:v>1684</x:v>
      </x:c>
      <x:c r="B1685" s="312" t="s">
        <x:v>40</x:v>
      </x:c>
      <x:c r="C1685" s="312" t="s">
        <x:v>20</x:v>
      </x:c>
      <x:c r="D1685" s="317">
        <x:v>4</x:v>
      </x:c>
      <x:c r="E1685" s="321">
        <x:v>1350</x:v>
      </x:c>
      <x:c r="F1685" s="321">
        <x:v>5400</x:v>
      </x:c>
      <x:c r="G1685" s="321">
        <x:v>2200</x:v>
      </x:c>
      <x:c r="H1685" s="312" t="s">
        <x:v>61</x:v>
      </x:c>
      <x:c r="I1685" s="312" t="s">
        <x:v>15</x:v>
      </x:c>
      <x:c r="J1685" s="316" t="n">
        <x:f>IFERROR(G1685/F1685,0)</x:f>
        <x:v>0.4074074074074074</x:v>
      </x:c>
      <x:c r="K1685" s="312" t="str">
        <x:f>IF(B1685="Bilinmeyen Personel","Kontrol","OK")</x:f>
        <x:v>OK</x:v>
      </x:c>
    </x:row>
    <x:row r="1686" hidden="1">
      <x:c r="A1686" s="312" t="n">
        <x:f>ROW()-ROW($A$2)+1</x:f>
        <x:v>1685</x:v>
      </x:c>
      <x:c r="B1686" s="312" t="s">
        <x:v>38</x:v>
      </x:c>
      <x:c r="C1686" s="312" t="s">
        <x:v>20</x:v>
      </x:c>
      <x:c r="D1686" s="317">
        <x:v>4</x:v>
      </x:c>
      <x:c r="E1686" s="321">
        <x:v>1350</x:v>
      </x:c>
      <x:c r="F1686" s="321">
        <x:v>5400</x:v>
      </x:c>
      <x:c r="G1686" s="321">
        <x:v>2200</x:v>
      </x:c>
      <x:c r="H1686" s="312" t="s">
        <x:v>61</x:v>
      </x:c>
      <x:c r="I1686" s="312" t="s">
        <x:v>42</x:v>
      </x:c>
      <x:c r="J1686" s="316" t="n">
        <x:f>IFERROR(G1686/F1686,0)</x:f>
        <x:v>0.4074074074074074</x:v>
      </x:c>
      <x:c r="K1686" s="312" t="str">
        <x:f>IF(B1686="Bilinmeyen Personel","Kontrol","OK")</x:f>
        <x:v>OK</x:v>
      </x:c>
    </x:row>
    <x:row r="1687" hidden="1">
      <x:c r="A1687" s="312" t="n">
        <x:f>ROW()-ROW($A$2)+1</x:f>
        <x:v>1686</x:v>
      </x:c>
      <x:c r="B1687" s="312" t="s">
        <x:v>35</x:v>
      </x:c>
      <x:c r="C1687" s="312" t="s">
        <x:v>34</x:v>
      </x:c>
      <x:c r="D1687" s="317">
        <x:v>5</x:v>
      </x:c>
      <x:c r="E1687" s="321">
        <x:v>1090</x:v>
      </x:c>
      <x:c r="F1687" s="321">
        <x:v>5450</x:v>
      </x:c>
      <x:c r="G1687" s="321">
        <x:v>1450</x:v>
      </x:c>
      <x:c r="H1687" s="312" t="s">
        <x:v>61</x:v>
      </x:c>
      <x:c r="I1687" s="312" t="s">
        <x:v>12</x:v>
      </x:c>
      <x:c r="J1687" s="316" t="n">
        <x:f>IFERROR(G1687/F1687,0)</x:f>
        <x:v>0.26605504587155965</x:v>
      </x:c>
      <x:c r="K1687" s="312" t="str">
        <x:f>IF(B1687="Bilinmeyen Personel","Kontrol","OK")</x:f>
        <x:v>OK</x:v>
      </x:c>
    </x:row>
    <x:row r="1688" hidden="1">
      <x:c r="A1688" s="312" t="n">
        <x:f>ROW()-ROW($A$2)+1</x:f>
        <x:v>1687</x:v>
      </x:c>
      <x:c r="B1688" s="312" t="s">
        <x:v>35</x:v>
      </x:c>
      <x:c r="C1688" s="312" t="s">
        <x:v>45</x:v>
      </x:c>
      <x:c r="D1688" s="317">
        <x:v>5</x:v>
      </x:c>
      <x:c r="E1688" s="321">
        <x:v>4200</x:v>
      </x:c>
      <x:c r="F1688" s="321">
        <x:v>21000</x:v>
      </x:c>
      <x:c r="G1688" s="321">
        <x:v>6000</x:v>
      </x:c>
      <x:c r="H1688" s="312" t="s">
        <x:v>61</x:v>
      </x:c>
      <x:c r="I1688" s="312" t="s">
        <x:v>15</x:v>
      </x:c>
      <x:c r="J1688" s="316" t="n">
        <x:f>IFERROR(G1688/F1688,0)</x:f>
        <x:v>0.2857142857142857</x:v>
      </x:c>
      <x:c r="K1688" s="312" t="str">
        <x:f>IF(B1688="Bilinmeyen Personel","Kontrol","OK")</x:f>
        <x:v>OK</x:v>
      </x:c>
    </x:row>
    <x:row r="1689" hidden="1">
      <x:c r="A1689" s="312" t="n">
        <x:f>ROW()-ROW($A$2)+1</x:f>
        <x:v>1688</x:v>
      </x:c>
      <x:c r="B1689" s="312" t="s">
        <x:v>40</x:v>
      </x:c>
      <x:c r="C1689" s="312" t="s">
        <x:v>33</x:v>
      </x:c>
      <x:c r="D1689" s="317">
        <x:v>3</x:v>
      </x:c>
      <x:c r="E1689" s="321">
        <x:v>1800</x:v>
      </x:c>
      <x:c r="F1689" s="321">
        <x:v>5400</x:v>
      </x:c>
      <x:c r="G1689" s="321">
        <x:v>3000</x:v>
      </x:c>
      <x:c r="H1689" s="312" t="s">
        <x:v>61</x:v>
      </x:c>
      <x:c r="I1689" s="312" t="s">
        <x:v>21</x:v>
      </x:c>
      <x:c r="J1689" s="316" t="n">
        <x:f>IFERROR(G1689/F1689,0)</x:f>
        <x:v>0.5555555555555556</x:v>
      </x:c>
      <x:c r="K1689" s="312" t="str">
        <x:f>IF(B1689="Bilinmeyen Personel","Kontrol","OK")</x:f>
        <x:v>OK</x:v>
      </x:c>
    </x:row>
    <x:row r="1690" hidden="1">
      <x:c r="A1690" s="312" t="n">
        <x:f>ROW()-ROW($A$2)+1</x:f>
        <x:v>1689</x:v>
      </x:c>
      <x:c r="B1690" s="312" t="s">
        <x:v>50</x:v>
      </x:c>
      <x:c r="C1690" s="312" t="s">
        <x:v>34</x:v>
      </x:c>
      <x:c r="D1690" s="317">
        <x:v>4</x:v>
      </x:c>
      <x:c r="E1690" s="321">
        <x:v>1090</x:v>
      </x:c>
      <x:c r="F1690" s="321">
        <x:v>4360</x:v>
      </x:c>
      <x:c r="G1690" s="321">
        <x:v>1160</x:v>
      </x:c>
      <x:c r="H1690" s="312" t="s">
        <x:v>61</x:v>
      </x:c>
      <x:c r="I1690" s="312" t="s">
        <x:v>12</x:v>
      </x:c>
      <x:c r="J1690" s="316" t="n">
        <x:f>IFERROR(G1690/F1690,0)</x:f>
        <x:v>0.26605504587155965</x:v>
      </x:c>
      <x:c r="K1690" s="312" t="str">
        <x:f>IF(B1690="Bilinmeyen Personel","Kontrol","OK")</x:f>
        <x:v>OK</x:v>
      </x:c>
    </x:row>
    <x:row r="1691" hidden="1">
      <x:c r="A1691" s="312" t="n">
        <x:f>ROW()-ROW($A$2)+1</x:f>
        <x:v>1690</x:v>
      </x:c>
      <x:c r="B1691" s="312" t="s">
        <x:v>9</x:v>
      </x:c>
      <x:c r="C1691" s="312" t="s">
        <x:v>24</x:v>
      </x:c>
      <x:c r="D1691" s="317">
        <x:v>5</x:v>
      </x:c>
      <x:c r="E1691" s="321">
        <x:v>7600</x:v>
      </x:c>
      <x:c r="F1691" s="321">
        <x:v>38000</x:v>
      </x:c>
      <x:c r="G1691" s="321">
        <x:v>8000</x:v>
      </x:c>
      <x:c r="H1691" s="312" t="s">
        <x:v>61</x:v>
      </x:c>
      <x:c r="I1691" s="312" t="s">
        <x:v>21</x:v>
      </x:c>
      <x:c r="J1691" s="316" t="n">
        <x:f>IFERROR(G1691/F1691,0)</x:f>
        <x:v>0.21052631578947367</x:v>
      </x:c>
      <x:c r="K1691" s="312" t="str">
        <x:f>IF(B1691="Bilinmeyen Personel","Kontrol","OK")</x:f>
        <x:v>OK</x:v>
      </x:c>
    </x:row>
    <x:row r="1692" hidden="1">
      <x:c r="A1692" s="312" t="n">
        <x:f>ROW()-ROW($A$2)+1</x:f>
        <x:v>1691</x:v>
      </x:c>
      <x:c r="B1692" s="312" t="s">
        <x:v>38</x:v>
      </x:c>
      <x:c r="C1692" s="312" t="s">
        <x:v>24</x:v>
      </x:c>
      <x:c r="D1692" s="317">
        <x:v>4</x:v>
      </x:c>
      <x:c r="E1692" s="321">
        <x:v>7600</x:v>
      </x:c>
      <x:c r="F1692" s="321">
        <x:v>30400</x:v>
      </x:c>
      <x:c r="G1692" s="321">
        <x:v>6400</x:v>
      </x:c>
      <x:c r="H1692" s="312" t="s">
        <x:v>61</x:v>
      </x:c>
      <x:c r="I1692" s="312" t="s">
        <x:v>18</x:v>
      </x:c>
      <x:c r="J1692" s="316" t="n">
        <x:f>IFERROR(G1692/F1692,0)</x:f>
        <x:v>0.21052631578947367</x:v>
      </x:c>
      <x:c r="K1692" s="312" t="str">
        <x:f>IF(B1692="Bilinmeyen Personel","Kontrol","OK")</x:f>
        <x:v>OK</x:v>
      </x:c>
    </x:row>
    <x:row r="1693" hidden="1">
      <x:c r="A1693" s="312" t="n">
        <x:f>ROW()-ROW($A$2)+1</x:f>
        <x:v>1692</x:v>
      </x:c>
      <x:c r="B1693" s="312" t="s">
        <x:v>16</x:v>
      </x:c>
      <x:c r="C1693" s="312" t="s">
        <x:v>58</x:v>
      </x:c>
      <x:c r="D1693" s="317">
        <x:v>5</x:v>
      </x:c>
      <x:c r="E1693" s="321">
        <x:v>3700</x:v>
      </x:c>
      <x:c r="F1693" s="321">
        <x:v>18500</x:v>
      </x:c>
      <x:c r="G1693" s="321">
        <x:v>3500</x:v>
      </x:c>
      <x:c r="H1693" s="312" t="s">
        <x:v>61</x:v>
      </x:c>
      <x:c r="I1693" s="312" t="s">
        <x:v>25</x:v>
      </x:c>
      <x:c r="J1693" s="316" t="n">
        <x:f>IFERROR(G1693/F1693,0)</x:f>
        <x:v>0.1891891891891892</x:v>
      </x:c>
      <x:c r="K1693" s="312" t="str">
        <x:f>IF(B1693="Bilinmeyen Personel","Kontrol","OK")</x:f>
        <x:v>OK</x:v>
      </x:c>
    </x:row>
    <x:row r="1694" hidden="1">
      <x:c r="A1694" s="312" t="n">
        <x:f>ROW()-ROW($A$2)+1</x:f>
        <x:v>1693</x:v>
      </x:c>
      <x:c r="B1694" s="312" t="s">
        <x:v>23</x:v>
      </x:c>
      <x:c r="C1694" s="312" t="s">
        <x:v>26</x:v>
      </x:c>
      <x:c r="D1694" s="317">
        <x:v>2</x:v>
      </x:c>
      <x:c r="E1694" s="321">
        <x:v>7250</x:v>
      </x:c>
      <x:c r="F1694" s="321">
        <x:v>14500</x:v>
      </x:c>
      <x:c r="G1694" s="321">
        <x:v>4500</x:v>
      </x:c>
      <x:c r="H1694" s="312" t="s">
        <x:v>61</x:v>
      </x:c>
      <x:c r="I1694" s="312" t="s">
        <x:v>18</x:v>
      </x:c>
      <x:c r="J1694" s="316" t="n">
        <x:f>IFERROR(G1694/F1694,0)</x:f>
        <x:v>0.3103448275862069</x:v>
      </x:c>
      <x:c r="K1694" s="312" t="str">
        <x:f>IF(B1694="Bilinmeyen Personel","Kontrol","OK")</x:f>
        <x:v>OK</x:v>
      </x:c>
    </x:row>
    <x:row r="1695" hidden="1">
      <x:c r="A1695" s="312" t="n">
        <x:f>ROW()-ROW($A$2)+1</x:f>
        <x:v>1694</x:v>
      </x:c>
      <x:c r="B1695" s="312" t="s">
        <x:v>13</x:v>
      </x:c>
      <x:c r="C1695" s="312" t="s">
        <x:v>24</x:v>
      </x:c>
      <x:c r="D1695" s="317">
        <x:v>4</x:v>
      </x:c>
      <x:c r="E1695" s="321">
        <x:v>7600</x:v>
      </x:c>
      <x:c r="F1695" s="321">
        <x:v>30400</x:v>
      </x:c>
      <x:c r="G1695" s="321">
        <x:v>6400</x:v>
      </x:c>
      <x:c r="H1695" s="312" t="s">
        <x:v>61</x:v>
      </x:c>
      <x:c r="I1695" s="312" t="s">
        <x:v>41</x:v>
      </x:c>
      <x:c r="J1695" s="316" t="n">
        <x:f>IFERROR(G1695/F1695,0)</x:f>
        <x:v>0.21052631578947367</x:v>
      </x:c>
      <x:c r="K1695" s="312" t="str">
        <x:f>IF(B1695="Bilinmeyen Personel","Kontrol","OK")</x:f>
        <x:v>OK</x:v>
      </x:c>
    </x:row>
    <x:row r="1696" hidden="1">
      <x:c r="A1696" s="312" t="n">
        <x:f>ROW()-ROW($A$2)+1</x:f>
        <x:v>1695</x:v>
      </x:c>
      <x:c r="B1696" s="312" t="s">
        <x:v>48</x:v>
      </x:c>
      <x:c r="C1696" s="312" t="s">
        <x:v>45</x:v>
      </x:c>
      <x:c r="D1696" s="317">
        <x:v>2</x:v>
      </x:c>
      <x:c r="E1696" s="321">
        <x:v>4200</x:v>
      </x:c>
      <x:c r="F1696" s="321">
        <x:v>8400</x:v>
      </x:c>
      <x:c r="G1696" s="321">
        <x:v>2400</x:v>
      </x:c>
      <x:c r="H1696" s="312" t="s">
        <x:v>61</x:v>
      </x:c>
      <x:c r="I1696" s="312" t="s">
        <x:v>42</x:v>
      </x:c>
      <x:c r="J1696" s="316" t="n">
        <x:f>IFERROR(G1696/F1696,0)</x:f>
        <x:v>0.2857142857142857</x:v>
      </x:c>
      <x:c r="K1696" s="312" t="str">
        <x:f>IF(B1696="Bilinmeyen Personel","Kontrol","OK")</x:f>
        <x:v>OK</x:v>
      </x:c>
    </x:row>
    <x:row r="1697" hidden="1">
      <x:c r="A1697" s="312" t="n">
        <x:f>ROW()-ROW($A$2)+1</x:f>
        <x:v>1696</x:v>
      </x:c>
      <x:c r="B1697" s="312" t="s">
        <x:v>32</x:v>
      </x:c>
      <x:c r="C1697" s="312" t="s">
        <x:v>52</x:v>
      </x:c>
      <x:c r="D1697" s="317">
        <x:v>5</x:v>
      </x:c>
      <x:c r="E1697" s="321">
        <x:v>1250</x:v>
      </x:c>
      <x:c r="F1697" s="321">
        <x:v>6250</x:v>
      </x:c>
      <x:c r="G1697" s="321">
        <x:v>2250</x:v>
      </x:c>
      <x:c r="H1697" s="312" t="s">
        <x:v>61</x:v>
      </x:c>
      <x:c r="I1697" s="312" t="s">
        <x:v>41</x:v>
      </x:c>
      <x:c r="J1697" s="316" t="n">
        <x:f>IFERROR(G1697/F1697,0)</x:f>
        <x:v>0.36</x:v>
      </x:c>
      <x:c r="K1697" s="312" t="str">
        <x:f>IF(B1697="Bilinmeyen Personel","Kontrol","OK")</x:f>
        <x:v>OK</x:v>
      </x:c>
    </x:row>
    <x:row r="1698" hidden="1">
      <x:c r="A1698" s="312" t="n">
        <x:f>ROW()-ROW($A$2)+1</x:f>
        <x:v>1697</x:v>
      </x:c>
      <x:c r="B1698" s="312" t="s">
        <x:v>38</x:v>
      </x:c>
      <x:c r="C1698" s="312" t="s">
        <x:v>34</x:v>
      </x:c>
      <x:c r="D1698" s="317">
        <x:v>5</x:v>
      </x:c>
      <x:c r="E1698" s="321">
        <x:v>1090</x:v>
      </x:c>
      <x:c r="F1698" s="321">
        <x:v>5450</x:v>
      </x:c>
      <x:c r="G1698" s="321">
        <x:v>1450</x:v>
      </x:c>
      <x:c r="H1698" s="312" t="s">
        <x:v>61</x:v>
      </x:c>
      <x:c r="I1698" s="312" t="s">
        <x:v>21</x:v>
      </x:c>
      <x:c r="J1698" s="316" t="n">
        <x:f>IFERROR(G1698/F1698,0)</x:f>
        <x:v>0.26605504587155965</x:v>
      </x:c>
      <x:c r="K1698" s="312" t="str">
        <x:f>IF(B1698="Bilinmeyen Personel","Kontrol","OK")</x:f>
        <x:v>OK</x:v>
      </x:c>
    </x:row>
    <x:row r="1699" hidden="1">
      <x:c r="A1699" s="312" t="n">
        <x:f>ROW()-ROW($A$2)+1</x:f>
        <x:v>1698</x:v>
      </x:c>
      <x:c r="B1699" s="312" t="s">
        <x:v>19</x:v>
      </x:c>
      <x:c r="C1699" s="312" t="s">
        <x:v>22</x:v>
      </x:c>
      <x:c r="D1699" s="317">
        <x:v>2</x:v>
      </x:c>
      <x:c r="E1699" s="321">
        <x:v>2180</x:v>
      </x:c>
      <x:c r="F1699" s="321">
        <x:v>4360</x:v>
      </x:c>
      <x:c r="G1699" s="321">
        <x:v>1360</x:v>
      </x:c>
      <x:c r="H1699" s="312" t="s">
        <x:v>61</x:v>
      </x:c>
      <x:c r="I1699" s="312" t="s">
        <x:v>28</x:v>
      </x:c>
      <x:c r="J1699" s="316" t="n">
        <x:f>IFERROR(G1699/F1699,0)</x:f>
        <x:v>0.3119266055045872</x:v>
      </x:c>
      <x:c r="K1699" s="312" t="str">
        <x:f>IF(B1699="Bilinmeyen Personel","Kontrol","OK")</x:f>
        <x:v>OK</x:v>
      </x:c>
    </x:row>
    <x:row r="1700" hidden="1">
      <x:c r="A1700" s="312" t="n">
        <x:f>ROW()-ROW($A$2)+1</x:f>
        <x:v>1699</x:v>
      </x:c>
      <x:c r="B1700" s="312" t="s">
        <x:v>50</x:v>
      </x:c>
      <x:c r="C1700" s="312" t="s">
        <x:v>58</x:v>
      </x:c>
      <x:c r="D1700" s="317">
        <x:v>2</x:v>
      </x:c>
      <x:c r="E1700" s="321">
        <x:v>3700</x:v>
      </x:c>
      <x:c r="F1700" s="321">
        <x:v>7400</x:v>
      </x:c>
      <x:c r="G1700" s="321">
        <x:v>1400</x:v>
      </x:c>
      <x:c r="H1700" s="312" t="s">
        <x:v>61</x:v>
      </x:c>
      <x:c r="I1700" s="312" t="s">
        <x:v>37</x:v>
      </x:c>
      <x:c r="J1700" s="316" t="n">
        <x:f>IFERROR(G1700/F1700,0)</x:f>
        <x:v>0.1891891891891892</x:v>
      </x:c>
      <x:c r="K1700" s="312" t="str">
        <x:f>IF(B1700="Bilinmeyen Personel","Kontrol","OK")</x:f>
        <x:v>OK</x:v>
      </x:c>
    </x:row>
    <x:row r="1701" hidden="1">
      <x:c r="A1701" s="312" t="n">
        <x:f>ROW()-ROW($A$2)+1</x:f>
        <x:v>1700</x:v>
      </x:c>
      <x:c r="B1701" s="312" t="s">
        <x:v>40</x:v>
      </x:c>
      <x:c r="C1701" s="312" t="s">
        <x:v>10</x:v>
      </x:c>
      <x:c r="D1701" s="317">
        <x:v>4</x:v>
      </x:c>
      <x:c r="E1701" s="321">
        <x:v>6000</x:v>
      </x:c>
      <x:c r="F1701" s="321">
        <x:v>24000</x:v>
      </x:c>
      <x:c r="G1701" s="321">
        <x:v>8000</x:v>
      </x:c>
      <x:c r="H1701" s="312" t="s">
        <x:v>61</x:v>
      </x:c>
      <x:c r="I1701" s="312" t="s">
        <x:v>28</x:v>
      </x:c>
      <x:c r="J1701" s="316" t="n">
        <x:f>IFERROR(G1701/F1701,0)</x:f>
        <x:v>0.3333333333333333</x:v>
      </x:c>
      <x:c r="K1701" s="312" t="str">
        <x:f>IF(B1701="Bilinmeyen Personel","Kontrol","OK")</x:f>
        <x:v>OK</x:v>
      </x:c>
    </x:row>
    <x:row r="1702" hidden="1">
      <x:c r="A1702" s="312" t="n">
        <x:f>ROW()-ROW($A$2)+1</x:f>
        <x:v>1701</x:v>
      </x:c>
      <x:c r="B1702" s="312" t="s">
        <x:v>48</x:v>
      </x:c>
      <x:c r="C1702" s="312" t="s">
        <x:v>52</x:v>
      </x:c>
      <x:c r="D1702" s="317">
        <x:v>2</x:v>
      </x:c>
      <x:c r="E1702" s="321">
        <x:v>1250</x:v>
      </x:c>
      <x:c r="F1702" s="321">
        <x:v>2500</x:v>
      </x:c>
      <x:c r="G1702" s="321">
        <x:v>900</x:v>
      </x:c>
      <x:c r="H1702" s="312" t="s">
        <x:v>61</x:v>
      </x:c>
      <x:c r="I1702" s="312" t="s">
        <x:v>37</x:v>
      </x:c>
      <x:c r="J1702" s="316" t="n">
        <x:f>IFERROR(G1702/F1702,0)</x:f>
        <x:v>0.36</x:v>
      </x:c>
      <x:c r="K1702" s="312" t="str">
        <x:f>IF(B1702="Bilinmeyen Personel","Kontrol","OK")</x:f>
        <x:v>OK</x:v>
      </x:c>
    </x:row>
    <x:row r="1703" hidden="1">
      <x:c r="A1703" s="312" t="n">
        <x:f>ROW()-ROW($A$2)+1</x:f>
        <x:v>1702</x:v>
      </x:c>
      <x:c r="B1703" s="312" t="s">
        <x:v>50</x:v>
      </x:c>
      <x:c r="C1703" s="312" t="s">
        <x:v>24</x:v>
      </x:c>
      <x:c r="D1703" s="317">
        <x:v>2</x:v>
      </x:c>
      <x:c r="E1703" s="321">
        <x:v>7600</x:v>
      </x:c>
      <x:c r="F1703" s="321">
        <x:v>15200</x:v>
      </x:c>
      <x:c r="G1703" s="321">
        <x:v>3200</x:v>
      </x:c>
      <x:c r="H1703" s="312" t="s">
        <x:v>61</x:v>
      </x:c>
      <x:c r="I1703" s="312" t="s">
        <x:v>41</x:v>
      </x:c>
      <x:c r="J1703" s="316" t="n">
        <x:f>IFERROR(G1703/F1703,0)</x:f>
        <x:v>0.21052631578947367</x:v>
      </x:c>
      <x:c r="K1703" s="312" t="str">
        <x:f>IF(B1703="Bilinmeyen Personel","Kontrol","OK")</x:f>
        <x:v>OK</x:v>
      </x:c>
    </x:row>
    <x:row r="1704" hidden="1">
      <x:c r="A1704" s="312" t="n">
        <x:f>ROW()-ROW($A$2)+1</x:f>
        <x:v>1703</x:v>
      </x:c>
      <x:c r="B1704" s="312" t="s">
        <x:v>9</x:v>
      </x:c>
      <x:c r="C1704" s="312" t="s">
        <x:v>14</x:v>
      </x:c>
      <x:c r="D1704" s="317">
        <x:v>4</x:v>
      </x:c>
      <x:c r="E1704" s="321">
        <x:v>1400</x:v>
      </x:c>
      <x:c r="F1704" s="321">
        <x:v>5600</x:v>
      </x:c>
      <x:c r="G1704" s="321">
        <x:v>2400</x:v>
      </x:c>
      <x:c r="H1704" s="312" t="s">
        <x:v>61</x:v>
      </x:c>
      <x:c r="I1704" s="312" t="s">
        <x:v>25</x:v>
      </x:c>
      <x:c r="J1704" s="316" t="n">
        <x:f>IFERROR(G1704/F1704,0)</x:f>
        <x:v>0.42857142857142855</x:v>
      </x:c>
      <x:c r="K1704" s="312" t="str">
        <x:f>IF(B1704="Bilinmeyen Personel","Kontrol","OK")</x:f>
        <x:v>OK</x:v>
      </x:c>
    </x:row>
    <x:row r="1705" hidden="1">
      <x:c r="A1705" s="312" t="n">
        <x:f>ROW()-ROW($A$2)+1</x:f>
        <x:v>1704</x:v>
      </x:c>
      <x:c r="B1705" s="312" t="s">
        <x:v>23</x:v>
      </x:c>
      <x:c r="C1705" s="312" t="s">
        <x:v>22</x:v>
      </x:c>
      <x:c r="D1705" s="317">
        <x:v>4</x:v>
      </x:c>
      <x:c r="E1705" s="321">
        <x:v>2180</x:v>
      </x:c>
      <x:c r="F1705" s="321">
        <x:v>8720</x:v>
      </x:c>
      <x:c r="G1705" s="321">
        <x:v>2720</x:v>
      </x:c>
      <x:c r="H1705" s="312" t="s">
        <x:v>61</x:v>
      </x:c>
      <x:c r="I1705" s="312" t="s">
        <x:v>46</x:v>
      </x:c>
      <x:c r="J1705" s="316" t="n">
        <x:f>IFERROR(G1705/F1705,0)</x:f>
        <x:v>0.3119266055045872</x:v>
      </x:c>
      <x:c r="K1705" s="312" t="str">
        <x:f>IF(B1705="Bilinmeyen Personel","Kontrol","OK")</x:f>
        <x:v>OK</x:v>
      </x:c>
    </x:row>
    <x:row r="1706" hidden="1">
      <x:c r="A1706" s="312" t="n">
        <x:f>ROW()-ROW($A$2)+1</x:f>
        <x:v>1705</x:v>
      </x:c>
      <x:c r="B1706" s="312" t="s">
        <x:v>9</x:v>
      </x:c>
      <x:c r="C1706" s="312" t="s">
        <x:v>33</x:v>
      </x:c>
      <x:c r="D1706" s="317">
        <x:v>2</x:v>
      </x:c>
      <x:c r="E1706" s="321">
        <x:v>1800</x:v>
      </x:c>
      <x:c r="F1706" s="321">
        <x:v>3600</x:v>
      </x:c>
      <x:c r="G1706" s="321">
        <x:v>2000</x:v>
      </x:c>
      <x:c r="H1706" s="312" t="s">
        <x:v>61</x:v>
      </x:c>
      <x:c r="I1706" s="312" t="s">
        <x:v>21</x:v>
      </x:c>
      <x:c r="J1706" s="316" t="n">
        <x:f>IFERROR(G1706/F1706,0)</x:f>
        <x:v>0.5555555555555556</x:v>
      </x:c>
      <x:c r="K1706" s="312" t="str">
        <x:f>IF(B1706="Bilinmeyen Personel","Kontrol","OK")</x:f>
        <x:v>OK</x:v>
      </x:c>
    </x:row>
    <x:row r="1707" hidden="1">
      <x:c r="A1707" s="312" t="n">
        <x:f>ROW()-ROW($A$2)+1</x:f>
        <x:v>1706</x:v>
      </x:c>
      <x:c r="B1707" s="312" t="s">
        <x:v>16</x:v>
      </x:c>
      <x:c r="C1707" s="312" t="s">
        <x:v>57</x:v>
      </x:c>
      <x:c r="D1707" s="317">
        <x:v>2</x:v>
      </x:c>
      <x:c r="E1707" s="321">
        <x:v>1500</x:v>
      </x:c>
      <x:c r="F1707" s="321">
        <x:v>3000</x:v>
      </x:c>
      <x:c r="G1707" s="321">
        <x:v>1400</x:v>
      </x:c>
      <x:c r="H1707" s="312" t="s">
        <x:v>61</x:v>
      </x:c>
      <x:c r="I1707" s="312" t="s">
        <x:v>12</x:v>
      </x:c>
      <x:c r="J1707" s="316" t="n">
        <x:f>IFERROR(G1707/F1707,0)</x:f>
        <x:v>0.4666666666666667</x:v>
      </x:c>
      <x:c r="K1707" s="312" t="str">
        <x:f>IF(B1707="Bilinmeyen Personel","Kontrol","OK")</x:f>
        <x:v>OK</x:v>
      </x:c>
    </x:row>
    <x:row r="1708" hidden="1">
      <x:c r="A1708" s="312" t="n">
        <x:f>ROW()-ROW($A$2)+1</x:f>
        <x:v>1707</x:v>
      </x:c>
      <x:c r="B1708" s="312" t="s">
        <x:v>32</x:v>
      </x:c>
      <x:c r="C1708" s="312" t="s">
        <x:v>17</x:v>
      </x:c>
      <x:c r="D1708" s="317">
        <x:v>2</x:v>
      </x:c>
      <x:c r="E1708" s="321">
        <x:v>8450</x:v>
      </x:c>
      <x:c r="F1708" s="321">
        <x:v>16900</x:v>
      </x:c>
      <x:c r="G1708" s="321">
        <x:v>4900</x:v>
      </x:c>
      <x:c r="H1708" s="312" t="s">
        <x:v>61</x:v>
      </x:c>
      <x:c r="I1708" s="312" t="s">
        <x:v>28</x:v>
      </x:c>
      <x:c r="J1708" s="316" t="n">
        <x:f>IFERROR(G1708/F1708,0)</x:f>
        <x:v>0.28994082840236685</x:v>
      </x:c>
      <x:c r="K1708" s="312" t="str">
        <x:f>IF(B1708="Bilinmeyen Personel","Kontrol","OK")</x:f>
        <x:v>OK</x:v>
      </x:c>
    </x:row>
    <x:row r="1709" hidden="1">
      <x:c r="A1709" s="312" t="n">
        <x:f>ROW()-ROW($A$2)+1</x:f>
        <x:v>1708</x:v>
      </x:c>
      <x:c r="B1709" s="312" t="s">
        <x:v>40</x:v>
      </x:c>
      <x:c r="C1709" s="312" t="s">
        <x:v>57</x:v>
      </x:c>
      <x:c r="D1709" s="317">
        <x:v>4</x:v>
      </x:c>
      <x:c r="E1709" s="321">
        <x:v>1500</x:v>
      </x:c>
      <x:c r="F1709" s="321">
        <x:v>6000</x:v>
      </x:c>
      <x:c r="G1709" s="321">
        <x:v>2800</x:v>
      </x:c>
      <x:c r="H1709" s="312" t="s">
        <x:v>61</x:v>
      </x:c>
      <x:c r="I1709" s="312" t="s">
        <x:v>25</x:v>
      </x:c>
      <x:c r="J1709" s="316" t="n">
        <x:f>IFERROR(G1709/F1709,0)</x:f>
        <x:v>0.4666666666666667</x:v>
      </x:c>
      <x:c r="K1709" s="312" t="str">
        <x:f>IF(B1709="Bilinmeyen Personel","Kontrol","OK")</x:f>
        <x:v>OK</x:v>
      </x:c>
    </x:row>
    <x:row r="1710" hidden="1">
      <x:c r="A1710" s="312" t="n">
        <x:f>ROW()-ROW($A$2)+1</x:f>
        <x:v>1709</x:v>
      </x:c>
      <x:c r="B1710" s="312" t="s">
        <x:v>29</x:v>
      </x:c>
      <x:c r="C1710" s="312" t="s">
        <x:v>10</x:v>
      </x:c>
      <x:c r="D1710" s="317">
        <x:v>5</x:v>
      </x:c>
      <x:c r="E1710" s="321">
        <x:v>6000</x:v>
      </x:c>
      <x:c r="F1710" s="321">
        <x:v>30000</x:v>
      </x:c>
      <x:c r="G1710" s="321">
        <x:v>10000</x:v>
      </x:c>
      <x:c r="H1710" s="312" t="s">
        <x:v>61</x:v>
      </x:c>
      <x:c r="I1710" s="312" t="s">
        <x:v>44</x:v>
      </x:c>
      <x:c r="J1710" s="316" t="n">
        <x:f>IFERROR(G1710/F1710,0)</x:f>
        <x:v>0.3333333333333333</x:v>
      </x:c>
      <x:c r="K1710" s="312" t="str">
        <x:f>IF(B1710="Bilinmeyen Personel","Kontrol","OK")</x:f>
        <x:v>OK</x:v>
      </x:c>
    </x:row>
    <x:row r="1711" hidden="1">
      <x:c r="A1711" s="312" t="n">
        <x:f>ROW()-ROW($A$2)+1</x:f>
        <x:v>1710</x:v>
      </x:c>
      <x:c r="B1711" s="312" t="s">
        <x:v>50</x:v>
      </x:c>
      <x:c r="C1711" s="312" t="s">
        <x:v>53</x:v>
      </x:c>
      <x:c r="D1711" s="317">
        <x:v>5</x:v>
      </x:c>
      <x:c r="E1711" s="321">
        <x:v>1200</x:v>
      </x:c>
      <x:c r="F1711" s="321">
        <x:v>6000</x:v>
      </x:c>
      <x:c r="G1711" s="321">
        <x:v>2000</x:v>
      </x:c>
      <x:c r="H1711" s="312" t="s">
        <x:v>61</x:v>
      </x:c>
      <x:c r="I1711" s="312" t="s">
        <x:v>18</x:v>
      </x:c>
      <x:c r="J1711" s="316" t="n">
        <x:f>IFERROR(G1711/F1711,0)</x:f>
        <x:v>0.3333333333333333</x:v>
      </x:c>
      <x:c r="K1711" s="312" t="str">
        <x:f>IF(B1711="Bilinmeyen Personel","Kontrol","OK")</x:f>
        <x:v>OK</x:v>
      </x:c>
    </x:row>
    <x:row r="1712" hidden="1">
      <x:c r="A1712" s="312" t="n">
        <x:f>ROW()-ROW($A$2)+1</x:f>
        <x:v>1711</x:v>
      </x:c>
      <x:c r="B1712" s="312" t="s">
        <x:v>9</x:v>
      </x:c>
      <x:c r="C1712" s="312" t="s">
        <x:v>45</x:v>
      </x:c>
      <x:c r="D1712" s="317">
        <x:v>3</x:v>
      </x:c>
      <x:c r="E1712" s="321">
        <x:v>4200</x:v>
      </x:c>
      <x:c r="F1712" s="321">
        <x:v>12600</x:v>
      </x:c>
      <x:c r="G1712" s="321">
        <x:v>3600</x:v>
      </x:c>
      <x:c r="H1712" s="312" t="s">
        <x:v>61</x:v>
      </x:c>
      <x:c r="I1712" s="312" t="s">
        <x:v>12</x:v>
      </x:c>
      <x:c r="J1712" s="316" t="n">
        <x:f>IFERROR(G1712/F1712,0)</x:f>
        <x:v>0.2857142857142857</x:v>
      </x:c>
      <x:c r="K1712" s="312" t="str">
        <x:f>IF(B1712="Bilinmeyen Personel","Kontrol","OK")</x:f>
        <x:v>OK</x:v>
      </x:c>
    </x:row>
    <x:row r="1713" hidden="1">
      <x:c r="A1713" s="312" t="n">
        <x:f>ROW()-ROW($A$2)+1</x:f>
        <x:v>1712</x:v>
      </x:c>
      <x:c r="B1713" s="312" t="s">
        <x:v>48</x:v>
      </x:c>
      <x:c r="C1713" s="312" t="s">
        <x:v>24</x:v>
      </x:c>
      <x:c r="D1713" s="317">
        <x:v>4</x:v>
      </x:c>
      <x:c r="E1713" s="321">
        <x:v>7600</x:v>
      </x:c>
      <x:c r="F1713" s="321">
        <x:v>30400</x:v>
      </x:c>
      <x:c r="G1713" s="321">
        <x:v>6400</x:v>
      </x:c>
      <x:c r="H1713" s="312" t="s">
        <x:v>61</x:v>
      </x:c>
      <x:c r="I1713" s="312" t="s">
        <x:v>28</x:v>
      </x:c>
      <x:c r="J1713" s="316" t="n">
        <x:f>IFERROR(G1713/F1713,0)</x:f>
        <x:v>0.21052631578947367</x:v>
      </x:c>
      <x:c r="K1713" s="312" t="str">
        <x:f>IF(B1713="Bilinmeyen Personel","Kontrol","OK")</x:f>
        <x:v>OK</x:v>
      </x:c>
    </x:row>
    <x:row r="1714" hidden="1">
      <x:c r="A1714" s="312" t="n">
        <x:f>ROW()-ROW($A$2)+1</x:f>
        <x:v>1713</x:v>
      </x:c>
      <x:c r="B1714" s="312" t="s">
        <x:v>29</x:v>
      </x:c>
      <x:c r="C1714" s="312" t="s">
        <x:v>26</x:v>
      </x:c>
      <x:c r="D1714" s="317">
        <x:v>5</x:v>
      </x:c>
      <x:c r="E1714" s="321">
        <x:v>7250</x:v>
      </x:c>
      <x:c r="F1714" s="321">
        <x:v>36250</x:v>
      </x:c>
      <x:c r="G1714" s="321">
        <x:v>11250</x:v>
      </x:c>
      <x:c r="H1714" s="312" t="s">
        <x:v>61</x:v>
      </x:c>
      <x:c r="I1714" s="312" t="s">
        <x:v>37</x:v>
      </x:c>
      <x:c r="J1714" s="316" t="n">
        <x:f>IFERROR(G1714/F1714,0)</x:f>
        <x:v>0.3103448275862069</x:v>
      </x:c>
      <x:c r="K1714" s="312" t="str">
        <x:f>IF(B1714="Bilinmeyen Personel","Kontrol","OK")</x:f>
        <x:v>OK</x:v>
      </x:c>
    </x:row>
    <x:row r="1715" hidden="1">
      <x:c r="A1715" s="312" t="n">
        <x:f>ROW()-ROW($A$2)+1</x:f>
        <x:v>1714</x:v>
      </x:c>
      <x:c r="B1715" s="312" t="s">
        <x:v>13</x:v>
      </x:c>
      <x:c r="C1715" s="312" t="s">
        <x:v>55</x:v>
      </x:c>
      <x:c r="D1715" s="317">
        <x:v>5</x:v>
      </x:c>
      <x:c r="E1715" s="321">
        <x:v>7530</x:v>
      </x:c>
      <x:c r="F1715" s="321">
        <x:v>37650</x:v>
      </x:c>
      <x:c r="G1715" s="321">
        <x:v>7650</x:v>
      </x:c>
      <x:c r="H1715" s="312" t="s">
        <x:v>61</x:v>
      </x:c>
      <x:c r="I1715" s="312" t="s">
        <x:v>31</x:v>
      </x:c>
      <x:c r="J1715" s="316" t="n">
        <x:f>IFERROR(G1715/F1715,0)</x:f>
        <x:v>0.20318725099601595</x:v>
      </x:c>
      <x:c r="K1715" s="312" t="str">
        <x:f>IF(B1715="Bilinmeyen Personel","Kontrol","OK")</x:f>
        <x:v>OK</x:v>
      </x:c>
    </x:row>
    <x:row r="1716" hidden="1">
      <x:c r="A1716" s="312" t="n">
        <x:f>ROW()-ROW($A$2)+1</x:f>
        <x:v>1715</x:v>
      </x:c>
      <x:c r="B1716" s="312" t="s">
        <x:v>16</x:v>
      </x:c>
      <x:c r="C1716" s="312" t="s">
        <x:v>26</x:v>
      </x:c>
      <x:c r="D1716" s="317">
        <x:v>3</x:v>
      </x:c>
      <x:c r="E1716" s="321">
        <x:v>7250</x:v>
      </x:c>
      <x:c r="F1716" s="321">
        <x:v>21750</x:v>
      </x:c>
      <x:c r="G1716" s="321">
        <x:v>6750</x:v>
      </x:c>
      <x:c r="H1716" s="312" t="s">
        <x:v>61</x:v>
      </x:c>
      <x:c r="I1716" s="312" t="s">
        <x:v>54</x:v>
      </x:c>
      <x:c r="J1716" s="316" t="n">
        <x:f>IFERROR(G1716/F1716,0)</x:f>
        <x:v>0.3103448275862069</x:v>
      </x:c>
      <x:c r="K1716" s="312" t="str">
        <x:f>IF(B1716="Bilinmeyen Personel","Kontrol","OK")</x:f>
        <x:v>OK</x:v>
      </x:c>
    </x:row>
    <x:row r="1717" hidden="1">
      <x:c r="A1717" s="312" t="n">
        <x:f>ROW()-ROW($A$2)+1</x:f>
        <x:v>1716</x:v>
      </x:c>
      <x:c r="B1717" s="312" t="s">
        <x:v>13</x:v>
      </x:c>
      <x:c r="C1717" s="312" t="s">
        <x:v>10</x:v>
      </x:c>
      <x:c r="D1717" s="317">
        <x:v>4</x:v>
      </x:c>
      <x:c r="E1717" s="321">
        <x:v>6000</x:v>
      </x:c>
      <x:c r="F1717" s="321">
        <x:v>24000</x:v>
      </x:c>
      <x:c r="G1717" s="321">
        <x:v>8000</x:v>
      </x:c>
      <x:c r="H1717" s="312" t="s">
        <x:v>61</x:v>
      </x:c>
      <x:c r="I1717" s="312" t="s">
        <x:v>28</x:v>
      </x:c>
      <x:c r="J1717" s="316" t="n">
        <x:f>IFERROR(G1717/F1717,0)</x:f>
        <x:v>0.3333333333333333</x:v>
      </x:c>
      <x:c r="K1717" s="312" t="str">
        <x:f>IF(B1717="Bilinmeyen Personel","Kontrol","OK")</x:f>
        <x:v>OK</x:v>
      </x:c>
    </x:row>
    <x:row r="1718" hidden="1">
      <x:c r="A1718" s="312" t="n">
        <x:f>ROW()-ROW($A$2)+1</x:f>
        <x:v>1717</x:v>
      </x:c>
      <x:c r="B1718" s="312" t="s">
        <x:v>29</x:v>
      </x:c>
      <x:c r="C1718" s="312" t="s">
        <x:v>53</x:v>
      </x:c>
      <x:c r="D1718" s="317">
        <x:v>3</x:v>
      </x:c>
      <x:c r="E1718" s="321">
        <x:v>1200</x:v>
      </x:c>
      <x:c r="F1718" s="321">
        <x:v>3600</x:v>
      </x:c>
      <x:c r="G1718" s="321">
        <x:v>1200</x:v>
      </x:c>
      <x:c r="H1718" s="312" t="s">
        <x:v>61</x:v>
      </x:c>
      <x:c r="I1718" s="312" t="s">
        <x:v>25</x:v>
      </x:c>
      <x:c r="J1718" s="316" t="n">
        <x:f>IFERROR(G1718/F1718,0)</x:f>
        <x:v>0.3333333333333333</x:v>
      </x:c>
      <x:c r="K1718" s="312" t="str">
        <x:f>IF(B1718="Bilinmeyen Personel","Kontrol","OK")</x:f>
        <x:v>OK</x:v>
      </x:c>
    </x:row>
    <x:row r="1719" hidden="1">
      <x:c r="A1719" s="312" t="n">
        <x:f>ROW()-ROW($A$2)+1</x:f>
        <x:v>1718</x:v>
      </x:c>
      <x:c r="B1719" s="312" t="s">
        <x:v>50</x:v>
      </x:c>
      <x:c r="C1719" s="312" t="s">
        <x:v>56</x:v>
      </x:c>
      <x:c r="D1719" s="317">
        <x:v>2</x:v>
      </x:c>
      <x:c r="E1719" s="321">
        <x:v>5300</x:v>
      </x:c>
      <x:c r="F1719" s="321">
        <x:v>10600</x:v>
      </x:c>
      <x:c r="G1719" s="321">
        <x:v>2600</x:v>
      </x:c>
      <x:c r="H1719" s="312" t="s">
        <x:v>61</x:v>
      </x:c>
      <x:c r="I1719" s="312" t="s">
        <x:v>25</x:v>
      </x:c>
      <x:c r="J1719" s="316" t="n">
        <x:f>IFERROR(G1719/F1719,0)</x:f>
        <x:v>0.24528301886792453</x:v>
      </x:c>
      <x:c r="K1719" s="312" t="str">
        <x:f>IF(B1719="Bilinmeyen Personel","Kontrol","OK")</x:f>
        <x:v>OK</x:v>
      </x:c>
    </x:row>
    <x:row r="1720" hidden="1">
      <x:c r="A1720" s="312" t="n">
        <x:f>ROW()-ROW($A$2)+1</x:f>
        <x:v>1719</x:v>
      </x:c>
      <x:c r="B1720" s="312" t="s">
        <x:v>38</x:v>
      </x:c>
      <x:c r="C1720" s="312" t="s">
        <x:v>17</x:v>
      </x:c>
      <x:c r="D1720" s="317">
        <x:v>5</x:v>
      </x:c>
      <x:c r="E1720" s="321">
        <x:v>8450</x:v>
      </x:c>
      <x:c r="F1720" s="321">
        <x:v>42250</x:v>
      </x:c>
      <x:c r="G1720" s="321">
        <x:v>12250</x:v>
      </x:c>
      <x:c r="H1720" s="312" t="s">
        <x:v>61</x:v>
      </x:c>
      <x:c r="I1720" s="312" t="s">
        <x:v>21</x:v>
      </x:c>
      <x:c r="J1720" s="316" t="n">
        <x:f>IFERROR(G1720/F1720,0)</x:f>
        <x:v>0.28994082840236685</x:v>
      </x:c>
      <x:c r="K1720" s="312" t="str">
        <x:f>IF(B1720="Bilinmeyen Personel","Kontrol","OK")</x:f>
        <x:v>OK</x:v>
      </x:c>
    </x:row>
    <x:row r="1721" hidden="1">
      <x:c r="A1721" s="312" t="n">
        <x:f>ROW()-ROW($A$2)+1</x:f>
        <x:v>1720</x:v>
      </x:c>
      <x:c r="B1721" s="312" t="s">
        <x:v>23</x:v>
      </x:c>
      <x:c r="C1721" s="312" t="s">
        <x:v>20</x:v>
      </x:c>
      <x:c r="D1721" s="317">
        <x:v>4</x:v>
      </x:c>
      <x:c r="E1721" s="321">
        <x:v>1350</x:v>
      </x:c>
      <x:c r="F1721" s="321">
        <x:v>5400</x:v>
      </x:c>
      <x:c r="G1721" s="321">
        <x:v>2200</x:v>
      </x:c>
      <x:c r="H1721" s="312" t="s">
        <x:v>61</x:v>
      </x:c>
      <x:c r="I1721" s="312" t="s">
        <x:v>44</x:v>
      </x:c>
      <x:c r="J1721" s="316" t="n">
        <x:f>IFERROR(G1721/F1721,0)</x:f>
        <x:v>0.4074074074074074</x:v>
      </x:c>
      <x:c r="K1721" s="312" t="str">
        <x:f>IF(B1721="Bilinmeyen Personel","Kontrol","OK")</x:f>
        <x:v>OK</x:v>
      </x:c>
    </x:row>
    <x:row r="1722" hidden="1">
      <x:c r="A1722" s="312" t="n">
        <x:f>ROW()-ROW($A$2)+1</x:f>
        <x:v>1721</x:v>
      </x:c>
      <x:c r="B1722" s="312" t="s">
        <x:v>32</x:v>
      </x:c>
      <x:c r="C1722" s="312" t="s">
        <x:v>34</x:v>
      </x:c>
      <x:c r="D1722" s="317">
        <x:v>2</x:v>
      </x:c>
      <x:c r="E1722" s="321">
        <x:v>1090</x:v>
      </x:c>
      <x:c r="F1722" s="321">
        <x:v>2180</x:v>
      </x:c>
      <x:c r="G1722" s="321">
        <x:v>580</x:v>
      </x:c>
      <x:c r="H1722" s="312" t="s">
        <x:v>61</x:v>
      </x:c>
      <x:c r="I1722" s="312" t="s">
        <x:v>37</x:v>
      </x:c>
      <x:c r="J1722" s="316" t="n">
        <x:f>IFERROR(G1722/F1722,0)</x:f>
        <x:v>0.26605504587155965</x:v>
      </x:c>
      <x:c r="K1722" s="312" t="str">
        <x:f>IF(B1722="Bilinmeyen Personel","Kontrol","OK")</x:f>
        <x:v>OK</x:v>
      </x:c>
    </x:row>
    <x:row r="1723" hidden="1">
      <x:c r="A1723" s="312" t="n">
        <x:f>ROW()-ROW($A$2)+1</x:f>
        <x:v>1722</x:v>
      </x:c>
      <x:c r="B1723" s="312" t="s">
        <x:v>23</x:v>
      </x:c>
      <x:c r="C1723" s="312" t="s">
        <x:v>22</x:v>
      </x:c>
      <x:c r="D1723" s="317">
        <x:v>4</x:v>
      </x:c>
      <x:c r="E1723" s="321">
        <x:v>2180</x:v>
      </x:c>
      <x:c r="F1723" s="321">
        <x:v>8720</x:v>
      </x:c>
      <x:c r="G1723" s="321">
        <x:v>2720</x:v>
      </x:c>
      <x:c r="H1723" s="312" t="s">
        <x:v>61</x:v>
      </x:c>
      <x:c r="I1723" s="312" t="s">
        <x:v>18</x:v>
      </x:c>
      <x:c r="J1723" s="316" t="n">
        <x:f>IFERROR(G1723/F1723,0)</x:f>
        <x:v>0.3119266055045872</x:v>
      </x:c>
      <x:c r="K1723" s="312" t="str">
        <x:f>IF(B1723="Bilinmeyen Personel","Kontrol","OK")</x:f>
        <x:v>OK</x:v>
      </x:c>
    </x:row>
    <x:row r="1724" hidden="1">
      <x:c r="A1724" s="312" t="n">
        <x:f>ROW()-ROW($A$2)+1</x:f>
        <x:v>1723</x:v>
      </x:c>
      <x:c r="B1724" s="312" t="s">
        <x:v>13</x:v>
      </x:c>
      <x:c r="C1724" s="312" t="s">
        <x:v>58</x:v>
      </x:c>
      <x:c r="D1724" s="317">
        <x:v>4</x:v>
      </x:c>
      <x:c r="E1724" s="321">
        <x:v>3700</x:v>
      </x:c>
      <x:c r="F1724" s="321">
        <x:v>14800</x:v>
      </x:c>
      <x:c r="G1724" s="321">
        <x:v>2800</x:v>
      </x:c>
      <x:c r="H1724" s="312" t="s">
        <x:v>61</x:v>
      </x:c>
      <x:c r="I1724" s="312" t="s">
        <x:v>15</x:v>
      </x:c>
      <x:c r="J1724" s="316" t="n">
        <x:f>IFERROR(G1724/F1724,0)</x:f>
        <x:v>0.1891891891891892</x:v>
      </x:c>
      <x:c r="K1724" s="312" t="str">
        <x:f>IF(B1724="Bilinmeyen Personel","Kontrol","OK")</x:f>
        <x:v>OK</x:v>
      </x:c>
    </x:row>
    <x:row r="1725" hidden="1">
      <x:c r="A1725" s="312" t="n">
        <x:f>ROW()-ROW($A$2)+1</x:f>
        <x:v>1724</x:v>
      </x:c>
      <x:c r="B1725" s="312" t="s">
        <x:v>32</x:v>
      </x:c>
      <x:c r="C1725" s="312" t="s">
        <x:v>27</x:v>
      </x:c>
      <x:c r="D1725" s="317">
        <x:v>5</x:v>
      </x:c>
      <x:c r="E1725" s="321">
        <x:v>1100</x:v>
      </x:c>
      <x:c r="F1725" s="321">
        <x:v>5500</x:v>
      </x:c>
      <x:c r="G1725" s="321">
        <x:v>1500</x:v>
      </x:c>
      <x:c r="H1725" s="312" t="s">
        <x:v>61</x:v>
      </x:c>
      <x:c r="I1725" s="312" t="s">
        <x:v>44</x:v>
      </x:c>
      <x:c r="J1725" s="316" t="n">
        <x:f>IFERROR(G1725/F1725,0)</x:f>
        <x:v>0.2727272727272727</x:v>
      </x:c>
      <x:c r="K1725" s="312" t="str">
        <x:f>IF(B1725="Bilinmeyen Personel","Kontrol","OK")</x:f>
        <x:v>OK</x:v>
      </x:c>
    </x:row>
    <x:row r="1726" hidden="1">
      <x:c r="A1726" s="312" t="n">
        <x:f>ROW()-ROW($A$2)+1</x:f>
        <x:v>1725</x:v>
      </x:c>
      <x:c r="B1726" s="312" t="s">
        <x:v>29</x:v>
      </x:c>
      <x:c r="C1726" s="312" t="s">
        <x:v>58</x:v>
      </x:c>
      <x:c r="D1726" s="317">
        <x:v>5</x:v>
      </x:c>
      <x:c r="E1726" s="321">
        <x:v>3700</x:v>
      </x:c>
      <x:c r="F1726" s="321">
        <x:v>18500</x:v>
      </x:c>
      <x:c r="G1726" s="321">
        <x:v>3500</x:v>
      </x:c>
      <x:c r="H1726" s="312" t="s">
        <x:v>61</x:v>
      </x:c>
      <x:c r="I1726" s="312" t="s">
        <x:v>25</x:v>
      </x:c>
      <x:c r="J1726" s="316" t="n">
        <x:f>IFERROR(G1726/F1726,0)</x:f>
        <x:v>0.1891891891891892</x:v>
      </x:c>
      <x:c r="K1726" s="312" t="str">
        <x:f>IF(B1726="Bilinmeyen Personel","Kontrol","OK")</x:f>
        <x:v>OK</x:v>
      </x:c>
    </x:row>
    <x:row r="1727" hidden="1">
      <x:c r="A1727" s="312" t="n">
        <x:f>ROW()-ROW($A$2)+1</x:f>
        <x:v>1726</x:v>
      </x:c>
      <x:c r="B1727" s="312" t="s">
        <x:v>48</x:v>
      </x:c>
      <x:c r="C1727" s="312" t="s">
        <x:v>43</x:v>
      </x:c>
      <x:c r="D1727" s="317">
        <x:v>3</x:v>
      </x:c>
      <x:c r="E1727" s="321">
        <x:v>1490</x:v>
      </x:c>
      <x:c r="F1727" s="321">
        <x:v>4470</x:v>
      </x:c>
      <x:c r="G1727" s="321">
        <x:v>2070</x:v>
      </x:c>
      <x:c r="H1727" s="312" t="s">
        <x:v>61</x:v>
      </x:c>
      <x:c r="I1727" s="312" t="s">
        <x:v>41</x:v>
      </x:c>
      <x:c r="J1727" s="316" t="n">
        <x:f>IFERROR(G1727/F1727,0)</x:f>
        <x:v>0.46308724832214765</x:v>
      </x:c>
      <x:c r="K1727" s="312" t="str">
        <x:f>IF(B1727="Bilinmeyen Personel","Kontrol","OK")</x:f>
        <x:v>OK</x:v>
      </x:c>
    </x:row>
    <x:row r="1728" hidden="1">
      <x:c r="A1728" s="312" t="n">
        <x:f>ROW()-ROW($A$2)+1</x:f>
        <x:v>1727</x:v>
      </x:c>
      <x:c r="B1728" s="312" t="s">
        <x:v>40</x:v>
      </x:c>
      <x:c r="C1728" s="312" t="s">
        <x:v>57</x:v>
      </x:c>
      <x:c r="D1728" s="317">
        <x:v>5</x:v>
      </x:c>
      <x:c r="E1728" s="321">
        <x:v>1500</x:v>
      </x:c>
      <x:c r="F1728" s="321">
        <x:v>7500</x:v>
      </x:c>
      <x:c r="G1728" s="321">
        <x:v>3500</x:v>
      </x:c>
      <x:c r="H1728" s="312" t="s">
        <x:v>61</x:v>
      </x:c>
      <x:c r="I1728" s="312" t="s">
        <x:v>25</x:v>
      </x:c>
      <x:c r="J1728" s="316" t="n">
        <x:f>IFERROR(G1728/F1728,0)</x:f>
        <x:v>0.4666666666666667</x:v>
      </x:c>
      <x:c r="K1728" s="312" t="str">
        <x:f>IF(B1728="Bilinmeyen Personel","Kontrol","OK")</x:f>
        <x:v>OK</x:v>
      </x:c>
    </x:row>
    <x:row r="1729" hidden="1">
      <x:c r="A1729" s="312" t="n">
        <x:f>ROW()-ROW($A$2)+1</x:f>
        <x:v>1728</x:v>
      </x:c>
      <x:c r="B1729" s="312" t="s">
        <x:v>38</x:v>
      </x:c>
      <x:c r="C1729" s="312" t="s">
        <x:v>34</x:v>
      </x:c>
      <x:c r="D1729" s="317">
        <x:v>5</x:v>
      </x:c>
      <x:c r="E1729" s="321">
        <x:v>1090</x:v>
      </x:c>
      <x:c r="F1729" s="321">
        <x:v>5450</x:v>
      </x:c>
      <x:c r="G1729" s="321">
        <x:v>1450</x:v>
      </x:c>
      <x:c r="H1729" s="312" t="s">
        <x:v>61</x:v>
      </x:c>
      <x:c r="I1729" s="312" t="s">
        <x:v>54</x:v>
      </x:c>
      <x:c r="J1729" s="316" t="n">
        <x:f>IFERROR(G1729/F1729,0)</x:f>
        <x:v>0.26605504587155965</x:v>
      </x:c>
      <x:c r="K1729" s="312" t="str">
        <x:f>IF(B1729="Bilinmeyen Personel","Kontrol","OK")</x:f>
        <x:v>OK</x:v>
      </x:c>
    </x:row>
    <x:row r="1730" hidden="1">
      <x:c r="A1730" s="312" t="n">
        <x:f>ROW()-ROW($A$2)+1</x:f>
        <x:v>1729</x:v>
      </x:c>
      <x:c r="B1730" s="312" t="s">
        <x:v>48</x:v>
      </x:c>
      <x:c r="C1730" s="312" t="s">
        <x:v>33</x:v>
      </x:c>
      <x:c r="D1730" s="317">
        <x:v>2</x:v>
      </x:c>
      <x:c r="E1730" s="321">
        <x:v>1800</x:v>
      </x:c>
      <x:c r="F1730" s="321">
        <x:v>3600</x:v>
      </x:c>
      <x:c r="G1730" s="321">
        <x:v>2000</x:v>
      </x:c>
      <x:c r="H1730" s="312" t="s">
        <x:v>61</x:v>
      </x:c>
      <x:c r="I1730" s="312" t="s">
        <x:v>25</x:v>
      </x:c>
      <x:c r="J1730" s="316" t="n">
        <x:f>IFERROR(G1730/F1730,0)</x:f>
        <x:v>0.5555555555555556</x:v>
      </x:c>
      <x:c r="K1730" s="312" t="str">
        <x:f>IF(B1730="Bilinmeyen Personel","Kontrol","OK")</x:f>
        <x:v>OK</x:v>
      </x:c>
    </x:row>
    <x:row r="1731" hidden="1">
      <x:c r="A1731" s="312" t="n">
        <x:f>ROW()-ROW($A$2)+1</x:f>
        <x:v>1730</x:v>
      </x:c>
      <x:c r="B1731" s="312" t="s">
        <x:v>35</x:v>
      </x:c>
      <x:c r="C1731" s="312" t="s">
        <x:v>55</x:v>
      </x:c>
      <x:c r="D1731" s="317">
        <x:v>5</x:v>
      </x:c>
      <x:c r="E1731" s="321">
        <x:v>7530</x:v>
      </x:c>
      <x:c r="F1731" s="321">
        <x:v>37650</x:v>
      </x:c>
      <x:c r="G1731" s="321">
        <x:v>7650</x:v>
      </x:c>
      <x:c r="H1731" s="312" t="s">
        <x:v>61</x:v>
      </x:c>
      <x:c r="I1731" s="312" t="s">
        <x:v>44</x:v>
      </x:c>
      <x:c r="J1731" s="316" t="n">
        <x:f>IFERROR(G1731/F1731,0)</x:f>
        <x:v>0.20318725099601595</x:v>
      </x:c>
      <x:c r="K1731" s="312" t="str">
        <x:f>IF(B1731="Bilinmeyen Personel","Kontrol","OK")</x:f>
        <x:v>OK</x:v>
      </x:c>
    </x:row>
    <x:row r="1732" hidden="1">
      <x:c r="A1732" s="312" t="n">
        <x:f>ROW()-ROW($A$2)+1</x:f>
        <x:v>1731</x:v>
      </x:c>
      <x:c r="B1732" s="312" t="s">
        <x:v>32</x:v>
      </x:c>
      <x:c r="C1732" s="312" t="s">
        <x:v>27</x:v>
      </x:c>
      <x:c r="D1732" s="317">
        <x:v>4</x:v>
      </x:c>
      <x:c r="E1732" s="321">
        <x:v>1100</x:v>
      </x:c>
      <x:c r="F1732" s="321">
        <x:v>4400</x:v>
      </x:c>
      <x:c r="G1732" s="321">
        <x:v>1200</x:v>
      </x:c>
      <x:c r="H1732" s="312" t="s">
        <x:v>61</x:v>
      </x:c>
      <x:c r="I1732" s="312" t="s">
        <x:v>18</x:v>
      </x:c>
      <x:c r="J1732" s="316" t="n">
        <x:f>IFERROR(G1732/F1732,0)</x:f>
        <x:v>0.2727272727272727</x:v>
      </x:c>
      <x:c r="K1732" s="312" t="str">
        <x:f>IF(B1732="Bilinmeyen Personel","Kontrol","OK")</x:f>
        <x:v>OK</x:v>
      </x:c>
    </x:row>
    <x:row r="1733" hidden="1">
      <x:c r="A1733" s="312" t="n">
        <x:f>ROW()-ROW($A$2)+1</x:f>
        <x:v>1732</x:v>
      </x:c>
      <x:c r="B1733" s="312" t="s">
        <x:v>40</x:v>
      </x:c>
      <x:c r="C1733" s="312" t="s">
        <x:v>20</x:v>
      </x:c>
      <x:c r="D1733" s="317">
        <x:v>5</x:v>
      </x:c>
      <x:c r="E1733" s="321">
        <x:v>1350</x:v>
      </x:c>
      <x:c r="F1733" s="321">
        <x:v>6750</x:v>
      </x:c>
      <x:c r="G1733" s="321">
        <x:v>2750</x:v>
      </x:c>
      <x:c r="H1733" s="312" t="s">
        <x:v>61</x:v>
      </x:c>
      <x:c r="I1733" s="312" t="s">
        <x:v>44</x:v>
      </x:c>
      <x:c r="J1733" s="316" t="n">
        <x:f>IFERROR(G1733/F1733,0)</x:f>
        <x:v>0.4074074074074074</x:v>
      </x:c>
      <x:c r="K1733" s="312" t="str">
        <x:f>IF(B1733="Bilinmeyen Personel","Kontrol","OK")</x:f>
        <x:v>OK</x:v>
      </x:c>
    </x:row>
    <x:row r="1734" hidden="1">
      <x:c r="A1734" s="312" t="n">
        <x:f>ROW()-ROW($A$2)+1</x:f>
        <x:v>1733</x:v>
      </x:c>
      <x:c r="B1734" s="312" t="s">
        <x:v>38</x:v>
      </x:c>
      <x:c r="C1734" s="312" t="s">
        <x:v>20</x:v>
      </x:c>
      <x:c r="D1734" s="317">
        <x:v>4</x:v>
      </x:c>
      <x:c r="E1734" s="321">
        <x:v>1350</x:v>
      </x:c>
      <x:c r="F1734" s="321">
        <x:v>5400</x:v>
      </x:c>
      <x:c r="G1734" s="321">
        <x:v>2200</x:v>
      </x:c>
      <x:c r="H1734" s="312" t="s">
        <x:v>61</x:v>
      </x:c>
      <x:c r="I1734" s="312" t="s">
        <x:v>37</x:v>
      </x:c>
      <x:c r="J1734" s="316" t="n">
        <x:f>IFERROR(G1734/F1734,0)</x:f>
        <x:v>0.4074074074074074</x:v>
      </x:c>
      <x:c r="K1734" s="312" t="str">
        <x:f>IF(B1734="Bilinmeyen Personel","Kontrol","OK")</x:f>
        <x:v>OK</x:v>
      </x:c>
    </x:row>
    <x:row r="1735" hidden="1">
      <x:c r="A1735" s="312" t="n">
        <x:f>ROW()-ROW($A$2)+1</x:f>
        <x:v>1734</x:v>
      </x:c>
      <x:c r="B1735" s="312" t="s">
        <x:v>35</x:v>
      </x:c>
      <x:c r="C1735" s="312" t="s">
        <x:v>34</x:v>
      </x:c>
      <x:c r="D1735" s="317">
        <x:v>5</x:v>
      </x:c>
      <x:c r="E1735" s="321">
        <x:v>1090</x:v>
      </x:c>
      <x:c r="F1735" s="321">
        <x:v>5450</x:v>
      </x:c>
      <x:c r="G1735" s="321">
        <x:v>1450</x:v>
      </x:c>
      <x:c r="H1735" s="312" t="s">
        <x:v>61</x:v>
      </x:c>
      <x:c r="I1735" s="312" t="s">
        <x:v>28</x:v>
      </x:c>
      <x:c r="J1735" s="316" t="n">
        <x:f>IFERROR(G1735/F1735,0)</x:f>
        <x:v>0.26605504587155965</x:v>
      </x:c>
      <x:c r="K1735" s="312" t="str">
        <x:f>IF(B1735="Bilinmeyen Personel","Kontrol","OK")</x:f>
        <x:v>OK</x:v>
      </x:c>
    </x:row>
    <x:row r="1736" hidden="1">
      <x:c r="A1736" s="312" t="n">
        <x:f>ROW()-ROW($A$2)+1</x:f>
        <x:v>1735</x:v>
      </x:c>
      <x:c r="B1736" s="312" t="s">
        <x:v>35</x:v>
      </x:c>
      <x:c r="C1736" s="312" t="s">
        <x:v>45</x:v>
      </x:c>
      <x:c r="D1736" s="317">
        <x:v>5</x:v>
      </x:c>
      <x:c r="E1736" s="321">
        <x:v>4200</x:v>
      </x:c>
      <x:c r="F1736" s="321">
        <x:v>21000</x:v>
      </x:c>
      <x:c r="G1736" s="321">
        <x:v>6000</x:v>
      </x:c>
      <x:c r="H1736" s="312" t="s">
        <x:v>61</x:v>
      </x:c>
      <x:c r="I1736" s="312" t="s">
        <x:v>25</x:v>
      </x:c>
      <x:c r="J1736" s="316" t="n">
        <x:f>IFERROR(G1736/F1736,0)</x:f>
        <x:v>0.2857142857142857</x:v>
      </x:c>
      <x:c r="K1736" s="312" t="str">
        <x:f>IF(B1736="Bilinmeyen Personel","Kontrol","OK")</x:f>
        <x:v>OK</x:v>
      </x:c>
    </x:row>
    <x:row r="1737" hidden="1">
      <x:c r="A1737" s="312" t="n">
        <x:f>ROW()-ROW($A$2)+1</x:f>
        <x:v>1736</x:v>
      </x:c>
      <x:c r="B1737" s="312" t="s">
        <x:v>40</x:v>
      </x:c>
      <x:c r="C1737" s="312" t="s">
        <x:v>33</x:v>
      </x:c>
      <x:c r="D1737" s="317">
        <x:v>5</x:v>
      </x:c>
      <x:c r="E1737" s="321">
        <x:v>1800</x:v>
      </x:c>
      <x:c r="F1737" s="321">
        <x:v>9000</x:v>
      </x:c>
      <x:c r="G1737" s="321">
        <x:v>5000</x:v>
      </x:c>
      <x:c r="H1737" s="312" t="s">
        <x:v>61</x:v>
      </x:c>
      <x:c r="I1737" s="312" t="s">
        <x:v>25</x:v>
      </x:c>
      <x:c r="J1737" s="316" t="n">
        <x:f>IFERROR(G1737/F1737,0)</x:f>
        <x:v>0.5555555555555556</x:v>
      </x:c>
      <x:c r="K1737" s="312" t="str">
        <x:f>IF(B1737="Bilinmeyen Personel","Kontrol","OK")</x:f>
        <x:v>OK</x:v>
      </x:c>
    </x:row>
    <x:row r="1738" hidden="1">
      <x:c r="A1738" s="312" t="n">
        <x:f>ROW()-ROW($A$2)+1</x:f>
        <x:v>1737</x:v>
      </x:c>
      <x:c r="B1738" s="312" t="s">
        <x:v>50</x:v>
      </x:c>
      <x:c r="C1738" s="312" t="s">
        <x:v>34</x:v>
      </x:c>
      <x:c r="D1738" s="317">
        <x:v>2</x:v>
      </x:c>
      <x:c r="E1738" s="321">
        <x:v>1090</x:v>
      </x:c>
      <x:c r="F1738" s="321">
        <x:v>2180</x:v>
      </x:c>
      <x:c r="G1738" s="321">
        <x:v>580</x:v>
      </x:c>
      <x:c r="H1738" s="312" t="s">
        <x:v>61</x:v>
      </x:c>
      <x:c r="I1738" s="312" t="s">
        <x:v>21</x:v>
      </x:c>
      <x:c r="J1738" s="316" t="n">
        <x:f>IFERROR(G1738/F1738,0)</x:f>
        <x:v>0.26605504587155965</x:v>
      </x:c>
      <x:c r="K1738" s="312" t="str">
        <x:f>IF(B1738="Bilinmeyen Personel","Kontrol","OK")</x:f>
        <x:v>OK</x:v>
      </x:c>
    </x:row>
    <x:row r="1739" hidden="1">
      <x:c r="A1739" s="312" t="n">
        <x:f>ROW()-ROW($A$2)+1</x:f>
        <x:v>1738</x:v>
      </x:c>
      <x:c r="B1739" s="312" t="s">
        <x:v>9</x:v>
      </x:c>
      <x:c r="C1739" s="312" t="s">
        <x:v>24</x:v>
      </x:c>
      <x:c r="D1739" s="317">
        <x:v>5</x:v>
      </x:c>
      <x:c r="E1739" s="321">
        <x:v>7600</x:v>
      </x:c>
      <x:c r="F1739" s="321">
        <x:v>38000</x:v>
      </x:c>
      <x:c r="G1739" s="321">
        <x:v>8000</x:v>
      </x:c>
      <x:c r="H1739" s="312" t="s">
        <x:v>61</x:v>
      </x:c>
      <x:c r="I1739" s="312" t="s">
        <x:v>41</x:v>
      </x:c>
      <x:c r="J1739" s="316" t="n">
        <x:f>IFERROR(G1739/F1739,0)</x:f>
        <x:v>0.21052631578947367</x:v>
      </x:c>
      <x:c r="K1739" s="312" t="str">
        <x:f>IF(B1739="Bilinmeyen Personel","Kontrol","OK")</x:f>
        <x:v>OK</x:v>
      </x:c>
    </x:row>
    <x:row r="1740" hidden="1">
      <x:c r="A1740" s="312" t="n">
        <x:f>ROW()-ROW($A$2)+1</x:f>
        <x:v>1739</x:v>
      </x:c>
      <x:c r="B1740" s="312" t="s">
        <x:v>38</x:v>
      </x:c>
      <x:c r="C1740" s="312" t="s">
        <x:v>24</x:v>
      </x:c>
      <x:c r="D1740" s="317">
        <x:v>2</x:v>
      </x:c>
      <x:c r="E1740" s="321">
        <x:v>7600</x:v>
      </x:c>
      <x:c r="F1740" s="321">
        <x:v>15200</x:v>
      </x:c>
      <x:c r="G1740" s="321">
        <x:v>3200</x:v>
      </x:c>
      <x:c r="H1740" s="312" t="s">
        <x:v>61</x:v>
      </x:c>
      <x:c r="I1740" s="312" t="s">
        <x:v>42</x:v>
      </x:c>
      <x:c r="J1740" s="316" t="n">
        <x:f>IFERROR(G1740/F1740,0)</x:f>
        <x:v>0.21052631578947367</x:v>
      </x:c>
      <x:c r="K1740" s="312" t="str">
        <x:f>IF(B1740="Bilinmeyen Personel","Kontrol","OK")</x:f>
        <x:v>OK</x:v>
      </x:c>
    </x:row>
    <x:row r="1741" hidden="1">
      <x:c r="A1741" s="312" t="n">
        <x:f>ROW()-ROW($A$2)+1</x:f>
        <x:v>1740</x:v>
      </x:c>
      <x:c r="B1741" s="312" t="s">
        <x:v>16</x:v>
      </x:c>
      <x:c r="C1741" s="312" t="s">
        <x:v>58</x:v>
      </x:c>
      <x:c r="D1741" s="317">
        <x:v>5</x:v>
      </x:c>
      <x:c r="E1741" s="321">
        <x:v>3700</x:v>
      </x:c>
      <x:c r="F1741" s="321">
        <x:v>18500</x:v>
      </x:c>
      <x:c r="G1741" s="321">
        <x:v>3500</x:v>
      </x:c>
      <x:c r="H1741" s="312" t="s">
        <x:v>61</x:v>
      </x:c>
      <x:c r="I1741" s="312" t="s">
        <x:v>46</x:v>
      </x:c>
      <x:c r="J1741" s="316" t="n">
        <x:f>IFERROR(G1741/F1741,0)</x:f>
        <x:v>0.1891891891891892</x:v>
      </x:c>
      <x:c r="K1741" s="312" t="str">
        <x:f>IF(B1741="Bilinmeyen Personel","Kontrol","OK")</x:f>
        <x:v>OK</x:v>
      </x:c>
    </x:row>
    <x:row r="1742" hidden="1">
      <x:c r="A1742" s="312" t="n">
        <x:f>ROW()-ROW($A$2)+1</x:f>
        <x:v>1741</x:v>
      </x:c>
      <x:c r="B1742" s="312" t="s">
        <x:v>23</x:v>
      </x:c>
      <x:c r="C1742" s="312" t="s">
        <x:v>26</x:v>
      </x:c>
      <x:c r="D1742" s="317">
        <x:v>2</x:v>
      </x:c>
      <x:c r="E1742" s="321">
        <x:v>7250</x:v>
      </x:c>
      <x:c r="F1742" s="321">
        <x:v>14500</x:v>
      </x:c>
      <x:c r="G1742" s="321">
        <x:v>4500</x:v>
      </x:c>
      <x:c r="H1742" s="312" t="s">
        <x:v>61</x:v>
      </x:c>
      <x:c r="I1742" s="312" t="s">
        <x:v>46</x:v>
      </x:c>
      <x:c r="J1742" s="316" t="n">
        <x:f>IFERROR(G1742/F1742,0)</x:f>
        <x:v>0.3103448275862069</x:v>
      </x:c>
      <x:c r="K1742" s="312" t="str">
        <x:f>IF(B1742="Bilinmeyen Personel","Kontrol","OK")</x:f>
        <x:v>OK</x:v>
      </x:c>
    </x:row>
    <x:row r="1743" hidden="1">
      <x:c r="A1743" s="312" t="n">
        <x:f>ROW()-ROW($A$2)+1</x:f>
        <x:v>1742</x:v>
      </x:c>
      <x:c r="B1743" s="312" t="s">
        <x:v>13</x:v>
      </x:c>
      <x:c r="C1743" s="312" t="s">
        <x:v>24</x:v>
      </x:c>
      <x:c r="D1743" s="317">
        <x:v>4</x:v>
      </x:c>
      <x:c r="E1743" s="321">
        <x:v>7600</x:v>
      </x:c>
      <x:c r="F1743" s="321">
        <x:v>30400</x:v>
      </x:c>
      <x:c r="G1743" s="321">
        <x:v>6400</x:v>
      </x:c>
      <x:c r="H1743" s="312" t="s">
        <x:v>61</x:v>
      </x:c>
      <x:c r="I1743" s="312" t="s">
        <x:v>41</x:v>
      </x:c>
      <x:c r="J1743" s="316" t="n">
        <x:f>IFERROR(G1743/F1743,0)</x:f>
        <x:v>0.21052631578947367</x:v>
      </x:c>
      <x:c r="K1743" s="312" t="str">
        <x:f>IF(B1743="Bilinmeyen Personel","Kontrol","OK")</x:f>
        <x:v>OK</x:v>
      </x:c>
    </x:row>
    <x:row r="1744" hidden="1">
      <x:c r="A1744" s="312" t="n">
        <x:f>ROW()-ROW($A$2)+1</x:f>
        <x:v>1743</x:v>
      </x:c>
      <x:c r="B1744" s="312" t="s">
        <x:v>48</x:v>
      </x:c>
      <x:c r="C1744" s="312" t="s">
        <x:v>45</x:v>
      </x:c>
      <x:c r="D1744" s="317">
        <x:v>3</x:v>
      </x:c>
      <x:c r="E1744" s="321">
        <x:v>4200</x:v>
      </x:c>
      <x:c r="F1744" s="321">
        <x:v>12600</x:v>
      </x:c>
      <x:c r="G1744" s="321">
        <x:v>3600</x:v>
      </x:c>
      <x:c r="H1744" s="312" t="s">
        <x:v>61</x:v>
      </x:c>
      <x:c r="I1744" s="312" t="s">
        <x:v>28</x:v>
      </x:c>
      <x:c r="J1744" s="316" t="n">
        <x:f>IFERROR(G1744/F1744,0)</x:f>
        <x:v>0.2857142857142857</x:v>
      </x:c>
      <x:c r="K1744" s="312" t="str">
        <x:f>IF(B1744="Bilinmeyen Personel","Kontrol","OK")</x:f>
        <x:v>OK</x:v>
      </x:c>
    </x:row>
    <x:row r="1745" hidden="1">
      <x:c r="A1745" s="312" t="n">
        <x:f>ROW()-ROW($A$2)+1</x:f>
        <x:v>1744</x:v>
      </x:c>
      <x:c r="B1745" s="312" t="s">
        <x:v>32</x:v>
      </x:c>
      <x:c r="C1745" s="312" t="s">
        <x:v>52</x:v>
      </x:c>
      <x:c r="D1745" s="317">
        <x:v>5</x:v>
      </x:c>
      <x:c r="E1745" s="321">
        <x:v>1250</x:v>
      </x:c>
      <x:c r="F1745" s="321">
        <x:v>6250</x:v>
      </x:c>
      <x:c r="G1745" s="321">
        <x:v>2250</x:v>
      </x:c>
      <x:c r="H1745" s="312" t="s">
        <x:v>61</x:v>
      </x:c>
      <x:c r="I1745" s="312" t="s">
        <x:v>46</x:v>
      </x:c>
      <x:c r="J1745" s="316" t="n">
        <x:f>IFERROR(G1745/F1745,0)</x:f>
        <x:v>0.36</x:v>
      </x:c>
      <x:c r="K1745" s="312" t="str">
        <x:f>IF(B1745="Bilinmeyen Personel","Kontrol","OK")</x:f>
        <x:v>OK</x:v>
      </x:c>
    </x:row>
    <x:row r="1746" hidden="1">
      <x:c r="A1746" s="312" t="n">
        <x:f>ROW()-ROW($A$2)+1</x:f>
        <x:v>1745</x:v>
      </x:c>
      <x:c r="B1746" s="312" t="s">
        <x:v>38</x:v>
      </x:c>
      <x:c r="C1746" s="312" t="s">
        <x:v>34</x:v>
      </x:c>
      <x:c r="D1746" s="317">
        <x:v>2</x:v>
      </x:c>
      <x:c r="E1746" s="321">
        <x:v>1090</x:v>
      </x:c>
      <x:c r="F1746" s="321">
        <x:v>2180</x:v>
      </x:c>
      <x:c r="G1746" s="321">
        <x:v>580</x:v>
      </x:c>
      <x:c r="H1746" s="312" t="s">
        <x:v>61</x:v>
      </x:c>
      <x:c r="I1746" s="312" t="s">
        <x:v>15</x:v>
      </x:c>
      <x:c r="J1746" s="316" t="n">
        <x:f>IFERROR(G1746/F1746,0)</x:f>
        <x:v>0.26605504587155965</x:v>
      </x:c>
      <x:c r="K1746" s="312" t="str">
        <x:f>IF(B1746="Bilinmeyen Personel","Kontrol","OK")</x:f>
        <x:v>OK</x:v>
      </x:c>
    </x:row>
    <x:row r="1747" hidden="1">
      <x:c r="A1747" s="312" t="n">
        <x:f>ROW()-ROW($A$2)+1</x:f>
        <x:v>1746</x:v>
      </x:c>
      <x:c r="B1747" s="312" t="s">
        <x:v>19</x:v>
      </x:c>
      <x:c r="C1747" s="312" t="s">
        <x:v>22</x:v>
      </x:c>
      <x:c r="D1747" s="317">
        <x:v>3</x:v>
      </x:c>
      <x:c r="E1747" s="321">
        <x:v>2180</x:v>
      </x:c>
      <x:c r="F1747" s="321">
        <x:v>6540</x:v>
      </x:c>
      <x:c r="G1747" s="321">
        <x:v>2040</x:v>
      </x:c>
      <x:c r="H1747" s="312" t="s">
        <x:v>61</x:v>
      </x:c>
      <x:c r="I1747" s="312" t="s">
        <x:v>46</x:v>
      </x:c>
      <x:c r="J1747" s="316" t="n">
        <x:f>IFERROR(G1747/F1747,0)</x:f>
        <x:v>0.3119266055045872</x:v>
      </x:c>
      <x:c r="K1747" s="312" t="str">
        <x:f>IF(B1747="Bilinmeyen Personel","Kontrol","OK")</x:f>
        <x:v>OK</x:v>
      </x:c>
    </x:row>
    <x:row r="1748" hidden="1">
      <x:c r="A1748" s="312" t="n">
        <x:f>ROW()-ROW($A$2)+1</x:f>
        <x:v>1747</x:v>
      </x:c>
      <x:c r="B1748" s="312" t="s">
        <x:v>50</x:v>
      </x:c>
      <x:c r="C1748" s="312" t="s">
        <x:v>58</x:v>
      </x:c>
      <x:c r="D1748" s="317">
        <x:v>2</x:v>
      </x:c>
      <x:c r="E1748" s="321">
        <x:v>3700</x:v>
      </x:c>
      <x:c r="F1748" s="321">
        <x:v>7400</x:v>
      </x:c>
      <x:c r="G1748" s="321">
        <x:v>1400</x:v>
      </x:c>
      <x:c r="H1748" s="312" t="s">
        <x:v>61</x:v>
      </x:c>
      <x:c r="I1748" s="312" t="s">
        <x:v>15</x:v>
      </x:c>
      <x:c r="J1748" s="316" t="n">
        <x:f>IFERROR(G1748/F1748,0)</x:f>
        <x:v>0.1891891891891892</x:v>
      </x:c>
      <x:c r="K1748" s="312" t="str">
        <x:f>IF(B1748="Bilinmeyen Personel","Kontrol","OK")</x:f>
        <x:v>OK</x:v>
      </x:c>
    </x:row>
    <x:row r="1749" hidden="1">
      <x:c r="A1749" s="312" t="n">
        <x:f>ROW()-ROW($A$2)+1</x:f>
        <x:v>1748</x:v>
      </x:c>
      <x:c r="B1749" s="312" t="s">
        <x:v>40</x:v>
      </x:c>
      <x:c r="C1749" s="312" t="s">
        <x:v>10</x:v>
      </x:c>
      <x:c r="D1749" s="317">
        <x:v>2</x:v>
      </x:c>
      <x:c r="E1749" s="321">
        <x:v>6000</x:v>
      </x:c>
      <x:c r="F1749" s="321">
        <x:v>12000</x:v>
      </x:c>
      <x:c r="G1749" s="321">
        <x:v>4000</x:v>
      </x:c>
      <x:c r="H1749" s="312" t="s">
        <x:v>61</x:v>
      </x:c>
      <x:c r="I1749" s="312" t="s">
        <x:v>18</x:v>
      </x:c>
      <x:c r="J1749" s="316" t="n">
        <x:f>IFERROR(G1749/F1749,0)</x:f>
        <x:v>0.3333333333333333</x:v>
      </x:c>
      <x:c r="K1749" s="312" t="str">
        <x:f>IF(B1749="Bilinmeyen Personel","Kontrol","OK")</x:f>
        <x:v>OK</x:v>
      </x:c>
    </x:row>
    <x:row r="1750" hidden="1">
      <x:c r="A1750" s="312" t="n">
        <x:f>ROW()-ROW($A$2)+1</x:f>
        <x:v>1749</x:v>
      </x:c>
      <x:c r="B1750" s="312" t="s">
        <x:v>48</x:v>
      </x:c>
      <x:c r="C1750" s="312" t="s">
        <x:v>52</x:v>
      </x:c>
      <x:c r="D1750" s="317">
        <x:v>3</x:v>
      </x:c>
      <x:c r="E1750" s="321">
        <x:v>1250</x:v>
      </x:c>
      <x:c r="F1750" s="321">
        <x:v>3750</x:v>
      </x:c>
      <x:c r="G1750" s="321">
        <x:v>1350</x:v>
      </x:c>
      <x:c r="H1750" s="312" t="s">
        <x:v>61</x:v>
      </x:c>
      <x:c r="I1750" s="312" t="s">
        <x:v>46</x:v>
      </x:c>
      <x:c r="J1750" s="316" t="n">
        <x:f>IFERROR(G1750/F1750,0)</x:f>
        <x:v>0.36</x:v>
      </x:c>
      <x:c r="K1750" s="312" t="str">
        <x:f>IF(B1750="Bilinmeyen Personel","Kontrol","OK")</x:f>
        <x:v>OK</x:v>
      </x:c>
    </x:row>
    <x:row r="1751" hidden="1">
      <x:c r="A1751" s="312" t="n">
        <x:f>ROW()-ROW($A$2)+1</x:f>
        <x:v>1750</x:v>
      </x:c>
      <x:c r="B1751" s="312" t="s">
        <x:v>50</x:v>
      </x:c>
      <x:c r="C1751" s="312" t="s">
        <x:v>24</x:v>
      </x:c>
      <x:c r="D1751" s="317">
        <x:v>3</x:v>
      </x:c>
      <x:c r="E1751" s="321">
        <x:v>7600</x:v>
      </x:c>
      <x:c r="F1751" s="321">
        <x:v>22800</x:v>
      </x:c>
      <x:c r="G1751" s="321">
        <x:v>4800</x:v>
      </x:c>
      <x:c r="H1751" s="312" t="s">
        <x:v>61</x:v>
      </x:c>
      <x:c r="I1751" s="312" t="s">
        <x:v>54</x:v>
      </x:c>
      <x:c r="J1751" s="316" t="n">
        <x:f>IFERROR(G1751/F1751,0)</x:f>
        <x:v>0.21052631578947367</x:v>
      </x:c>
      <x:c r="K1751" s="312" t="str">
        <x:f>IF(B1751="Bilinmeyen Personel","Kontrol","OK")</x:f>
        <x:v>OK</x:v>
      </x:c>
    </x:row>
    <x:row r="1752" hidden="1">
      <x:c r="A1752" s="312" t="n">
        <x:f>ROW()-ROW($A$2)+1</x:f>
        <x:v>1751</x:v>
      </x:c>
      <x:c r="B1752" s="312" t="s">
        <x:v>9</x:v>
      </x:c>
      <x:c r="C1752" s="312" t="s">
        <x:v>14</x:v>
      </x:c>
      <x:c r="D1752" s="317">
        <x:v>5</x:v>
      </x:c>
      <x:c r="E1752" s="321">
        <x:v>1400</x:v>
      </x:c>
      <x:c r="F1752" s="321">
        <x:v>7000</x:v>
      </x:c>
      <x:c r="G1752" s="321">
        <x:v>3000</x:v>
      </x:c>
      <x:c r="H1752" s="312" t="s">
        <x:v>61</x:v>
      </x:c>
      <x:c r="I1752" s="312" t="s">
        <x:v>37</x:v>
      </x:c>
      <x:c r="J1752" s="316" t="n">
        <x:f>IFERROR(G1752/F1752,0)</x:f>
        <x:v>0.42857142857142855</x:v>
      </x:c>
      <x:c r="K1752" s="312" t="str">
        <x:f>IF(B1752="Bilinmeyen Personel","Kontrol","OK")</x:f>
        <x:v>OK</x:v>
      </x:c>
    </x:row>
    <x:row r="1753" hidden="1">
      <x:c r="A1753" s="312" t="n">
        <x:f>ROW()-ROW($A$2)+1</x:f>
        <x:v>1752</x:v>
      </x:c>
      <x:c r="B1753" s="312" t="s">
        <x:v>23</x:v>
      </x:c>
      <x:c r="C1753" s="312" t="s">
        <x:v>22</x:v>
      </x:c>
      <x:c r="D1753" s="317">
        <x:v>2</x:v>
      </x:c>
      <x:c r="E1753" s="321">
        <x:v>2180</x:v>
      </x:c>
      <x:c r="F1753" s="321">
        <x:v>4360</x:v>
      </x:c>
      <x:c r="G1753" s="321">
        <x:v>1360</x:v>
      </x:c>
      <x:c r="H1753" s="312" t="s">
        <x:v>61</x:v>
      </x:c>
      <x:c r="I1753" s="312" t="s">
        <x:v>41</x:v>
      </x:c>
      <x:c r="J1753" s="316" t="n">
        <x:f>IFERROR(G1753/F1753,0)</x:f>
        <x:v>0.3119266055045872</x:v>
      </x:c>
      <x:c r="K1753" s="312" t="str">
        <x:f>IF(B1753="Bilinmeyen Personel","Kontrol","OK")</x:f>
        <x:v>OK</x:v>
      </x:c>
    </x:row>
    <x:row r="1754" hidden="1">
      <x:c r="A1754" s="312" t="n">
        <x:f>ROW()-ROW($A$2)+1</x:f>
        <x:v>1753</x:v>
      </x:c>
      <x:c r="B1754" s="312" t="s">
        <x:v>9</x:v>
      </x:c>
      <x:c r="C1754" s="312" t="s">
        <x:v>33</x:v>
      </x:c>
      <x:c r="D1754" s="317">
        <x:v>3</x:v>
      </x:c>
      <x:c r="E1754" s="321">
        <x:v>1800</x:v>
      </x:c>
      <x:c r="F1754" s="321">
        <x:v>5400</x:v>
      </x:c>
      <x:c r="G1754" s="321">
        <x:v>3000</x:v>
      </x:c>
      <x:c r="H1754" s="312" t="s">
        <x:v>61</x:v>
      </x:c>
      <x:c r="I1754" s="312" t="s">
        <x:v>21</x:v>
      </x:c>
      <x:c r="J1754" s="316" t="n">
        <x:f>IFERROR(G1754/F1754,0)</x:f>
        <x:v>0.5555555555555556</x:v>
      </x:c>
      <x:c r="K1754" s="312" t="str">
        <x:f>IF(B1754="Bilinmeyen Personel","Kontrol","OK")</x:f>
        <x:v>OK</x:v>
      </x:c>
    </x:row>
    <x:row r="1755" hidden="1">
      <x:c r="A1755" s="312" t="n">
        <x:f>ROW()-ROW($A$2)+1</x:f>
        <x:v>1754</x:v>
      </x:c>
      <x:c r="B1755" s="312" t="s">
        <x:v>16</x:v>
      </x:c>
      <x:c r="C1755" s="312" t="s">
        <x:v>57</x:v>
      </x:c>
      <x:c r="D1755" s="317">
        <x:v>5</x:v>
      </x:c>
      <x:c r="E1755" s="321">
        <x:v>1500</x:v>
      </x:c>
      <x:c r="F1755" s="321">
        <x:v>7500</x:v>
      </x:c>
      <x:c r="G1755" s="321">
        <x:v>3500</x:v>
      </x:c>
      <x:c r="H1755" s="312" t="s">
        <x:v>61</x:v>
      </x:c>
      <x:c r="I1755" s="312" t="s">
        <x:v>54</x:v>
      </x:c>
      <x:c r="J1755" s="316" t="n">
        <x:f>IFERROR(G1755/F1755,0)</x:f>
        <x:v>0.4666666666666667</x:v>
      </x:c>
      <x:c r="K1755" s="312" t="str">
        <x:f>IF(B1755="Bilinmeyen Personel","Kontrol","OK")</x:f>
        <x:v>OK</x:v>
      </x:c>
    </x:row>
    <x:row r="1756" hidden="1">
      <x:c r="A1756" s="312" t="n">
        <x:f>ROW()-ROW($A$2)+1</x:f>
        <x:v>1755</x:v>
      </x:c>
      <x:c r="B1756" s="312" t="s">
        <x:v>32</x:v>
      </x:c>
      <x:c r="C1756" s="312" t="s">
        <x:v>17</x:v>
      </x:c>
      <x:c r="D1756" s="317">
        <x:v>3</x:v>
      </x:c>
      <x:c r="E1756" s="321">
        <x:v>8450</x:v>
      </x:c>
      <x:c r="F1756" s="321">
        <x:v>25350</x:v>
      </x:c>
      <x:c r="G1756" s="321">
        <x:v>7350</x:v>
      </x:c>
      <x:c r="H1756" s="312" t="s">
        <x:v>61</x:v>
      </x:c>
      <x:c r="I1756" s="312" t="s">
        <x:v>21</x:v>
      </x:c>
      <x:c r="J1756" s="316" t="n">
        <x:f>IFERROR(G1756/F1756,0)</x:f>
        <x:v>0.28994082840236685</x:v>
      </x:c>
      <x:c r="K1756" s="312" t="str">
        <x:f>IF(B1756="Bilinmeyen Personel","Kontrol","OK")</x:f>
        <x:v>OK</x:v>
      </x:c>
    </x:row>
    <x:row r="1757" hidden="1">
      <x:c r="A1757" s="312" t="n">
        <x:f>ROW()-ROW($A$2)+1</x:f>
        <x:v>1756</x:v>
      </x:c>
      <x:c r="B1757" s="312" t="s">
        <x:v>40</x:v>
      </x:c>
      <x:c r="C1757" s="312" t="s">
        <x:v>57</x:v>
      </x:c>
      <x:c r="D1757" s="317">
        <x:v>4</x:v>
      </x:c>
      <x:c r="E1757" s="321">
        <x:v>1500</x:v>
      </x:c>
      <x:c r="F1757" s="321">
        <x:v>6000</x:v>
      </x:c>
      <x:c r="G1757" s="321">
        <x:v>2800</x:v>
      </x:c>
      <x:c r="H1757" s="312" t="s">
        <x:v>61</x:v>
      </x:c>
      <x:c r="I1757" s="312" t="s">
        <x:v>21</x:v>
      </x:c>
      <x:c r="J1757" s="316" t="n">
        <x:f>IFERROR(G1757/F1757,0)</x:f>
        <x:v>0.4666666666666667</x:v>
      </x:c>
      <x:c r="K1757" s="312" t="str">
        <x:f>IF(B1757="Bilinmeyen Personel","Kontrol","OK")</x:f>
        <x:v>OK</x:v>
      </x:c>
    </x:row>
    <x:row r="1758" hidden="1">
      <x:c r="A1758" s="312" t="n">
        <x:f>ROW()-ROW($A$2)+1</x:f>
        <x:v>1757</x:v>
      </x:c>
      <x:c r="B1758" s="312" t="s">
        <x:v>29</x:v>
      </x:c>
      <x:c r="C1758" s="312" t="s">
        <x:v>10</x:v>
      </x:c>
      <x:c r="D1758" s="317">
        <x:v>4</x:v>
      </x:c>
      <x:c r="E1758" s="321">
        <x:v>6000</x:v>
      </x:c>
      <x:c r="F1758" s="321">
        <x:v>24000</x:v>
      </x:c>
      <x:c r="G1758" s="321">
        <x:v>8000</x:v>
      </x:c>
      <x:c r="H1758" s="312" t="s">
        <x:v>61</x:v>
      </x:c>
      <x:c r="I1758" s="312" t="s">
        <x:v>25</x:v>
      </x:c>
      <x:c r="J1758" s="316" t="n">
        <x:f>IFERROR(G1758/F1758,0)</x:f>
        <x:v>0.3333333333333333</x:v>
      </x:c>
      <x:c r="K1758" s="312" t="str">
        <x:f>IF(B1758="Bilinmeyen Personel","Kontrol","OK")</x:f>
        <x:v>OK</x:v>
      </x:c>
    </x:row>
    <x:row r="1759" hidden="1">
      <x:c r="A1759" s="312" t="n">
        <x:f>ROW()-ROW($A$2)+1</x:f>
        <x:v>1758</x:v>
      </x:c>
      <x:c r="B1759" s="312" t="s">
        <x:v>50</x:v>
      </x:c>
      <x:c r="C1759" s="312" t="s">
        <x:v>53</x:v>
      </x:c>
      <x:c r="D1759" s="317">
        <x:v>5</x:v>
      </x:c>
      <x:c r="E1759" s="321">
        <x:v>1200</x:v>
      </x:c>
      <x:c r="F1759" s="321">
        <x:v>6000</x:v>
      </x:c>
      <x:c r="G1759" s="321">
        <x:v>2000</x:v>
      </x:c>
      <x:c r="H1759" s="312" t="s">
        <x:v>61</x:v>
      </x:c>
      <x:c r="I1759" s="312" t="s">
        <x:v>46</x:v>
      </x:c>
      <x:c r="J1759" s="316" t="n">
        <x:f>IFERROR(G1759/F1759,0)</x:f>
        <x:v>0.3333333333333333</x:v>
      </x:c>
      <x:c r="K1759" s="312" t="str">
        <x:f>IF(B1759="Bilinmeyen Personel","Kontrol","OK")</x:f>
        <x:v>OK</x:v>
      </x:c>
    </x:row>
    <x:row r="1760" hidden="1">
      <x:c r="A1760" s="312" t="n">
        <x:f>ROW()-ROW($A$2)+1</x:f>
        <x:v>1759</x:v>
      </x:c>
      <x:c r="B1760" s="312" t="s">
        <x:v>9</x:v>
      </x:c>
      <x:c r="C1760" s="312" t="s">
        <x:v>45</x:v>
      </x:c>
      <x:c r="D1760" s="317">
        <x:v>2</x:v>
      </x:c>
      <x:c r="E1760" s="321">
        <x:v>4200</x:v>
      </x:c>
      <x:c r="F1760" s="321">
        <x:v>8400</x:v>
      </x:c>
      <x:c r="G1760" s="321">
        <x:v>2400</x:v>
      </x:c>
      <x:c r="H1760" s="312" t="s">
        <x:v>61</x:v>
      </x:c>
      <x:c r="I1760" s="312" t="s">
        <x:v>54</x:v>
      </x:c>
      <x:c r="J1760" s="316" t="n">
        <x:f>IFERROR(G1760/F1760,0)</x:f>
        <x:v>0.2857142857142857</x:v>
      </x:c>
      <x:c r="K1760" s="312" t="str">
        <x:f>IF(B1760="Bilinmeyen Personel","Kontrol","OK")</x:f>
        <x:v>OK</x:v>
      </x:c>
    </x:row>
    <x:row r="1761" hidden="1">
      <x:c r="A1761" s="312" t="n">
        <x:f>ROW()-ROW($A$2)+1</x:f>
        <x:v>1760</x:v>
      </x:c>
      <x:c r="B1761" s="312" t="s">
        <x:v>48</x:v>
      </x:c>
      <x:c r="C1761" s="312" t="s">
        <x:v>24</x:v>
      </x:c>
      <x:c r="D1761" s="317">
        <x:v>4</x:v>
      </x:c>
      <x:c r="E1761" s="321">
        <x:v>7600</x:v>
      </x:c>
      <x:c r="F1761" s="321">
        <x:v>30400</x:v>
      </x:c>
      <x:c r="G1761" s="321">
        <x:v>6400</x:v>
      </x:c>
      <x:c r="H1761" s="312" t="s">
        <x:v>61</x:v>
      </x:c>
      <x:c r="I1761" s="312" t="s">
        <x:v>15</x:v>
      </x:c>
      <x:c r="J1761" s="316" t="n">
        <x:f>IFERROR(G1761/F1761,0)</x:f>
        <x:v>0.21052631578947367</x:v>
      </x:c>
      <x:c r="K1761" s="312" t="str">
        <x:f>IF(B1761="Bilinmeyen Personel","Kontrol","OK")</x:f>
        <x:v>OK</x:v>
      </x:c>
    </x:row>
    <x:row r="1762" hidden="1">
      <x:c r="A1762" s="312" t="n">
        <x:f>ROW()-ROW($A$2)+1</x:f>
        <x:v>1761</x:v>
      </x:c>
      <x:c r="B1762" s="312" t="s">
        <x:v>29</x:v>
      </x:c>
      <x:c r="C1762" s="312" t="s">
        <x:v>26</x:v>
      </x:c>
      <x:c r="D1762" s="317">
        <x:v>4</x:v>
      </x:c>
      <x:c r="E1762" s="321">
        <x:v>7250</x:v>
      </x:c>
      <x:c r="F1762" s="321">
        <x:v>29000</x:v>
      </x:c>
      <x:c r="G1762" s="321">
        <x:v>9000</x:v>
      </x:c>
      <x:c r="H1762" s="312" t="s">
        <x:v>61</x:v>
      </x:c>
      <x:c r="I1762" s="312" t="s">
        <x:v>25</x:v>
      </x:c>
      <x:c r="J1762" s="316" t="n">
        <x:f>IFERROR(G1762/F1762,0)</x:f>
        <x:v>0.3103448275862069</x:v>
      </x:c>
      <x:c r="K1762" s="312" t="str">
        <x:f>IF(B1762="Bilinmeyen Personel","Kontrol","OK")</x:f>
        <x:v>OK</x:v>
      </x:c>
    </x:row>
    <x:row r="1763" hidden="1">
      <x:c r="A1763" s="312" t="n">
        <x:f>ROW()-ROW($A$2)+1</x:f>
        <x:v>1762</x:v>
      </x:c>
      <x:c r="B1763" s="312" t="s">
        <x:v>13</x:v>
      </x:c>
      <x:c r="C1763" s="312" t="s">
        <x:v>55</x:v>
      </x:c>
      <x:c r="D1763" s="317">
        <x:v>3</x:v>
      </x:c>
      <x:c r="E1763" s="321">
        <x:v>7530</x:v>
      </x:c>
      <x:c r="F1763" s="321">
        <x:v>22590</x:v>
      </x:c>
      <x:c r="G1763" s="321">
        <x:v>4590</x:v>
      </x:c>
      <x:c r="H1763" s="312" t="s">
        <x:v>61</x:v>
      </x:c>
      <x:c r="I1763" s="312" t="s">
        <x:v>28</x:v>
      </x:c>
      <x:c r="J1763" s="316" t="n">
        <x:f>IFERROR(G1763/F1763,0)</x:f>
        <x:v>0.20318725099601595</x:v>
      </x:c>
      <x:c r="K1763" s="312" t="str">
        <x:f>IF(B1763="Bilinmeyen Personel","Kontrol","OK")</x:f>
        <x:v>OK</x:v>
      </x:c>
    </x:row>
    <x:row r="1764" hidden="1">
      <x:c r="A1764" s="312" t="n">
        <x:f>ROW()-ROW($A$2)+1</x:f>
        <x:v>1763</x:v>
      </x:c>
      <x:c r="B1764" s="312" t="s">
        <x:v>16</x:v>
      </x:c>
      <x:c r="C1764" s="312" t="s">
        <x:v>26</x:v>
      </x:c>
      <x:c r="D1764" s="317">
        <x:v>4</x:v>
      </x:c>
      <x:c r="E1764" s="321">
        <x:v>7250</x:v>
      </x:c>
      <x:c r="F1764" s="321">
        <x:v>29000</x:v>
      </x:c>
      <x:c r="G1764" s="321">
        <x:v>9000</x:v>
      </x:c>
      <x:c r="H1764" s="312" t="s">
        <x:v>61</x:v>
      </x:c>
      <x:c r="I1764" s="312" t="s">
        <x:v>46</x:v>
      </x:c>
      <x:c r="J1764" s="316" t="n">
        <x:f>IFERROR(G1764/F1764,0)</x:f>
        <x:v>0.3103448275862069</x:v>
      </x:c>
      <x:c r="K1764" s="312" t="str">
        <x:f>IF(B1764="Bilinmeyen Personel","Kontrol","OK")</x:f>
        <x:v>OK</x:v>
      </x:c>
    </x:row>
    <x:row r="1765" hidden="1">
      <x:c r="A1765" s="312" t="n">
        <x:f>ROW()-ROW($A$2)+1</x:f>
        <x:v>1764</x:v>
      </x:c>
      <x:c r="B1765" s="312" t="s">
        <x:v>13</x:v>
      </x:c>
      <x:c r="C1765" s="312" t="s">
        <x:v>10</x:v>
      </x:c>
      <x:c r="D1765" s="317">
        <x:v>5</x:v>
      </x:c>
      <x:c r="E1765" s="321">
        <x:v>6000</x:v>
      </x:c>
      <x:c r="F1765" s="321">
        <x:v>30000</x:v>
      </x:c>
      <x:c r="G1765" s="321">
        <x:v>10000</x:v>
      </x:c>
      <x:c r="H1765" s="312" t="s">
        <x:v>61</x:v>
      </x:c>
      <x:c r="I1765" s="312" t="s">
        <x:v>31</x:v>
      </x:c>
      <x:c r="J1765" s="316" t="n">
        <x:f>IFERROR(G1765/F1765,0)</x:f>
        <x:v>0.3333333333333333</x:v>
      </x:c>
      <x:c r="K1765" s="312" t="str">
        <x:f>IF(B1765="Bilinmeyen Personel","Kontrol","OK")</x:f>
        <x:v>OK</x:v>
      </x:c>
    </x:row>
    <x:row r="1766" hidden="1">
      <x:c r="A1766" s="312" t="n">
        <x:f>ROW()-ROW($A$2)+1</x:f>
        <x:v>1765</x:v>
      </x:c>
      <x:c r="B1766" s="312" t="s">
        <x:v>29</x:v>
      </x:c>
      <x:c r="C1766" s="312" t="s">
        <x:v>53</x:v>
      </x:c>
      <x:c r="D1766" s="317">
        <x:v>3</x:v>
      </x:c>
      <x:c r="E1766" s="321">
        <x:v>1200</x:v>
      </x:c>
      <x:c r="F1766" s="321">
        <x:v>3600</x:v>
      </x:c>
      <x:c r="G1766" s="321">
        <x:v>1200</x:v>
      </x:c>
      <x:c r="H1766" s="312" t="s">
        <x:v>61</x:v>
      </x:c>
      <x:c r="I1766" s="312" t="s">
        <x:v>54</x:v>
      </x:c>
      <x:c r="J1766" s="316" t="n">
        <x:f>IFERROR(G1766/F1766,0)</x:f>
        <x:v>0.3333333333333333</x:v>
      </x:c>
      <x:c r="K1766" s="312" t="str">
        <x:f>IF(B1766="Bilinmeyen Personel","Kontrol","OK")</x:f>
        <x:v>OK</x:v>
      </x:c>
    </x:row>
    <x:row r="1767" hidden="1">
      <x:c r="A1767" s="312" t="n">
        <x:f>ROW()-ROW($A$2)+1</x:f>
        <x:v>1766</x:v>
      </x:c>
      <x:c r="B1767" s="312" t="s">
        <x:v>50</x:v>
      </x:c>
      <x:c r="C1767" s="312" t="s">
        <x:v>56</x:v>
      </x:c>
      <x:c r="D1767" s="317">
        <x:v>4</x:v>
      </x:c>
      <x:c r="E1767" s="321">
        <x:v>5300</x:v>
      </x:c>
      <x:c r="F1767" s="321">
        <x:v>21200</x:v>
      </x:c>
      <x:c r="G1767" s="321">
        <x:v>5200</x:v>
      </x:c>
      <x:c r="H1767" s="312" t="s">
        <x:v>61</x:v>
      </x:c>
      <x:c r="I1767" s="312" t="s">
        <x:v>18</x:v>
      </x:c>
      <x:c r="J1767" s="316" t="n">
        <x:f>IFERROR(G1767/F1767,0)</x:f>
        <x:v>0.24528301886792453</x:v>
      </x:c>
      <x:c r="K1767" s="312" t="str">
        <x:f>IF(B1767="Bilinmeyen Personel","Kontrol","OK")</x:f>
        <x:v>OK</x:v>
      </x:c>
    </x:row>
    <x:row r="1768" hidden="1">
      <x:c r="A1768" s="312" t="n">
        <x:f>ROW()-ROW($A$2)+1</x:f>
        <x:v>1767</x:v>
      </x:c>
      <x:c r="B1768" s="312" t="s">
        <x:v>38</x:v>
      </x:c>
      <x:c r="C1768" s="312" t="s">
        <x:v>17</x:v>
      </x:c>
      <x:c r="D1768" s="317">
        <x:v>5</x:v>
      </x:c>
      <x:c r="E1768" s="321">
        <x:v>8450</x:v>
      </x:c>
      <x:c r="F1768" s="321">
        <x:v>42250</x:v>
      </x:c>
      <x:c r="G1768" s="321">
        <x:v>12250</x:v>
      </x:c>
      <x:c r="H1768" s="312" t="s">
        <x:v>61</x:v>
      </x:c>
      <x:c r="I1768" s="312" t="s">
        <x:v>28</x:v>
      </x:c>
      <x:c r="J1768" s="316" t="n">
        <x:f>IFERROR(G1768/F1768,0)</x:f>
        <x:v>0.28994082840236685</x:v>
      </x:c>
      <x:c r="K1768" s="312" t="str">
        <x:f>IF(B1768="Bilinmeyen Personel","Kontrol","OK")</x:f>
        <x:v>OK</x:v>
      </x:c>
    </x:row>
    <x:row r="1769" hidden="1">
      <x:c r="A1769" s="312" t="n">
        <x:f>ROW()-ROW($A$2)+1</x:f>
        <x:v>1768</x:v>
      </x:c>
      <x:c r="B1769" s="312" t="s">
        <x:v>23</x:v>
      </x:c>
      <x:c r="C1769" s="312" t="s">
        <x:v>20</x:v>
      </x:c>
      <x:c r="D1769" s="317">
        <x:v>2</x:v>
      </x:c>
      <x:c r="E1769" s="321">
        <x:v>1350</x:v>
      </x:c>
      <x:c r="F1769" s="321">
        <x:v>2700</x:v>
      </x:c>
      <x:c r="G1769" s="321">
        <x:v>1100</x:v>
      </x:c>
      <x:c r="H1769" s="312" t="s">
        <x:v>61</x:v>
      </x:c>
      <x:c r="I1769" s="312" t="s">
        <x:v>41</x:v>
      </x:c>
      <x:c r="J1769" s="316" t="n">
        <x:f>IFERROR(G1769/F1769,0)</x:f>
        <x:v>0.4074074074074074</x:v>
      </x:c>
      <x:c r="K1769" s="312" t="str">
        <x:f>IF(B1769="Bilinmeyen Personel","Kontrol","OK")</x:f>
        <x:v>OK</x:v>
      </x:c>
    </x:row>
    <x:row r="1770" hidden="1">
      <x:c r="A1770" s="312" t="n">
        <x:f>ROW()-ROW($A$2)+1</x:f>
        <x:v>1769</x:v>
      </x:c>
      <x:c r="B1770" s="312" t="s">
        <x:v>32</x:v>
      </x:c>
      <x:c r="C1770" s="312" t="s">
        <x:v>34</x:v>
      </x:c>
      <x:c r="D1770" s="317">
        <x:v>4</x:v>
      </x:c>
      <x:c r="E1770" s="321">
        <x:v>1090</x:v>
      </x:c>
      <x:c r="F1770" s="321">
        <x:v>4360</x:v>
      </x:c>
      <x:c r="G1770" s="321">
        <x:v>1160</x:v>
      </x:c>
      <x:c r="H1770" s="312" t="s">
        <x:v>61</x:v>
      </x:c>
      <x:c r="I1770" s="312" t="s">
        <x:v>54</x:v>
      </x:c>
      <x:c r="J1770" s="316" t="n">
        <x:f>IFERROR(G1770/F1770,0)</x:f>
        <x:v>0.26605504587155965</x:v>
      </x:c>
      <x:c r="K1770" s="312" t="str">
        <x:f>IF(B1770="Bilinmeyen Personel","Kontrol","OK")</x:f>
        <x:v>OK</x:v>
      </x:c>
    </x:row>
    <x:row r="1771" hidden="1">
      <x:c r="A1771" s="312" t="n">
        <x:f>ROW()-ROW($A$2)+1</x:f>
        <x:v>1770</x:v>
      </x:c>
      <x:c r="B1771" s="312" t="s">
        <x:v>23</x:v>
      </x:c>
      <x:c r="C1771" s="312" t="s">
        <x:v>22</x:v>
      </x:c>
      <x:c r="D1771" s="317">
        <x:v>2</x:v>
      </x:c>
      <x:c r="E1771" s="321">
        <x:v>2180</x:v>
      </x:c>
      <x:c r="F1771" s="321">
        <x:v>4360</x:v>
      </x:c>
      <x:c r="G1771" s="321">
        <x:v>1360</x:v>
      </x:c>
      <x:c r="H1771" s="312" t="s">
        <x:v>61</x:v>
      </x:c>
      <x:c r="I1771" s="312" t="s">
        <x:v>25</x:v>
      </x:c>
      <x:c r="J1771" s="316" t="n">
        <x:f>IFERROR(G1771/F1771,0)</x:f>
        <x:v>0.3119266055045872</x:v>
      </x:c>
      <x:c r="K1771" s="312" t="str">
        <x:f>IF(B1771="Bilinmeyen Personel","Kontrol","OK")</x:f>
        <x:v>OK</x:v>
      </x:c>
    </x:row>
    <x:row r="1772" hidden="1">
      <x:c r="A1772" s="312" t="n">
        <x:f>ROW()-ROW($A$2)+1</x:f>
        <x:v>1771</x:v>
      </x:c>
      <x:c r="B1772" s="312" t="s">
        <x:v>9</x:v>
      </x:c>
      <x:c r="C1772" s="312" t="s">
        <x:v>10</x:v>
      </x:c>
      <x:c r="D1772" s="317">
        <x:v>5</x:v>
      </x:c>
      <x:c r="E1772" s="321">
        <x:v>6000</x:v>
      </x:c>
      <x:c r="F1772" s="321">
        <x:v>30000</x:v>
      </x:c>
      <x:c r="G1772" s="321">
        <x:v>10000</x:v>
      </x:c>
      <x:c r="H1772" s="312" t="s">
        <x:v>61</x:v>
      </x:c>
      <x:c r="I1772" s="312" t="s">
        <x:v>44</x:v>
      </x:c>
      <x:c r="J1772" s="316" t="n">
        <x:f>IFERROR(G1772/F1772,0)</x:f>
        <x:v>0.3333333333333333</x:v>
      </x:c>
      <x:c r="K1772" s="312" t="str">
        <x:f>IF(B1772="Bilinmeyen Personel","Kontrol","OK")</x:f>
        <x:v>OK</x:v>
      </x:c>
    </x:row>
    <x:row r="1773" hidden="1">
      <x:c r="A1773" s="312" t="n">
        <x:f>ROW()-ROW($A$2)+1</x:f>
        <x:v>1772</x:v>
      </x:c>
      <x:c r="B1773" s="312" t="s">
        <x:v>13</x:v>
      </x:c>
      <x:c r="C1773" s="312" t="s">
        <x:v>14</x:v>
      </x:c>
      <x:c r="D1773" s="317">
        <x:v>5</x:v>
      </x:c>
      <x:c r="E1773" s="321">
        <x:v>1400</x:v>
      </x:c>
      <x:c r="F1773" s="321">
        <x:v>7000</x:v>
      </x:c>
      <x:c r="G1773" s="321">
        <x:v>3000</x:v>
      </x:c>
      <x:c r="H1773" s="312" t="s">
        <x:v>61</x:v>
      </x:c>
      <x:c r="I1773" s="312" t="s">
        <x:v>21</x:v>
      </x:c>
      <x:c r="J1773" s="316" t="n">
        <x:f>IFERROR(G1773/F1773,0)</x:f>
        <x:v>0.42857142857142855</x:v>
      </x:c>
      <x:c r="K1773" s="312" t="str">
        <x:f>IF(B1773="Bilinmeyen Personel","Kontrol","OK")</x:f>
        <x:v>OK</x:v>
      </x:c>
    </x:row>
    <x:row r="1774" hidden="1">
      <x:c r="A1774" s="312" t="n">
        <x:f>ROW()-ROW($A$2)+1</x:f>
        <x:v>1773</x:v>
      </x:c>
      <x:c r="B1774" s="312" t="s">
        <x:v>16</x:v>
      </x:c>
      <x:c r="C1774" s="312" t="s">
        <x:v>17</x:v>
      </x:c>
      <x:c r="D1774" s="317">
        <x:v>2</x:v>
      </x:c>
      <x:c r="E1774" s="321">
        <x:v>8450</x:v>
      </x:c>
      <x:c r="F1774" s="321">
        <x:v>16900</x:v>
      </x:c>
      <x:c r="G1774" s="321">
        <x:v>4900</x:v>
      </x:c>
      <x:c r="H1774" s="312" t="s">
        <x:v>61</x:v>
      </x:c>
      <x:c r="I1774" s="312" t="s">
        <x:v>25</x:v>
      </x:c>
      <x:c r="J1774" s="316" t="n">
        <x:f>IFERROR(G1774/F1774,0)</x:f>
        <x:v>0.28994082840236685</x:v>
      </x:c>
      <x:c r="K1774" s="312" t="str">
        <x:f>IF(B1774="Bilinmeyen Personel","Kontrol","OK")</x:f>
        <x:v>OK</x:v>
      </x:c>
    </x:row>
    <x:row r="1775" hidden="1">
      <x:c r="A1775" s="312" t="n">
        <x:f>ROW()-ROW($A$2)+1</x:f>
        <x:v>1774</x:v>
      </x:c>
      <x:c r="B1775" s="312" t="s">
        <x:v>19</x:v>
      </x:c>
      <x:c r="C1775" s="312" t="s">
        <x:v>20</x:v>
      </x:c>
      <x:c r="D1775" s="317">
        <x:v>4</x:v>
      </x:c>
      <x:c r="E1775" s="321">
        <x:v>1350</x:v>
      </x:c>
      <x:c r="F1775" s="321">
        <x:v>5400</x:v>
      </x:c>
      <x:c r="G1775" s="321">
        <x:v>2200</x:v>
      </x:c>
      <x:c r="H1775" s="312" t="s">
        <x:v>61</x:v>
      </x:c>
      <x:c r="I1775" s="312" t="s">
        <x:v>44</x:v>
      </x:c>
      <x:c r="J1775" s="316" t="n">
        <x:f>IFERROR(G1775/F1775,0)</x:f>
        <x:v>0.4074074074074074</x:v>
      </x:c>
      <x:c r="K1775" s="312" t="str">
        <x:f>IF(B1775="Bilinmeyen Personel","Kontrol","OK")</x:f>
        <x:v>OK</x:v>
      </x:c>
    </x:row>
    <x:row r="1776" hidden="1">
      <x:c r="A1776" s="312" t="n">
        <x:f>ROW()-ROW($A$2)+1</x:f>
        <x:v>1775</x:v>
      </x:c>
      <x:c r="B1776" s="312" t="s">
        <x:v>9</x:v>
      </x:c>
      <x:c r="C1776" s="312" t="s">
        <x:v>22</x:v>
      </x:c>
      <x:c r="D1776" s="317">
        <x:v>2</x:v>
      </x:c>
      <x:c r="E1776" s="321">
        <x:v>2180</x:v>
      </x:c>
      <x:c r="F1776" s="321">
        <x:v>4360</x:v>
      </x:c>
      <x:c r="G1776" s="321">
        <x:v>1360</x:v>
      </x:c>
      <x:c r="H1776" s="312" t="s">
        <x:v>61</x:v>
      </x:c>
      <x:c r="I1776" s="312" t="s">
        <x:v>44</x:v>
      </x:c>
      <x:c r="J1776" s="316" t="n">
        <x:f>IFERROR(G1776/F1776,0)</x:f>
        <x:v>0.3119266055045872</x:v>
      </x:c>
      <x:c r="K1776" s="312" t="str">
        <x:f>IF(B1776="Bilinmeyen Personel","Kontrol","OK")</x:f>
        <x:v>OK</x:v>
      </x:c>
    </x:row>
    <x:row r="1777" hidden="1">
      <x:c r="A1777" s="312" t="n">
        <x:f>ROW()-ROW($A$2)+1</x:f>
        <x:v>1776</x:v>
      </x:c>
      <x:c r="B1777" s="312" t="s">
        <x:v>23</x:v>
      </x:c>
      <x:c r="C1777" s="312" t="s">
        <x:v>24</x:v>
      </x:c>
      <x:c r="D1777" s="317">
        <x:v>4</x:v>
      </x:c>
      <x:c r="E1777" s="321">
        <x:v>7600</x:v>
      </x:c>
      <x:c r="F1777" s="321">
        <x:v>30400</x:v>
      </x:c>
      <x:c r="G1777" s="321">
        <x:v>6400</x:v>
      </x:c>
      <x:c r="H1777" s="312" t="s">
        <x:v>61</x:v>
      </x:c>
      <x:c r="I1777" s="312" t="s">
        <x:v>18</x:v>
      </x:c>
      <x:c r="J1777" s="316" t="n">
        <x:f>IFERROR(G1777/F1777,0)</x:f>
        <x:v>0.21052631578947367</x:v>
      </x:c>
      <x:c r="K1777" s="312" t="str">
        <x:f>IF(B1777="Bilinmeyen Personel","Kontrol","OK")</x:f>
        <x:v>OK</x:v>
      </x:c>
    </x:row>
    <x:row r="1778" hidden="1">
      <x:c r="A1778" s="312" t="n">
        <x:f>ROW()-ROW($A$2)+1</x:f>
        <x:v>1777</x:v>
      </x:c>
      <x:c r="B1778" s="312" t="s">
        <x:v>13</x:v>
      </x:c>
      <x:c r="C1778" s="312" t="s">
        <x:v>26</x:v>
      </x:c>
      <x:c r="D1778" s="317">
        <x:v>2</x:v>
      </x:c>
      <x:c r="E1778" s="321">
        <x:v>7250</x:v>
      </x:c>
      <x:c r="F1778" s="321">
        <x:v>14500</x:v>
      </x:c>
      <x:c r="G1778" s="321">
        <x:v>4500</x:v>
      </x:c>
      <x:c r="H1778" s="312" t="s">
        <x:v>61</x:v>
      </x:c>
      <x:c r="I1778" s="312" t="s">
        <x:v>37</x:v>
      </x:c>
      <x:c r="J1778" s="316" t="n">
        <x:f>IFERROR(G1778/F1778,0)</x:f>
        <x:v>0.3103448275862069</x:v>
      </x:c>
      <x:c r="K1778" s="312" t="str">
        <x:f>IF(B1778="Bilinmeyen Personel","Kontrol","OK")</x:f>
        <x:v>OK</x:v>
      </x:c>
    </x:row>
    <x:row r="1779" hidden="1">
      <x:c r="A1779" s="312" t="n">
        <x:f>ROW()-ROW($A$2)+1</x:f>
        <x:v>1778</x:v>
      </x:c>
      <x:c r="B1779" s="312" t="s">
        <x:v>19</x:v>
      </x:c>
      <x:c r="C1779" s="312" t="s">
        <x:v>27</x:v>
      </x:c>
      <x:c r="D1779" s="317">
        <x:v>3</x:v>
      </x:c>
      <x:c r="E1779" s="321">
        <x:v>1100</x:v>
      </x:c>
      <x:c r="F1779" s="321">
        <x:v>3300</x:v>
      </x:c>
      <x:c r="G1779" s="321">
        <x:v>900</x:v>
      </x:c>
      <x:c r="H1779" s="312" t="s">
        <x:v>61</x:v>
      </x:c>
      <x:c r="I1779" s="312" t="s">
        <x:v>41</x:v>
      </x:c>
      <x:c r="J1779" s="316" t="n">
        <x:f>IFERROR(G1779/F1779,0)</x:f>
        <x:v>0.2727272727272727</x:v>
      </x:c>
      <x:c r="K1779" s="312" t="str">
        <x:f>IF(B1779="Bilinmeyen Personel","Kontrol","OK")</x:f>
        <x:v>OK</x:v>
      </x:c>
    </x:row>
    <x:row r="1780" hidden="1">
      <x:c r="A1780" s="312" t="n">
        <x:f>ROW()-ROW($A$2)+1</x:f>
        <x:v>1779</x:v>
      </x:c>
      <x:c r="B1780" s="312" t="s">
        <x:v>29</x:v>
      </x:c>
      <x:c r="C1780" s="312" t="s">
        <x:v>10</x:v>
      </x:c>
      <x:c r="D1780" s="317">
        <x:v>3</x:v>
      </x:c>
      <x:c r="E1780" s="321">
        <x:v>6000</x:v>
      </x:c>
      <x:c r="F1780" s="321">
        <x:v>18000</x:v>
      </x:c>
      <x:c r="G1780" s="321">
        <x:v>6000</x:v>
      </x:c>
      <x:c r="H1780" s="312" t="s">
        <x:v>61</x:v>
      </x:c>
      <x:c r="I1780" s="312" t="s">
        <x:v>12</x:v>
      </x:c>
      <x:c r="J1780" s="316" t="n">
        <x:f>IFERROR(G1780/F1780,0)</x:f>
        <x:v>0.3333333333333333</x:v>
      </x:c>
      <x:c r="K1780" s="312" t="str">
        <x:f>IF(B1780="Bilinmeyen Personel","Kontrol","OK")</x:f>
        <x:v>OK</x:v>
      </x:c>
    </x:row>
    <x:row r="1781" hidden="1">
      <x:c r="A1781" s="312" t="n">
        <x:f>ROW()-ROW($A$2)+1</x:f>
        <x:v>1780</x:v>
      </x:c>
      <x:c r="B1781" s="312" t="s">
        <x:v>9</x:v>
      </x:c>
      <x:c r="C1781" s="312" t="s">
        <x:v>30</x:v>
      </x:c>
      <x:c r="D1781" s="317">
        <x:v>3</x:v>
      </x:c>
      <x:c r="E1781" s="321">
        <x:v>1200</x:v>
      </x:c>
      <x:c r="F1781" s="321">
        <x:v>3600</x:v>
      </x:c>
      <x:c r="G1781" s="321">
        <x:v>1200</x:v>
      </x:c>
      <x:c r="H1781" s="312" t="s">
        <x:v>61</x:v>
      </x:c>
      <x:c r="I1781" s="312" t="s">
        <x:v>28</x:v>
      </x:c>
      <x:c r="J1781" s="316" t="n">
        <x:f>IFERROR(G1781/F1781,0)</x:f>
        <x:v>0.3333333333333333</x:v>
      </x:c>
      <x:c r="K1781" s="312" t="str">
        <x:f>IF(B1781="Bilinmeyen Personel","Kontrol","OK")</x:f>
        <x:v>OK</x:v>
      </x:c>
    </x:row>
    <x:row r="1782" hidden="1">
      <x:c r="A1782" s="312" t="n">
        <x:f>ROW()-ROW($A$2)+1</x:f>
        <x:v>1781</x:v>
      </x:c>
      <x:c r="B1782" s="312" t="s">
        <x:v>32</x:v>
      </x:c>
      <x:c r="C1782" s="312" t="s">
        <x:v>33</x:v>
      </x:c>
      <x:c r="D1782" s="317">
        <x:v>2</x:v>
      </x:c>
      <x:c r="E1782" s="321">
        <x:v>1800</x:v>
      </x:c>
      <x:c r="F1782" s="321">
        <x:v>3600</x:v>
      </x:c>
      <x:c r="G1782" s="321">
        <x:v>2000</x:v>
      </x:c>
      <x:c r="H1782" s="312" t="s">
        <x:v>61</x:v>
      </x:c>
      <x:c r="I1782" s="312" t="s">
        <x:v>54</x:v>
      </x:c>
      <x:c r="J1782" s="316" t="n">
        <x:f>IFERROR(G1782/F1782,0)</x:f>
        <x:v>0.5555555555555556</x:v>
      </x:c>
      <x:c r="K1782" s="312" t="str">
        <x:f>IF(B1782="Bilinmeyen Personel","Kontrol","OK")</x:f>
        <x:v>OK</x:v>
      </x:c>
    </x:row>
    <x:row r="1783" hidden="1">
      <x:c r="A1783" s="312" t="n">
        <x:f>ROW()-ROW($A$2)+1</x:f>
        <x:v>1782</x:v>
      </x:c>
      <x:c r="B1783" s="312" t="s">
        <x:v>32</x:v>
      </x:c>
      <x:c r="C1783" s="312" t="s">
        <x:v>34</x:v>
      </x:c>
      <x:c r="D1783" s="317">
        <x:v>3</x:v>
      </x:c>
      <x:c r="E1783" s="321">
        <x:v>1090</x:v>
      </x:c>
      <x:c r="F1783" s="321">
        <x:v>3270</x:v>
      </x:c>
      <x:c r="G1783" s="321">
        <x:v>870</x:v>
      </x:c>
      <x:c r="H1783" s="312" t="s">
        <x:v>61</x:v>
      </x:c>
      <x:c r="I1783" s="312" t="s">
        <x:v>15</x:v>
      </x:c>
      <x:c r="J1783" s="316" t="n">
        <x:f>IFERROR(G1783/F1783,0)</x:f>
        <x:v>0.26605504587155965</x:v>
      </x:c>
      <x:c r="K1783" s="312" t="str">
        <x:f>IF(B1783="Bilinmeyen Personel","Kontrol","OK")</x:f>
        <x:v>OK</x:v>
      </x:c>
    </x:row>
    <x:row r="1784" hidden="1">
      <x:c r="A1784" s="312" t="n">
        <x:f>ROW()-ROW($A$2)+1</x:f>
        <x:v>1783</x:v>
      </x:c>
      <x:c r="B1784" s="312" t="s">
        <x:v>29</x:v>
      </x:c>
      <x:c r="C1784" s="312" t="s">
        <x:v>22</x:v>
      </x:c>
      <x:c r="D1784" s="317">
        <x:v>2</x:v>
      </x:c>
      <x:c r="E1784" s="321">
        <x:v>2180</x:v>
      </x:c>
      <x:c r="F1784" s="321">
        <x:v>4360</x:v>
      </x:c>
      <x:c r="G1784" s="321">
        <x:v>1360</x:v>
      </x:c>
      <x:c r="H1784" s="312" t="s">
        <x:v>61</x:v>
      </x:c>
      <x:c r="I1784" s="312" t="s">
        <x:v>44</x:v>
      </x:c>
      <x:c r="J1784" s="316" t="n">
        <x:f>IFERROR(G1784/F1784,0)</x:f>
        <x:v>0.3119266055045872</x:v>
      </x:c>
      <x:c r="K1784" s="312" t="str">
        <x:f>IF(B1784="Bilinmeyen Personel","Kontrol","OK")</x:f>
        <x:v>OK</x:v>
      </x:c>
    </x:row>
    <x:row r="1785" hidden="1">
      <x:c r="A1785" s="312" t="n">
        <x:f>ROW()-ROW($A$2)+1</x:f>
        <x:v>1784</x:v>
      </x:c>
      <x:c r="B1785" s="312" t="s">
        <x:v>35</x:v>
      </x:c>
      <x:c r="C1785" s="312" t="s">
        <x:v>33</x:v>
      </x:c>
      <x:c r="D1785" s="317">
        <x:v>4</x:v>
      </x:c>
      <x:c r="E1785" s="321">
        <x:v>1800</x:v>
      </x:c>
      <x:c r="F1785" s="321">
        <x:v>7200</x:v>
      </x:c>
      <x:c r="G1785" s="321">
        <x:v>4000</x:v>
      </x:c>
      <x:c r="H1785" s="312" t="s">
        <x:v>61</x:v>
      </x:c>
      <x:c r="I1785" s="312" t="s">
        <x:v>42</x:v>
      </x:c>
      <x:c r="J1785" s="316" t="n">
        <x:f>IFERROR(G1785/F1785,0)</x:f>
        <x:v>0.5555555555555556</x:v>
      </x:c>
      <x:c r="K1785" s="312" t="str">
        <x:f>IF(B1785="Bilinmeyen Personel","Kontrol","OK")</x:f>
        <x:v>OK</x:v>
      </x:c>
    </x:row>
    <x:row r="1786" hidden="1">
      <x:c r="A1786" s="312" t="n">
        <x:f>ROW()-ROW($A$2)+1</x:f>
        <x:v>1785</x:v>
      </x:c>
      <x:c r="B1786" s="312" t="s">
        <x:v>23</x:v>
      </x:c>
      <x:c r="C1786" s="312" t="s">
        <x:v>36</x:v>
      </x:c>
      <x:c r="D1786" s="317">
        <x:v>5</x:v>
      </x:c>
      <x:c r="E1786" s="321">
        <x:v>8000</x:v>
      </x:c>
      <x:c r="F1786" s="321">
        <x:v>40000</x:v>
      </x:c>
      <x:c r="G1786" s="321">
        <x:v>10000</x:v>
      </x:c>
      <x:c r="H1786" s="312" t="s">
        <x:v>61</x:v>
      </x:c>
      <x:c r="I1786" s="312" t="s">
        <x:v>44</x:v>
      </x:c>
      <x:c r="J1786" s="316" t="n">
        <x:f>IFERROR(G1786/F1786,0)</x:f>
        <x:v>0.25</x:v>
      </x:c>
      <x:c r="K1786" s="312" t="str">
        <x:f>IF(B1786="Bilinmeyen Personel","Kontrol","OK")</x:f>
        <x:v>OK</x:v>
      </x:c>
    </x:row>
    <x:row r="1787" hidden="1">
      <x:c r="A1787" s="312" t="n">
        <x:f>ROW()-ROW($A$2)+1</x:f>
        <x:v>1786</x:v>
      </x:c>
      <x:c r="B1787" s="312" t="s">
        <x:v>29</x:v>
      </x:c>
      <x:c r="C1787" s="312" t="s">
        <x:v>14</x:v>
      </x:c>
      <x:c r="D1787" s="317">
        <x:v>5</x:v>
      </x:c>
      <x:c r="E1787" s="321">
        <x:v>1400</x:v>
      </x:c>
      <x:c r="F1787" s="321">
        <x:v>7000</x:v>
      </x:c>
      <x:c r="G1787" s="321">
        <x:v>3000</x:v>
      </x:c>
      <x:c r="H1787" s="312" t="s">
        <x:v>61</x:v>
      </x:c>
      <x:c r="I1787" s="312" t="s">
        <x:v>15</x:v>
      </x:c>
      <x:c r="J1787" s="316" t="n">
        <x:f>IFERROR(G1787/F1787,0)</x:f>
        <x:v>0.42857142857142855</x:v>
      </x:c>
      <x:c r="K1787" s="312" t="str">
        <x:f>IF(B1787="Bilinmeyen Personel","Kontrol","OK")</x:f>
        <x:v>OK</x:v>
      </x:c>
    </x:row>
    <x:row r="1788" hidden="1">
      <x:c r="A1788" s="312" t="n">
        <x:f>ROW()-ROW($A$2)+1</x:f>
        <x:v>1787</x:v>
      </x:c>
      <x:c r="B1788" s="312" t="s">
        <x:v>38</x:v>
      </x:c>
      <x:c r="C1788" s="312" t="s">
        <x:v>39</x:v>
      </x:c>
      <x:c r="D1788" s="317">
        <x:v>2</x:v>
      </x:c>
      <x:c r="E1788" s="321">
        <x:v>10590</x:v>
      </x:c>
      <x:c r="F1788" s="321">
        <x:v>21180</x:v>
      </x:c>
      <x:c r="G1788" s="321">
        <x:v>9180</x:v>
      </x:c>
      <x:c r="H1788" s="312" t="s">
        <x:v>61</x:v>
      </x:c>
      <x:c r="I1788" s="312" t="s">
        <x:v>28</x:v>
      </x:c>
      <x:c r="J1788" s="316" t="n">
        <x:f>IFERROR(G1788/F1788,0)</x:f>
        <x:v>0.43342776203966005</x:v>
      </x:c>
      <x:c r="K1788" s="312" t="str">
        <x:f>IF(B1788="Bilinmeyen Personel","Kontrol","OK")</x:f>
        <x:v>OK</x:v>
      </x:c>
    </x:row>
    <x:row r="1789" hidden="1">
      <x:c r="A1789" s="312" t="n">
        <x:f>ROW()-ROW($A$2)+1</x:f>
        <x:v>1788</x:v>
      </x:c>
      <x:c r="B1789" s="312" t="s">
        <x:v>40</x:v>
      </x:c>
      <x:c r="C1789" s="312" t="s">
        <x:v>20</x:v>
      </x:c>
      <x:c r="D1789" s="317">
        <x:v>4</x:v>
      </x:c>
      <x:c r="E1789" s="321">
        <x:v>1350</x:v>
      </x:c>
      <x:c r="F1789" s="321">
        <x:v>5400</x:v>
      </x:c>
      <x:c r="G1789" s="321">
        <x:v>2200</x:v>
      </x:c>
      <x:c r="H1789" s="312" t="s">
        <x:v>61</x:v>
      </x:c>
      <x:c r="I1789" s="312" t="s">
        <x:v>15</x:v>
      </x:c>
      <x:c r="J1789" s="316" t="n">
        <x:f>IFERROR(G1789/F1789,0)</x:f>
        <x:v>0.4074074074074074</x:v>
      </x:c>
      <x:c r="K1789" s="312" t="str">
        <x:f>IF(B1789="Bilinmeyen Personel","Kontrol","OK")</x:f>
        <x:v>OK</x:v>
      </x:c>
    </x:row>
    <x:row r="1790" hidden="1">
      <x:c r="A1790" s="312" t="n">
        <x:f>ROW()-ROW($A$2)+1</x:f>
        <x:v>1789</x:v>
      </x:c>
      <x:c r="B1790" s="312" t="s">
        <x:v>32</x:v>
      </x:c>
      <x:c r="C1790" s="312" t="s">
        <x:v>14</x:v>
      </x:c>
      <x:c r="D1790" s="317">
        <x:v>3</x:v>
      </x:c>
      <x:c r="E1790" s="321">
        <x:v>1400</x:v>
      </x:c>
      <x:c r="F1790" s="321">
        <x:v>4200</x:v>
      </x:c>
      <x:c r="G1790" s="321">
        <x:v>1800</x:v>
      </x:c>
      <x:c r="H1790" s="312" t="s">
        <x:v>61</x:v>
      </x:c>
      <x:c r="I1790" s="312" t="s">
        <x:v>37</x:v>
      </x:c>
      <x:c r="J1790" s="316" t="n">
        <x:f>IFERROR(G1790/F1790,0)</x:f>
        <x:v>0.42857142857142855</x:v>
      </x:c>
      <x:c r="K1790" s="312" t="str">
        <x:f>IF(B1790="Bilinmeyen Personel","Kontrol","OK")</x:f>
        <x:v>OK</x:v>
      </x:c>
    </x:row>
    <x:row r="1791" hidden="1">
      <x:c r="A1791" s="312" t="n">
        <x:f>ROW()-ROW($A$2)+1</x:f>
        <x:v>1790</x:v>
      </x:c>
      <x:c r="B1791" s="312" t="s">
        <x:v>19</x:v>
      </x:c>
      <x:c r="C1791" s="312" t="s">
        <x:v>10</x:v>
      </x:c>
      <x:c r="D1791" s="317">
        <x:v>4</x:v>
      </x:c>
      <x:c r="E1791" s="321">
        <x:v>6000</x:v>
      </x:c>
      <x:c r="F1791" s="321">
        <x:v>24000</x:v>
      </x:c>
      <x:c r="G1791" s="321">
        <x:v>8000</x:v>
      </x:c>
      <x:c r="H1791" s="312" t="s">
        <x:v>61</x:v>
      </x:c>
      <x:c r="I1791" s="312" t="s">
        <x:v>12</x:v>
      </x:c>
      <x:c r="J1791" s="316" t="n">
        <x:f>IFERROR(G1791/F1791,0)</x:f>
        <x:v>0.3333333333333333</x:v>
      </x:c>
      <x:c r="K1791" s="312" t="str">
        <x:f>IF(B1791="Bilinmeyen Personel","Kontrol","OK")</x:f>
        <x:v>OK</x:v>
      </x:c>
    </x:row>
    <x:row r="1792" hidden="1">
      <x:c r="A1792" s="312" t="n">
        <x:f>ROW()-ROW($A$2)+1</x:f>
        <x:v>1791</x:v>
      </x:c>
      <x:c r="B1792" s="312" t="s">
        <x:v>38</x:v>
      </x:c>
      <x:c r="C1792" s="312" t="s">
        <x:v>27</x:v>
      </x:c>
      <x:c r="D1792" s="317">
        <x:v>2</x:v>
      </x:c>
      <x:c r="E1792" s="321">
        <x:v>1100</x:v>
      </x:c>
      <x:c r="F1792" s="321">
        <x:v>2200</x:v>
      </x:c>
      <x:c r="G1792" s="321">
        <x:v>600</x:v>
      </x:c>
      <x:c r="H1792" s="312" t="s">
        <x:v>61</x:v>
      </x:c>
      <x:c r="I1792" s="312" t="s">
        <x:v>54</x:v>
      </x:c>
      <x:c r="J1792" s="316" t="n">
        <x:f>IFERROR(G1792/F1792,0)</x:f>
        <x:v>0.2727272727272727</x:v>
      </x:c>
      <x:c r="K1792" s="312" t="str">
        <x:f>IF(B1792="Bilinmeyen Personel","Kontrol","OK")</x:f>
        <x:v>OK</x:v>
      </x:c>
    </x:row>
    <x:row r="1793" hidden="1">
      <x:c r="A1793" s="312" t="n">
        <x:f>ROW()-ROW($A$2)+1</x:f>
        <x:v>1792</x:v>
      </x:c>
      <x:c r="B1793" s="312" t="s">
        <x:v>16</x:v>
      </x:c>
      <x:c r="C1793" s="312" t="s">
        <x:v>10</x:v>
      </x:c>
      <x:c r="D1793" s="317">
        <x:v>2</x:v>
      </x:c>
      <x:c r="E1793" s="321">
        <x:v>6000</x:v>
      </x:c>
      <x:c r="F1793" s="321">
        <x:v>12000</x:v>
      </x:c>
      <x:c r="G1793" s="321">
        <x:v>4000</x:v>
      </x:c>
      <x:c r="H1793" s="312" t="s">
        <x:v>61</x:v>
      </x:c>
      <x:c r="I1793" s="312" t="s">
        <x:v>31</x:v>
      </x:c>
      <x:c r="J1793" s="316" t="n">
        <x:f>IFERROR(G1793/F1793,0)</x:f>
        <x:v>0.3333333333333333</x:v>
      </x:c>
      <x:c r="K1793" s="312" t="str">
        <x:f>IF(B1793="Bilinmeyen Personel","Kontrol","OK")</x:f>
        <x:v>OK</x:v>
      </x:c>
    </x:row>
    <x:row r="1794" hidden="1">
      <x:c r="A1794" s="312" t="n">
        <x:f>ROW()-ROW($A$2)+1</x:f>
        <x:v>1793</x:v>
      </x:c>
      <x:c r="B1794" s="312" t="s">
        <x:v>40</x:v>
      </x:c>
      <x:c r="C1794" s="312" t="s">
        <x:v>43</x:v>
      </x:c>
      <x:c r="D1794" s="317">
        <x:v>4</x:v>
      </x:c>
      <x:c r="E1794" s="321">
        <x:v>1490</x:v>
      </x:c>
      <x:c r="F1794" s="321">
        <x:v>5960</x:v>
      </x:c>
      <x:c r="G1794" s="321">
        <x:v>2760</x:v>
      </x:c>
      <x:c r="H1794" s="312" t="s">
        <x:v>61</x:v>
      </x:c>
      <x:c r="I1794" s="312" t="s">
        <x:v>31</x:v>
      </x:c>
      <x:c r="J1794" s="316" t="n">
        <x:f>IFERROR(G1794/F1794,0)</x:f>
        <x:v>0.46308724832214765</x:v>
      </x:c>
      <x:c r="K1794" s="312" t="str">
        <x:f>IF(B1794="Bilinmeyen Personel","Kontrol","OK")</x:f>
        <x:v>OK</x:v>
      </x:c>
    </x:row>
    <x:row r="1795" hidden="1">
      <x:c r="A1795" s="312" t="n">
        <x:f>ROW()-ROW($A$2)+1</x:f>
        <x:v>1794</x:v>
      </x:c>
      <x:c r="B1795" s="312" t="s">
        <x:v>38</x:v>
      </x:c>
      <x:c r="C1795" s="312" t="s">
        <x:v>39</x:v>
      </x:c>
      <x:c r="D1795" s="317">
        <x:v>4</x:v>
      </x:c>
      <x:c r="E1795" s="321">
        <x:v>10590</x:v>
      </x:c>
      <x:c r="F1795" s="321">
        <x:v>42360</x:v>
      </x:c>
      <x:c r="G1795" s="321">
        <x:v>18360</x:v>
      </x:c>
      <x:c r="H1795" s="312" t="s">
        <x:v>61</x:v>
      </x:c>
      <x:c r="I1795" s="312" t="s">
        <x:v>28</x:v>
      </x:c>
      <x:c r="J1795" s="316" t="n">
        <x:f>IFERROR(G1795/F1795,0)</x:f>
        <x:v>0.43342776203966005</x:v>
      </x:c>
      <x:c r="K1795" s="312" t="str">
        <x:f>IF(B1795="Bilinmeyen Personel","Kontrol","OK")</x:f>
        <x:v>OK</x:v>
      </x:c>
    </x:row>
    <x:row r="1796" hidden="1">
      <x:c r="A1796" s="312" t="n">
        <x:f>ROW()-ROW($A$2)+1</x:f>
        <x:v>1795</x:v>
      </x:c>
      <x:c r="B1796" s="312" t="s">
        <x:v>16</x:v>
      </x:c>
      <x:c r="C1796" s="312" t="s">
        <x:v>36</x:v>
      </x:c>
      <x:c r="D1796" s="317">
        <x:v>2</x:v>
      </x:c>
      <x:c r="E1796" s="321">
        <x:v>8000</x:v>
      </x:c>
      <x:c r="F1796" s="321">
        <x:v>16000</x:v>
      </x:c>
      <x:c r="G1796" s="321">
        <x:v>4000</x:v>
      </x:c>
      <x:c r="H1796" s="312" t="s">
        <x:v>61</x:v>
      </x:c>
      <x:c r="I1796" s="312" t="s">
        <x:v>41</x:v>
      </x:c>
      <x:c r="J1796" s="316" t="n">
        <x:f>IFERROR(G1796/F1796,0)</x:f>
        <x:v>0.25</x:v>
      </x:c>
      <x:c r="K1796" s="312" t="str">
        <x:f>IF(B1796="Bilinmeyen Personel","Kontrol","OK")</x:f>
        <x:v>OK</x:v>
      </x:c>
    </x:row>
    <x:row r="1797" hidden="1">
      <x:c r="A1797" s="312" t="n">
        <x:f>ROW()-ROW($A$2)+1</x:f>
        <x:v>1796</x:v>
      </x:c>
      <x:c r="B1797" s="312" t="s">
        <x:v>32</x:v>
      </x:c>
      <x:c r="C1797" s="312" t="s">
        <x:v>27</x:v>
      </x:c>
      <x:c r="D1797" s="317">
        <x:v>3</x:v>
      </x:c>
      <x:c r="E1797" s="321">
        <x:v>1100</x:v>
      </x:c>
      <x:c r="F1797" s="321">
        <x:v>3300</x:v>
      </x:c>
      <x:c r="G1797" s="321">
        <x:v>900</x:v>
      </x:c>
      <x:c r="H1797" s="312" t="s">
        <x:v>61</x:v>
      </x:c>
      <x:c r="I1797" s="312" t="s">
        <x:v>15</x:v>
      </x:c>
      <x:c r="J1797" s="316" t="n">
        <x:f>IFERROR(G1797/F1797,0)</x:f>
        <x:v>0.2727272727272727</x:v>
      </x:c>
      <x:c r="K1797" s="312" t="str">
        <x:f>IF(B1797="Bilinmeyen Personel","Kontrol","OK")</x:f>
        <x:v>OK</x:v>
      </x:c>
    </x:row>
    <x:row r="1798" hidden="1">
      <x:c r="A1798" s="312" t="n">
        <x:f>ROW()-ROW($A$2)+1</x:f>
        <x:v>1797</x:v>
      </x:c>
      <x:c r="B1798" s="312" t="s">
        <x:v>40</x:v>
      </x:c>
      <x:c r="C1798" s="312" t="s">
        <x:v>30</x:v>
      </x:c>
      <x:c r="D1798" s="317">
        <x:v>3</x:v>
      </x:c>
      <x:c r="E1798" s="321">
        <x:v>1200</x:v>
      </x:c>
      <x:c r="F1798" s="321">
        <x:v>3600</x:v>
      </x:c>
      <x:c r="G1798" s="321">
        <x:v>1200</x:v>
      </x:c>
      <x:c r="H1798" s="312" t="s">
        <x:v>61</x:v>
      </x:c>
      <x:c r="I1798" s="312" t="s">
        <x:v>37</x:v>
      </x:c>
      <x:c r="J1798" s="316" t="n">
        <x:f>IFERROR(G1798/F1798,0)</x:f>
        <x:v>0.3333333333333333</x:v>
      </x:c>
      <x:c r="K1798" s="312" t="str">
        <x:f>IF(B1798="Bilinmeyen Personel","Kontrol","OK")</x:f>
        <x:v>OK</x:v>
      </x:c>
    </x:row>
    <x:row r="1799" hidden="1">
      <x:c r="A1799" s="312" t="n">
        <x:f>ROW()-ROW($A$2)+1</x:f>
        <x:v>1798</x:v>
      </x:c>
      <x:c r="B1799" s="312" t="s">
        <x:v>23</x:v>
      </x:c>
      <x:c r="C1799" s="312" t="s">
        <x:v>45</x:v>
      </x:c>
      <x:c r="D1799" s="317">
        <x:v>3</x:v>
      </x:c>
      <x:c r="E1799" s="321">
        <x:v>4200</x:v>
      </x:c>
      <x:c r="F1799" s="321">
        <x:v>12600</x:v>
      </x:c>
      <x:c r="G1799" s="321">
        <x:v>3600</x:v>
      </x:c>
      <x:c r="H1799" s="312" t="s">
        <x:v>61</x:v>
      </x:c>
      <x:c r="I1799" s="312" t="s">
        <x:v>44</x:v>
      </x:c>
      <x:c r="J1799" s="316" t="n">
        <x:f>IFERROR(G1799/F1799,0)</x:f>
        <x:v>0.2857142857142857</x:v>
      </x:c>
      <x:c r="K1799" s="312" t="str">
        <x:f>IF(B1799="Bilinmeyen Personel","Kontrol","OK")</x:f>
        <x:v>OK</x:v>
      </x:c>
    </x:row>
    <x:row r="1800" hidden="1">
      <x:c r="A1800" s="312" t="n">
        <x:f>ROW()-ROW($A$2)+1</x:f>
        <x:v>1799</x:v>
      </x:c>
      <x:c r="B1800" s="312" t="s">
        <x:v>13</x:v>
      </x:c>
      <x:c r="C1800" s="312" t="s">
        <x:v>47</x:v>
      </x:c>
      <x:c r="D1800" s="317">
        <x:v>5</x:v>
      </x:c>
      <x:c r="E1800" s="321">
        <x:v>5775</x:v>
      </x:c>
      <x:c r="F1800" s="321">
        <x:v>28875</x:v>
      </x:c>
      <x:c r="G1800" s="321">
        <x:v>8875</x:v>
      </x:c>
      <x:c r="H1800" s="312" t="s">
        <x:v>61</x:v>
      </x:c>
      <x:c r="I1800" s="312" t="s">
        <x:v>41</x:v>
      </x:c>
      <x:c r="J1800" s="316" t="n">
        <x:f>IFERROR(G1800/F1800,0)</x:f>
        <x:v>0.30735930735930733</x:v>
      </x:c>
      <x:c r="K1800" s="312" t="str">
        <x:f>IF(B1800="Bilinmeyen Personel","Kontrol","OK")</x:f>
        <x:v>OK</x:v>
      </x:c>
    </x:row>
    <x:row r="1801" hidden="1">
      <x:c r="A1801" s="312" t="n">
        <x:f>ROW()-ROW($A$2)+1</x:f>
        <x:v>1800</x:v>
      </x:c>
      <x:c r="B1801" s="312" t="s">
        <x:v>48</x:v>
      </x:c>
      <x:c r="C1801" s="312" t="s">
        <x:v>24</x:v>
      </x:c>
      <x:c r="D1801" s="317">
        <x:v>4</x:v>
      </x:c>
      <x:c r="E1801" s="321">
        <x:v>7600</x:v>
      </x:c>
      <x:c r="F1801" s="321">
        <x:v>30400</x:v>
      </x:c>
      <x:c r="G1801" s="321">
        <x:v>6400</x:v>
      </x:c>
      <x:c r="H1801" s="312" t="s">
        <x:v>61</x:v>
      </x:c>
      <x:c r="I1801" s="312" t="s">
        <x:v>25</x:v>
      </x:c>
      <x:c r="J1801" s="316" t="n">
        <x:f>IFERROR(G1801/F1801,0)</x:f>
        <x:v>0.21052631578947367</x:v>
      </x:c>
      <x:c r="K1801" s="312" t="str">
        <x:f>IF(B1801="Bilinmeyen Personel","Kontrol","OK")</x:f>
        <x:v>OK</x:v>
      </x:c>
    </x:row>
    <x:row r="1802" hidden="1">
      <x:c r="A1802" s="312" t="n">
        <x:f>ROW()-ROW($A$2)+1</x:f>
        <x:v>1801</x:v>
      </x:c>
      <x:c r="B1802" s="312" t="s">
        <x:v>13</x:v>
      </x:c>
      <x:c r="C1802" s="312" t="s">
        <x:v>26</x:v>
      </x:c>
      <x:c r="D1802" s="317">
        <x:v>2</x:v>
      </x:c>
      <x:c r="E1802" s="321">
        <x:v>7250</x:v>
      </x:c>
      <x:c r="F1802" s="321">
        <x:v>14500</x:v>
      </x:c>
      <x:c r="G1802" s="321">
        <x:v>4500</x:v>
      </x:c>
      <x:c r="H1802" s="312" t="s">
        <x:v>61</x:v>
      </x:c>
      <x:c r="I1802" s="312" t="s">
        <x:v>15</x:v>
      </x:c>
      <x:c r="J1802" s="316" t="n">
        <x:f>IFERROR(G1802/F1802,0)</x:f>
        <x:v>0.3103448275862069</x:v>
      </x:c>
      <x:c r="K1802" s="312" t="str">
        <x:f>IF(B1802="Bilinmeyen Personel","Kontrol","OK")</x:f>
        <x:v>OK</x:v>
      </x:c>
    </x:row>
    <x:row r="1803" hidden="1">
      <x:c r="A1803" s="312" t="n">
        <x:f>ROW()-ROW($A$2)+1</x:f>
        <x:v>1802</x:v>
      </x:c>
      <x:c r="B1803" s="312" t="s">
        <x:v>9</x:v>
      </x:c>
      <x:c r="C1803" s="312" t="s">
        <x:v>26</x:v>
      </x:c>
      <x:c r="D1803" s="317">
        <x:v>2</x:v>
      </x:c>
      <x:c r="E1803" s="321">
        <x:v>7250</x:v>
      </x:c>
      <x:c r="F1803" s="321">
        <x:v>14500</x:v>
      </x:c>
      <x:c r="G1803" s="321">
        <x:v>4500</x:v>
      </x:c>
      <x:c r="H1803" s="312" t="s">
        <x:v>61</x:v>
      </x:c>
      <x:c r="I1803" s="312" t="s">
        <x:v>18</x:v>
      </x:c>
      <x:c r="J1803" s="316" t="n">
        <x:f>IFERROR(G1803/F1803,0)</x:f>
        <x:v>0.3103448275862069</x:v>
      </x:c>
      <x:c r="K1803" s="312" t="str">
        <x:f>IF(B1803="Bilinmeyen Personel","Kontrol","OK")</x:f>
        <x:v>OK</x:v>
      </x:c>
    </x:row>
    <x:row r="1804" hidden="1">
      <x:c r="A1804" s="312" t="n">
        <x:f>ROW()-ROW($A$2)+1</x:f>
        <x:v>1803</x:v>
      </x:c>
      <x:c r="B1804" s="312" t="s">
        <x:v>38</x:v>
      </x:c>
      <x:c r="C1804" s="312" t="s">
        <x:v>26</x:v>
      </x:c>
      <x:c r="D1804" s="317">
        <x:v>2</x:v>
      </x:c>
      <x:c r="E1804" s="321">
        <x:v>7250</x:v>
      </x:c>
      <x:c r="F1804" s="321">
        <x:v>14500</x:v>
      </x:c>
      <x:c r="G1804" s="321">
        <x:v>4500</x:v>
      </x:c>
      <x:c r="H1804" s="312" t="s">
        <x:v>61</x:v>
      </x:c>
      <x:c r="I1804" s="312" t="s">
        <x:v>42</x:v>
      </x:c>
      <x:c r="J1804" s="316" t="n">
        <x:f>IFERROR(G1804/F1804,0)</x:f>
        <x:v>0.3103448275862069</x:v>
      </x:c>
      <x:c r="K1804" s="312" t="str">
        <x:f>IF(B1804="Bilinmeyen Personel","Kontrol","OK")</x:f>
        <x:v>OK</x:v>
      </x:c>
    </x:row>
    <x:row r="1805" hidden="1">
      <x:c r="A1805" s="312" t="n">
        <x:f>ROW()-ROW($A$2)+1</x:f>
        <x:v>1804</x:v>
      </x:c>
      <x:c r="B1805" s="312" t="s">
        <x:v>29</x:v>
      </x:c>
      <x:c r="C1805" s="312" t="s">
        <x:v>20</x:v>
      </x:c>
      <x:c r="D1805" s="317">
        <x:v>5</x:v>
      </x:c>
      <x:c r="E1805" s="321">
        <x:v>1350</x:v>
      </x:c>
      <x:c r="F1805" s="321">
        <x:v>6750</x:v>
      </x:c>
      <x:c r="G1805" s="321">
        <x:v>2750</x:v>
      </x:c>
      <x:c r="H1805" s="312" t="s">
        <x:v>61</x:v>
      </x:c>
      <x:c r="I1805" s="312" t="s">
        <x:v>21</x:v>
      </x:c>
      <x:c r="J1805" s="316" t="n">
        <x:f>IFERROR(G1805/F1805,0)</x:f>
        <x:v>0.4074074074074074</x:v>
      </x:c>
      <x:c r="K1805" s="312" t="str">
        <x:f>IF(B1805="Bilinmeyen Personel","Kontrol","OK")</x:f>
        <x:v>OK</x:v>
      </x:c>
    </x:row>
    <x:row r="1806" hidden="1">
      <x:c r="A1806" s="312" t="n">
        <x:f>ROW()-ROW($A$2)+1</x:f>
        <x:v>1805</x:v>
      </x:c>
      <x:c r="B1806" s="312" t="s">
        <x:v>13</x:v>
      </x:c>
      <x:c r="C1806" s="312" t="s">
        <x:v>26</x:v>
      </x:c>
      <x:c r="D1806" s="317">
        <x:v>4</x:v>
      </x:c>
      <x:c r="E1806" s="321">
        <x:v>7250</x:v>
      </x:c>
      <x:c r="F1806" s="321">
        <x:v>29000</x:v>
      </x:c>
      <x:c r="G1806" s="321">
        <x:v>9000</x:v>
      </x:c>
      <x:c r="H1806" s="312" t="s">
        <x:v>61</x:v>
      </x:c>
      <x:c r="I1806" s="312" t="s">
        <x:v>44</x:v>
      </x:c>
      <x:c r="J1806" s="316" t="n">
        <x:f>IFERROR(G1806/F1806,0)</x:f>
        <x:v>0.3103448275862069</x:v>
      </x:c>
      <x:c r="K1806" s="312" t="str">
        <x:f>IF(B1806="Bilinmeyen Personel","Kontrol","OK")</x:f>
        <x:v>OK</x:v>
      </x:c>
    </x:row>
    <x:row r="1807" hidden="1">
      <x:c r="A1807" s="312" t="n">
        <x:f>ROW()-ROW($A$2)+1</x:f>
        <x:v>1806</x:v>
      </x:c>
      <x:c r="B1807" s="312" t="s">
        <x:v>32</x:v>
      </x:c>
      <x:c r="C1807" s="312" t="s">
        <x:v>24</x:v>
      </x:c>
      <x:c r="D1807" s="317">
        <x:v>3</x:v>
      </x:c>
      <x:c r="E1807" s="321">
        <x:v>7600</x:v>
      </x:c>
      <x:c r="F1807" s="321">
        <x:v>22800</x:v>
      </x:c>
      <x:c r="G1807" s="321">
        <x:v>4800</x:v>
      </x:c>
      <x:c r="H1807" s="312" t="s">
        <x:v>61</x:v>
      </x:c>
      <x:c r="I1807" s="312" t="s">
        <x:v>44</x:v>
      </x:c>
      <x:c r="J1807" s="316" t="n">
        <x:f>IFERROR(G1807/F1807,0)</x:f>
        <x:v>0.21052631578947367</x:v>
      </x:c>
      <x:c r="K1807" s="312" t="str">
        <x:f>IF(B1807="Bilinmeyen Personel","Kontrol","OK")</x:f>
        <x:v>OK</x:v>
      </x:c>
    </x:row>
    <x:row r="1808" hidden="1">
      <x:c r="A1808" s="312" t="n">
        <x:f>ROW()-ROW($A$2)+1</x:f>
        <x:v>1807</x:v>
      </x:c>
      <x:c r="B1808" s="312" t="s">
        <x:v>50</x:v>
      </x:c>
      <x:c r="C1808" s="312" t="s">
        <x:v>24</x:v>
      </x:c>
      <x:c r="D1808" s="317">
        <x:v>2</x:v>
      </x:c>
      <x:c r="E1808" s="321">
        <x:v>7600</x:v>
      </x:c>
      <x:c r="F1808" s="321">
        <x:v>15200</x:v>
      </x:c>
      <x:c r="G1808" s="321">
        <x:v>3200</x:v>
      </x:c>
      <x:c r="H1808" s="312" t="s">
        <x:v>61</x:v>
      </x:c>
      <x:c r="I1808" s="312" t="s">
        <x:v>31</x:v>
      </x:c>
      <x:c r="J1808" s="316" t="n">
        <x:f>IFERROR(G1808/F1808,0)</x:f>
        <x:v>0.21052631578947367</x:v>
      </x:c>
      <x:c r="K1808" s="312" t="str">
        <x:f>IF(B1808="Bilinmeyen Personel","Kontrol","OK")</x:f>
        <x:v>OK</x:v>
      </x:c>
    </x:row>
    <x:row r="1809" hidden="1">
      <x:c r="A1809" s="312" t="n">
        <x:f>ROW()-ROW($A$2)+1</x:f>
        <x:v>1808</x:v>
      </x:c>
      <x:c r="B1809" s="312" t="s">
        <x:v>13</x:v>
      </x:c>
      <x:c r="C1809" s="312" t="s">
        <x:v>43</x:v>
      </x:c>
      <x:c r="D1809" s="317">
        <x:v>4</x:v>
      </x:c>
      <x:c r="E1809" s="321">
        <x:v>1490</x:v>
      </x:c>
      <x:c r="F1809" s="321">
        <x:v>5960</x:v>
      </x:c>
      <x:c r="G1809" s="321">
        <x:v>2760</x:v>
      </x:c>
      <x:c r="H1809" s="312" t="s">
        <x:v>61</x:v>
      </x:c>
      <x:c r="I1809" s="312" t="s">
        <x:v>28</x:v>
      </x:c>
      <x:c r="J1809" s="316" t="n">
        <x:f>IFERROR(G1809/F1809,0)</x:f>
        <x:v>0.46308724832214765</x:v>
      </x:c>
      <x:c r="K1809" s="312" t="str">
        <x:f>IF(B1809="Bilinmeyen Personel","Kontrol","OK")</x:f>
        <x:v>OK</x:v>
      </x:c>
    </x:row>
    <x:row r="1810" hidden="1">
      <x:c r="A1810" s="312" t="n">
        <x:f>ROW()-ROW($A$2)+1</x:f>
        <x:v>1809</x:v>
      </x:c>
      <x:c r="B1810" s="312" t="s">
        <x:v>29</x:v>
      </x:c>
      <x:c r="C1810" s="312" t="s">
        <x:v>51</x:v>
      </x:c>
      <x:c r="D1810" s="317">
        <x:v>3</x:v>
      </x:c>
      <x:c r="E1810" s="321">
        <x:v>2900</x:v>
      </x:c>
      <x:c r="F1810" s="321">
        <x:v>8700</x:v>
      </x:c>
      <x:c r="G1810" s="321">
        <x:v>2700</x:v>
      </x:c>
      <x:c r="H1810" s="312" t="s">
        <x:v>61</x:v>
      </x:c>
      <x:c r="I1810" s="312" t="s">
        <x:v>21</x:v>
      </x:c>
      <x:c r="J1810" s="316" t="n">
        <x:f>IFERROR(G1810/F1810,0)</x:f>
        <x:v>0.3103448275862069</x:v>
      </x:c>
      <x:c r="K1810" s="312" t="str">
        <x:f>IF(B1810="Bilinmeyen Personel","Kontrol","OK")</x:f>
        <x:v>OK</x:v>
      </x:c>
    </x:row>
    <x:row r="1811" hidden="1">
      <x:c r="A1811" s="312" t="n">
        <x:f>ROW()-ROW($A$2)+1</x:f>
        <x:v>1810</x:v>
      </x:c>
      <x:c r="B1811" s="312" t="s">
        <x:v>40</x:v>
      </x:c>
      <x:c r="C1811" s="312" t="s">
        <x:v>43</x:v>
      </x:c>
      <x:c r="D1811" s="317">
        <x:v>2</x:v>
      </x:c>
      <x:c r="E1811" s="321">
        <x:v>1490</x:v>
      </x:c>
      <x:c r="F1811" s="321">
        <x:v>2980</x:v>
      </x:c>
      <x:c r="G1811" s="321">
        <x:v>1380</x:v>
      </x:c>
      <x:c r="H1811" s="312" t="s">
        <x:v>61</x:v>
      </x:c>
      <x:c r="I1811" s="312" t="s">
        <x:v>31</x:v>
      </x:c>
      <x:c r="J1811" s="316" t="n">
        <x:f>IFERROR(G1811/F1811,0)</x:f>
        <x:v>0.46308724832214765</x:v>
      </x:c>
      <x:c r="K1811" s="312" t="str">
        <x:f>IF(B1811="Bilinmeyen Personel","Kontrol","OK")</x:f>
        <x:v>OK</x:v>
      </x:c>
    </x:row>
    <x:row r="1812" hidden="1">
      <x:c r="A1812" s="312" t="n">
        <x:f>ROW()-ROW($A$2)+1</x:f>
        <x:v>1811</x:v>
      </x:c>
      <x:c r="B1812" s="312" t="s">
        <x:v>40</x:v>
      </x:c>
      <x:c r="C1812" s="312" t="s">
        <x:v>34</x:v>
      </x:c>
      <x:c r="D1812" s="317">
        <x:v>2</x:v>
      </x:c>
      <x:c r="E1812" s="321">
        <x:v>1090</x:v>
      </x:c>
      <x:c r="F1812" s="321">
        <x:v>2180</x:v>
      </x:c>
      <x:c r="G1812" s="321">
        <x:v>580</x:v>
      </x:c>
      <x:c r="H1812" s="312" t="s">
        <x:v>61</x:v>
      </x:c>
      <x:c r="I1812" s="312" t="s">
        <x:v>54</x:v>
      </x:c>
      <x:c r="J1812" s="316" t="n">
        <x:f>IFERROR(G1812/F1812,0)</x:f>
        <x:v>0.26605504587155965</x:v>
      </x:c>
      <x:c r="K1812" s="312" t="str">
        <x:f>IF(B1812="Bilinmeyen Personel","Kontrol","OK")</x:f>
        <x:v>OK</x:v>
      </x:c>
    </x:row>
    <x:row r="1813" hidden="1">
      <x:c r="A1813" s="312" t="n">
        <x:f>ROW()-ROW($A$2)+1</x:f>
        <x:v>1812</x:v>
      </x:c>
      <x:c r="B1813" s="312" t="s">
        <x:v>29</x:v>
      </x:c>
      <x:c r="C1813" s="312" t="s">
        <x:v>30</x:v>
      </x:c>
      <x:c r="D1813" s="317">
        <x:v>4</x:v>
      </x:c>
      <x:c r="E1813" s="321">
        <x:v>1200</x:v>
      </x:c>
      <x:c r="F1813" s="321">
        <x:v>4800</x:v>
      </x:c>
      <x:c r="G1813" s="321">
        <x:v>1600</x:v>
      </x:c>
      <x:c r="H1813" s="312" t="s">
        <x:v>61</x:v>
      </x:c>
      <x:c r="I1813" s="312" t="s">
        <x:v>25</x:v>
      </x:c>
      <x:c r="J1813" s="316" t="n">
        <x:f>IFERROR(G1813/F1813,0)</x:f>
        <x:v>0.3333333333333333</x:v>
      </x:c>
      <x:c r="K1813" s="312" t="str">
        <x:f>IF(B1813="Bilinmeyen Personel","Kontrol","OK")</x:f>
        <x:v>OK</x:v>
      </x:c>
    </x:row>
    <x:row r="1814" hidden="1">
      <x:c r="A1814" s="312" t="n">
        <x:f>ROW()-ROW($A$2)+1</x:f>
        <x:v>1813</x:v>
      </x:c>
      <x:c r="B1814" s="312" t="s">
        <x:v>38</x:v>
      </x:c>
      <x:c r="C1814" s="312" t="s">
        <x:v>39</x:v>
      </x:c>
      <x:c r="D1814" s="317">
        <x:v>2</x:v>
      </x:c>
      <x:c r="E1814" s="321">
        <x:v>10590</x:v>
      </x:c>
      <x:c r="F1814" s="321">
        <x:v>21180</x:v>
      </x:c>
      <x:c r="G1814" s="321">
        <x:v>9180</x:v>
      </x:c>
      <x:c r="H1814" s="312" t="s">
        <x:v>61</x:v>
      </x:c>
      <x:c r="I1814" s="312" t="s">
        <x:v>46</x:v>
      </x:c>
      <x:c r="J1814" s="316" t="n">
        <x:f>IFERROR(G1814/F1814,0)</x:f>
        <x:v>0.43342776203966005</x:v>
      </x:c>
      <x:c r="K1814" s="312" t="str">
        <x:f>IF(B1814="Bilinmeyen Personel","Kontrol","OK")</x:f>
        <x:v>OK</x:v>
      </x:c>
    </x:row>
    <x:row r="1815" hidden="1">
      <x:c r="A1815" s="312" t="n">
        <x:f>ROW()-ROW($A$2)+1</x:f>
        <x:v>1814</x:v>
      </x:c>
      <x:c r="B1815" s="312" t="s">
        <x:v>32</x:v>
      </x:c>
      <x:c r="C1815" s="312" t="s">
        <x:v>45</x:v>
      </x:c>
      <x:c r="D1815" s="317">
        <x:v>5</x:v>
      </x:c>
      <x:c r="E1815" s="321">
        <x:v>4200</x:v>
      </x:c>
      <x:c r="F1815" s="321">
        <x:v>21000</x:v>
      </x:c>
      <x:c r="G1815" s="321">
        <x:v>6000</x:v>
      </x:c>
      <x:c r="H1815" s="312" t="s">
        <x:v>61</x:v>
      </x:c>
      <x:c r="I1815" s="312" t="s">
        <x:v>44</x:v>
      </x:c>
      <x:c r="J1815" s="316" t="n">
        <x:f>IFERROR(G1815/F1815,0)</x:f>
        <x:v>0.2857142857142857</x:v>
      </x:c>
      <x:c r="K1815" s="312" t="str">
        <x:f>IF(B1815="Bilinmeyen Personel","Kontrol","OK")</x:f>
        <x:v>OK</x:v>
      </x:c>
    </x:row>
    <x:row r="1816" hidden="1">
      <x:c r="A1816" s="312" t="n">
        <x:f>ROW()-ROW($A$2)+1</x:f>
        <x:v>1815</x:v>
      </x:c>
      <x:c r="B1816" s="312" t="s">
        <x:v>19</x:v>
      </x:c>
      <x:c r="C1816" s="312" t="s">
        <x:v>45</x:v>
      </x:c>
      <x:c r="D1816" s="317">
        <x:v>2</x:v>
      </x:c>
      <x:c r="E1816" s="321">
        <x:v>4200</x:v>
      </x:c>
      <x:c r="F1816" s="321">
        <x:v>8400</x:v>
      </x:c>
      <x:c r="G1816" s="321">
        <x:v>2400</x:v>
      </x:c>
      <x:c r="H1816" s="312" t="s">
        <x:v>61</x:v>
      </x:c>
      <x:c r="I1816" s="312" t="s">
        <x:v>41</x:v>
      </x:c>
      <x:c r="J1816" s="316" t="n">
        <x:f>IFERROR(G1816/F1816,0)</x:f>
        <x:v>0.2857142857142857</x:v>
      </x:c>
      <x:c r="K1816" s="312" t="str">
        <x:f>IF(B1816="Bilinmeyen Personel","Kontrol","OK")</x:f>
        <x:v>OK</x:v>
      </x:c>
    </x:row>
    <x:row r="1817" hidden="1">
      <x:c r="A1817" s="312" t="n">
        <x:f>ROW()-ROW($A$2)+1</x:f>
        <x:v>1816</x:v>
      </x:c>
      <x:c r="B1817" s="312" t="s">
        <x:v>35</x:v>
      </x:c>
      <x:c r="C1817" s="312" t="s">
        <x:v>39</x:v>
      </x:c>
      <x:c r="D1817" s="317">
        <x:v>3</x:v>
      </x:c>
      <x:c r="E1817" s="321">
        <x:v>10590</x:v>
      </x:c>
      <x:c r="F1817" s="321">
        <x:v>31770</x:v>
      </x:c>
      <x:c r="G1817" s="321">
        <x:v>13770</x:v>
      </x:c>
      <x:c r="H1817" s="312" t="s">
        <x:v>61</x:v>
      </x:c>
      <x:c r="I1817" s="312" t="s">
        <x:v>18</x:v>
      </x:c>
      <x:c r="J1817" s="316" t="n">
        <x:f>IFERROR(G1817/F1817,0)</x:f>
        <x:v>0.43342776203966005</x:v>
      </x:c>
      <x:c r="K1817" s="312" t="str">
        <x:f>IF(B1817="Bilinmeyen Personel","Kontrol","OK")</x:f>
        <x:v>OK</x:v>
      </x:c>
    </x:row>
    <x:row r="1818" hidden="1">
      <x:c r="A1818" s="312" t="n">
        <x:f>ROW()-ROW($A$2)+1</x:f>
        <x:v>1817</x:v>
      </x:c>
      <x:c r="B1818" s="312" t="s">
        <x:v>50</x:v>
      </x:c>
      <x:c r="C1818" s="312" t="s">
        <x:v>52</x:v>
      </x:c>
      <x:c r="D1818" s="317">
        <x:v>5</x:v>
      </x:c>
      <x:c r="E1818" s="321">
        <x:v>1250</x:v>
      </x:c>
      <x:c r="F1818" s="321">
        <x:v>6250</x:v>
      </x:c>
      <x:c r="G1818" s="321">
        <x:v>2250</x:v>
      </x:c>
      <x:c r="H1818" s="312" t="s">
        <x:v>61</x:v>
      </x:c>
      <x:c r="I1818" s="312" t="s">
        <x:v>28</x:v>
      </x:c>
      <x:c r="J1818" s="316" t="n">
        <x:f>IFERROR(G1818/F1818,0)</x:f>
        <x:v>0.36</x:v>
      </x:c>
      <x:c r="K1818" s="312" t="str">
        <x:f>IF(B1818="Bilinmeyen Personel","Kontrol","OK")</x:f>
        <x:v>OK</x:v>
      </x:c>
    </x:row>
    <x:row r="1819" hidden="1">
      <x:c r="A1819" s="312" t="n">
        <x:f>ROW()-ROW($A$2)+1</x:f>
        <x:v>1818</x:v>
      </x:c>
      <x:c r="B1819" s="312" t="s">
        <x:v>9</x:v>
      </x:c>
      <x:c r="C1819" s="312" t="s">
        <x:v>43</x:v>
      </x:c>
      <x:c r="D1819" s="317">
        <x:v>3</x:v>
      </x:c>
      <x:c r="E1819" s="321">
        <x:v>1490</x:v>
      </x:c>
      <x:c r="F1819" s="321">
        <x:v>4470</x:v>
      </x:c>
      <x:c r="G1819" s="321">
        <x:v>2070</x:v>
      </x:c>
      <x:c r="H1819" s="312" t="s">
        <x:v>61</x:v>
      </x:c>
      <x:c r="I1819" s="312" t="s">
        <x:v>31</x:v>
      </x:c>
      <x:c r="J1819" s="316" t="n">
        <x:f>IFERROR(G1819/F1819,0)</x:f>
        <x:v>0.46308724832214765</x:v>
      </x:c>
      <x:c r="K1819" s="312" t="str">
        <x:f>IF(B1819="Bilinmeyen Personel","Kontrol","OK")</x:f>
        <x:v>OK</x:v>
      </x:c>
    </x:row>
    <x:row r="1820" hidden="1">
      <x:c r="A1820" s="312" t="n">
        <x:f>ROW()-ROW($A$2)+1</x:f>
        <x:v>1819</x:v>
      </x:c>
      <x:c r="B1820" s="312" t="s">
        <x:v>32</x:v>
      </x:c>
      <x:c r="C1820" s="312" t="s">
        <x:v>30</x:v>
      </x:c>
      <x:c r="D1820" s="317">
        <x:v>5</x:v>
      </x:c>
      <x:c r="E1820" s="321">
        <x:v>1200</x:v>
      </x:c>
      <x:c r="F1820" s="321">
        <x:v>6000</x:v>
      </x:c>
      <x:c r="G1820" s="321">
        <x:v>2000</x:v>
      </x:c>
      <x:c r="H1820" s="312" t="s">
        <x:v>61</x:v>
      </x:c>
      <x:c r="I1820" s="312" t="s">
        <x:v>28</x:v>
      </x:c>
      <x:c r="J1820" s="316" t="n">
        <x:f>IFERROR(G1820/F1820,0)</x:f>
        <x:v>0.3333333333333333</x:v>
      </x:c>
      <x:c r="K1820" s="312" t="str">
        <x:f>IF(B1820="Bilinmeyen Personel","Kontrol","OK")</x:f>
        <x:v>OK</x:v>
      </x:c>
    </x:row>
    <x:row r="1821" hidden="1">
      <x:c r="A1821" s="312" t="n">
        <x:f>ROW()-ROW($A$2)+1</x:f>
        <x:v>1820</x:v>
      </x:c>
      <x:c r="B1821" s="312" t="s">
        <x:v>16</x:v>
      </x:c>
      <x:c r="C1821" s="312" t="s">
        <x:v>22</x:v>
      </x:c>
      <x:c r="D1821" s="317">
        <x:v>4</x:v>
      </x:c>
      <x:c r="E1821" s="321">
        <x:v>2180</x:v>
      </x:c>
      <x:c r="F1821" s="321">
        <x:v>8720</x:v>
      </x:c>
      <x:c r="G1821" s="321">
        <x:v>2720</x:v>
      </x:c>
      <x:c r="H1821" s="312" t="s">
        <x:v>61</x:v>
      </x:c>
      <x:c r="I1821" s="312" t="s">
        <x:v>18</x:v>
      </x:c>
      <x:c r="J1821" s="316" t="n">
        <x:f>IFERROR(G1821/F1821,0)</x:f>
        <x:v>0.3119266055045872</x:v>
      </x:c>
      <x:c r="K1821" s="312" t="str">
        <x:f>IF(B1821="Bilinmeyen Personel","Kontrol","OK")</x:f>
        <x:v>OK</x:v>
      </x:c>
    </x:row>
    <x:row r="1822" hidden="1">
      <x:c r="A1822" s="312" t="n">
        <x:f>ROW()-ROW($A$2)+1</x:f>
        <x:v>1821</x:v>
      </x:c>
      <x:c r="B1822" s="312" t="s">
        <x:v>40</x:v>
      </x:c>
      <x:c r="C1822" s="312" t="s">
        <x:v>53</x:v>
      </x:c>
      <x:c r="D1822" s="317">
        <x:v>3</x:v>
      </x:c>
      <x:c r="E1822" s="321">
        <x:v>1200</x:v>
      </x:c>
      <x:c r="F1822" s="321">
        <x:v>3600</x:v>
      </x:c>
      <x:c r="G1822" s="321">
        <x:v>1200</x:v>
      </x:c>
      <x:c r="H1822" s="312" t="s">
        <x:v>61</x:v>
      </x:c>
      <x:c r="I1822" s="312" t="s">
        <x:v>54</x:v>
      </x:c>
      <x:c r="J1822" s="316" t="n">
        <x:f>IFERROR(G1822/F1822,0)</x:f>
        <x:v>0.3333333333333333</x:v>
      </x:c>
      <x:c r="K1822" s="312" t="str">
        <x:f>IF(B1822="Bilinmeyen Personel","Kontrol","OK")</x:f>
        <x:v>OK</x:v>
      </x:c>
    </x:row>
    <x:row r="1823" hidden="1">
      <x:c r="A1823" s="312" t="n">
        <x:f>ROW()-ROW($A$2)+1</x:f>
        <x:v>1822</x:v>
      </x:c>
      <x:c r="B1823" s="312" t="s">
        <x:v>9</x:v>
      </x:c>
      <x:c r="C1823" s="312" t="s">
        <x:v>33</x:v>
      </x:c>
      <x:c r="D1823" s="317">
        <x:v>2</x:v>
      </x:c>
      <x:c r="E1823" s="321">
        <x:v>1800</x:v>
      </x:c>
      <x:c r="F1823" s="321">
        <x:v>3600</x:v>
      </x:c>
      <x:c r="G1823" s="321">
        <x:v>2000</x:v>
      </x:c>
      <x:c r="H1823" s="312" t="s">
        <x:v>61</x:v>
      </x:c>
      <x:c r="I1823" s="312" t="s">
        <x:v>18</x:v>
      </x:c>
      <x:c r="J1823" s="316" t="n">
        <x:f>IFERROR(G1823/F1823,0)</x:f>
        <x:v>0.5555555555555556</x:v>
      </x:c>
      <x:c r="K1823" s="312" t="str">
        <x:f>IF(B1823="Bilinmeyen Personel","Kontrol","OK")</x:f>
        <x:v>OK</x:v>
      </x:c>
    </x:row>
    <x:row r="1824" hidden="1">
      <x:c r="A1824" s="312" t="n">
        <x:f>ROW()-ROW($A$2)+1</x:f>
        <x:v>1823</x:v>
      </x:c>
      <x:c r="B1824" s="312" t="s">
        <x:v>16</x:v>
      </x:c>
      <x:c r="C1824" s="312" t="s">
        <x:v>24</x:v>
      </x:c>
      <x:c r="D1824" s="317">
        <x:v>2</x:v>
      </x:c>
      <x:c r="E1824" s="321">
        <x:v>7600</x:v>
      </x:c>
      <x:c r="F1824" s="321">
        <x:v>15200</x:v>
      </x:c>
      <x:c r="G1824" s="321">
        <x:v>3200</x:v>
      </x:c>
      <x:c r="H1824" s="312" t="s">
        <x:v>61</x:v>
      </x:c>
      <x:c r="I1824" s="312" t="s">
        <x:v>21</x:v>
      </x:c>
      <x:c r="J1824" s="316" t="n">
        <x:f>IFERROR(G1824/F1824,0)</x:f>
        <x:v>0.21052631578947367</x:v>
      </x:c>
      <x:c r="K1824" s="312" t="str">
        <x:f>IF(B1824="Bilinmeyen Personel","Kontrol","OK")</x:f>
        <x:v>OK</x:v>
      </x:c>
    </x:row>
    <x:row r="1825" hidden="1">
      <x:c r="A1825" s="312" t="n">
        <x:f>ROW()-ROW($A$2)+1</x:f>
        <x:v>1824</x:v>
      </x:c>
      <x:c r="B1825" s="312" t="s">
        <x:v>35</x:v>
      </x:c>
      <x:c r="C1825" s="312" t="s">
        <x:v>55</x:v>
      </x:c>
      <x:c r="D1825" s="317">
        <x:v>5</x:v>
      </x:c>
      <x:c r="E1825" s="321">
        <x:v>7530</x:v>
      </x:c>
      <x:c r="F1825" s="321">
        <x:v>37650</x:v>
      </x:c>
      <x:c r="G1825" s="321">
        <x:v>7650</x:v>
      </x:c>
      <x:c r="H1825" s="312" t="s">
        <x:v>61</x:v>
      </x:c>
      <x:c r="I1825" s="312" t="s">
        <x:v>54</x:v>
      </x:c>
      <x:c r="J1825" s="316" t="n">
        <x:f>IFERROR(G1825/F1825,0)</x:f>
        <x:v>0.20318725099601595</x:v>
      </x:c>
      <x:c r="K1825" s="312" t="str">
        <x:f>IF(B1825="Bilinmeyen Personel","Kontrol","OK")</x:f>
        <x:v>OK</x:v>
      </x:c>
    </x:row>
    <x:row r="1826" hidden="1">
      <x:c r="A1826" s="312" t="n">
        <x:f>ROW()-ROW($A$2)+1</x:f>
        <x:v>1825</x:v>
      </x:c>
      <x:c r="B1826" s="312" t="s">
        <x:v>50</x:v>
      </x:c>
      <x:c r="C1826" s="312" t="s">
        <x:v>43</x:v>
      </x:c>
      <x:c r="D1826" s="317">
        <x:v>4</x:v>
      </x:c>
      <x:c r="E1826" s="321">
        <x:v>1490</x:v>
      </x:c>
      <x:c r="F1826" s="321">
        <x:v>5960</x:v>
      </x:c>
      <x:c r="G1826" s="321">
        <x:v>2760</x:v>
      </x:c>
      <x:c r="H1826" s="312" t="s">
        <x:v>61</x:v>
      </x:c>
      <x:c r="I1826" s="312" t="s">
        <x:v>37</x:v>
      </x:c>
      <x:c r="J1826" s="316" t="n">
        <x:f>IFERROR(G1826/F1826,0)</x:f>
        <x:v>0.46308724832214765</x:v>
      </x:c>
      <x:c r="K1826" s="312" t="str">
        <x:f>IF(B1826="Bilinmeyen Personel","Kontrol","OK")</x:f>
        <x:v>OK</x:v>
      </x:c>
    </x:row>
    <x:row r="1827" hidden="1">
      <x:c r="A1827" s="312" t="n">
        <x:f>ROW()-ROW($A$2)+1</x:f>
        <x:v>1826</x:v>
      </x:c>
      <x:c r="B1827" s="312" t="s">
        <x:v>9</x:v>
      </x:c>
      <x:c r="C1827" s="312" t="s">
        <x:v>56</x:v>
      </x:c>
      <x:c r="D1827" s="317">
        <x:v>4</x:v>
      </x:c>
      <x:c r="E1827" s="321">
        <x:v>5300</x:v>
      </x:c>
      <x:c r="F1827" s="321">
        <x:v>21200</x:v>
      </x:c>
      <x:c r="G1827" s="321">
        <x:v>5200</x:v>
      </x:c>
      <x:c r="H1827" s="312" t="s">
        <x:v>61</x:v>
      </x:c>
      <x:c r="I1827" s="312" t="s">
        <x:v>21</x:v>
      </x:c>
      <x:c r="J1827" s="316" t="n">
        <x:f>IFERROR(G1827/F1827,0)</x:f>
        <x:v>0.24528301886792453</x:v>
      </x:c>
      <x:c r="K1827" s="312" t="str">
        <x:f>IF(B1827="Bilinmeyen Personel","Kontrol","OK")</x:f>
        <x:v>OK</x:v>
      </x:c>
    </x:row>
    <x:row r="1828" hidden="1">
      <x:c r="A1828" s="312" t="n">
        <x:f>ROW()-ROW($A$2)+1</x:f>
        <x:v>1827</x:v>
      </x:c>
      <x:c r="B1828" s="312" t="s">
        <x:v>23</x:v>
      </x:c>
      <x:c r="C1828" s="312" t="s">
        <x:v>30</x:v>
      </x:c>
      <x:c r="D1828" s="317">
        <x:v>4</x:v>
      </x:c>
      <x:c r="E1828" s="321">
        <x:v>1200</x:v>
      </x:c>
      <x:c r="F1828" s="321">
        <x:v>4800</x:v>
      </x:c>
      <x:c r="G1828" s="321">
        <x:v>1600</x:v>
      </x:c>
      <x:c r="H1828" s="312" t="s">
        <x:v>61</x:v>
      </x:c>
      <x:c r="I1828" s="312" t="s">
        <x:v>46</x:v>
      </x:c>
      <x:c r="J1828" s="316" t="n">
        <x:f>IFERROR(G1828/F1828,0)</x:f>
        <x:v>0.3333333333333333</x:v>
      </x:c>
      <x:c r="K1828" s="312" t="str">
        <x:f>IF(B1828="Bilinmeyen Personel","Kontrol","OK")</x:f>
        <x:v>OK</x:v>
      </x:c>
    </x:row>
    <x:row r="1829" hidden="1">
      <x:c r="A1829" s="312" t="n">
        <x:f>ROW()-ROW($A$2)+1</x:f>
        <x:v>1828</x:v>
      </x:c>
      <x:c r="B1829" s="312" t="s">
        <x:v>40</x:v>
      </x:c>
      <x:c r="C1829" s="312" t="s">
        <x:v>34</x:v>
      </x:c>
      <x:c r="D1829" s="317">
        <x:v>4</x:v>
      </x:c>
      <x:c r="E1829" s="321">
        <x:v>1090</x:v>
      </x:c>
      <x:c r="F1829" s="321">
        <x:v>4360</x:v>
      </x:c>
      <x:c r="G1829" s="321">
        <x:v>1160</x:v>
      </x:c>
      <x:c r="H1829" s="312" t="s">
        <x:v>61</x:v>
      </x:c>
      <x:c r="I1829" s="312" t="s">
        <x:v>42</x:v>
      </x:c>
      <x:c r="J1829" s="316" t="n">
        <x:f>IFERROR(G1829/F1829,0)</x:f>
        <x:v>0.26605504587155965</x:v>
      </x:c>
      <x:c r="K1829" s="312" t="str">
        <x:f>IF(B1829="Bilinmeyen Personel","Kontrol","OK")</x:f>
        <x:v>OK</x:v>
      </x:c>
    </x:row>
    <x:row r="1830" hidden="1">
      <x:c r="A1830" s="312" t="n">
        <x:f>ROW()-ROW($A$2)+1</x:f>
        <x:v>1829</x:v>
      </x:c>
      <x:c r="B1830" s="312" t="s">
        <x:v>23</x:v>
      </x:c>
      <x:c r="C1830" s="312" t="s">
        <x:v>26</x:v>
      </x:c>
      <x:c r="D1830" s="317">
        <x:v>3</x:v>
      </x:c>
      <x:c r="E1830" s="321">
        <x:v>7250</x:v>
      </x:c>
      <x:c r="F1830" s="321">
        <x:v>21750</x:v>
      </x:c>
      <x:c r="G1830" s="321">
        <x:v>6750</x:v>
      </x:c>
      <x:c r="H1830" s="312" t="s">
        <x:v>61</x:v>
      </x:c>
      <x:c r="I1830" s="312" t="s">
        <x:v>28</x:v>
      </x:c>
      <x:c r="J1830" s="316" t="n">
        <x:f>IFERROR(G1830/F1830,0)</x:f>
        <x:v>0.3103448275862069</x:v>
      </x:c>
      <x:c r="K1830" s="312" t="str">
        <x:f>IF(B1830="Bilinmeyen Personel","Kontrol","OK")</x:f>
        <x:v>OK</x:v>
      </x:c>
    </x:row>
    <x:row r="1831" hidden="1">
      <x:c r="A1831" s="312" t="n">
        <x:f>ROW()-ROW($A$2)+1</x:f>
        <x:v>1830</x:v>
      </x:c>
      <x:c r="B1831" s="312" t="s">
        <x:v>48</x:v>
      </x:c>
      <x:c r="C1831" s="312" t="s">
        <x:v>14</x:v>
      </x:c>
      <x:c r="D1831" s="317">
        <x:v>4</x:v>
      </x:c>
      <x:c r="E1831" s="321">
        <x:v>1400</x:v>
      </x:c>
      <x:c r="F1831" s="321">
        <x:v>5600</x:v>
      </x:c>
      <x:c r="G1831" s="321">
        <x:v>2400</x:v>
      </x:c>
      <x:c r="H1831" s="312" t="s">
        <x:v>61</x:v>
      </x:c>
      <x:c r="I1831" s="312" t="s">
        <x:v>21</x:v>
      </x:c>
      <x:c r="J1831" s="316" t="n">
        <x:f>IFERROR(G1831/F1831,0)</x:f>
        <x:v>0.42857142857142855</x:v>
      </x:c>
      <x:c r="K1831" s="312" t="str">
        <x:f>IF(B1831="Bilinmeyen Personel","Kontrol","OK")</x:f>
        <x:v>OK</x:v>
      </x:c>
    </x:row>
    <x:row r="1832" hidden="1">
      <x:c r="A1832" s="312" t="n">
        <x:f>ROW()-ROW($A$2)+1</x:f>
        <x:v>1831</x:v>
      </x:c>
      <x:c r="B1832" s="312" t="s">
        <x:v>16</x:v>
      </x:c>
      <x:c r="C1832" s="312" t="s">
        <x:v>57</x:v>
      </x:c>
      <x:c r="D1832" s="317">
        <x:v>2</x:v>
      </x:c>
      <x:c r="E1832" s="321">
        <x:v>1500</x:v>
      </x:c>
      <x:c r="F1832" s="321">
        <x:v>3000</x:v>
      </x:c>
      <x:c r="G1832" s="321">
        <x:v>1400</x:v>
      </x:c>
      <x:c r="H1832" s="312" t="s">
        <x:v>61</x:v>
      </x:c>
      <x:c r="I1832" s="312" t="s">
        <x:v>37</x:v>
      </x:c>
      <x:c r="J1832" s="316" t="n">
        <x:f>IFERROR(G1832/F1832,0)</x:f>
        <x:v>0.4666666666666667</x:v>
      </x:c>
      <x:c r="K1832" s="312" t="str">
        <x:f>IF(B1832="Bilinmeyen Personel","Kontrol","OK")</x:f>
        <x:v>OK</x:v>
      </x:c>
    </x:row>
    <x:row r="1833" hidden="1">
      <x:c r="A1833" s="312" t="n">
        <x:f>ROW()-ROW($A$2)+1</x:f>
        <x:v>1832</x:v>
      </x:c>
      <x:c r="B1833" s="312" t="s">
        <x:v>35</x:v>
      </x:c>
      <x:c r="C1833" s="312" t="s">
        <x:v>20</x:v>
      </x:c>
      <x:c r="D1833" s="317">
        <x:v>3</x:v>
      </x:c>
      <x:c r="E1833" s="321">
        <x:v>1350</x:v>
      </x:c>
      <x:c r="F1833" s="321">
        <x:v>4050</x:v>
      </x:c>
      <x:c r="G1833" s="321">
        <x:v>1650</x:v>
      </x:c>
      <x:c r="H1833" s="312" t="s">
        <x:v>61</x:v>
      </x:c>
      <x:c r="I1833" s="312" t="s">
        <x:v>12</x:v>
      </x:c>
      <x:c r="J1833" s="316" t="n">
        <x:f>IFERROR(G1833/F1833,0)</x:f>
        <x:v>0.4074074074074074</x:v>
      </x:c>
      <x:c r="K1833" s="312" t="str">
        <x:f>IF(B1833="Bilinmeyen Personel","Kontrol","OK")</x:f>
        <x:v>OK</x:v>
      </x:c>
    </x:row>
    <x:row r="1834" hidden="1">
      <x:c r="A1834" s="312" t="n">
        <x:f>ROW()-ROW($A$2)+1</x:f>
        <x:v>1833</x:v>
      </x:c>
      <x:c r="B1834" s="312" t="s">
        <x:v>35</x:v>
      </x:c>
      <x:c r="C1834" s="312" t="s">
        <x:v>30</x:v>
      </x:c>
      <x:c r="D1834" s="317">
        <x:v>4</x:v>
      </x:c>
      <x:c r="E1834" s="321">
        <x:v>1200</x:v>
      </x:c>
      <x:c r="F1834" s="321">
        <x:v>4800</x:v>
      </x:c>
      <x:c r="G1834" s="321">
        <x:v>1600</x:v>
      </x:c>
      <x:c r="H1834" s="312" t="s">
        <x:v>61</x:v>
      </x:c>
      <x:c r="I1834" s="312" t="s">
        <x:v>12</x:v>
      </x:c>
      <x:c r="J1834" s="316" t="n">
        <x:f>IFERROR(G1834/F1834,0)</x:f>
        <x:v>0.3333333333333333</x:v>
      </x:c>
      <x:c r="K1834" s="312" t="str">
        <x:f>IF(B1834="Bilinmeyen Personel","Kontrol","OK")</x:f>
        <x:v>OK</x:v>
      </x:c>
    </x:row>
    <x:row r="1835" hidden="1">
      <x:c r="A1835" s="312" t="n">
        <x:f>ROW()-ROW($A$2)+1</x:f>
        <x:v>1834</x:v>
      </x:c>
      <x:c r="B1835" s="312" t="s">
        <x:v>13</x:v>
      </x:c>
      <x:c r="C1835" s="312" t="s">
        <x:v>55</x:v>
      </x:c>
      <x:c r="D1835" s="317">
        <x:v>4</x:v>
      </x:c>
      <x:c r="E1835" s="321">
        <x:v>7530</x:v>
      </x:c>
      <x:c r="F1835" s="321">
        <x:v>30120</x:v>
      </x:c>
      <x:c r="G1835" s="321">
        <x:v>6120</x:v>
      </x:c>
      <x:c r="H1835" s="312" t="s">
        <x:v>61</x:v>
      </x:c>
      <x:c r="I1835" s="312" t="s">
        <x:v>15</x:v>
      </x:c>
      <x:c r="J1835" s="316" t="n">
        <x:f>IFERROR(G1835/F1835,0)</x:f>
        <x:v>0.20318725099601595</x:v>
      </x:c>
      <x:c r="K1835" s="312" t="str">
        <x:f>IF(B1835="Bilinmeyen Personel","Kontrol","OK")</x:f>
        <x:v>OK</x:v>
      </x:c>
    </x:row>
    <x:row r="1836" hidden="1">
      <x:c r="A1836" s="312" t="n">
        <x:f>ROW()-ROW($A$2)+1</x:f>
        <x:v>1835</x:v>
      </x:c>
      <x:c r="B1836" s="312" t="s">
        <x:v>48</x:v>
      </x:c>
      <x:c r="C1836" s="312" t="s">
        <x:v>30</x:v>
      </x:c>
      <x:c r="D1836" s="317">
        <x:v>2</x:v>
      </x:c>
      <x:c r="E1836" s="321">
        <x:v>1200</x:v>
      </x:c>
      <x:c r="F1836" s="321">
        <x:v>2400</x:v>
      </x:c>
      <x:c r="G1836" s="321">
        <x:v>800</x:v>
      </x:c>
      <x:c r="H1836" s="312" t="s">
        <x:v>61</x:v>
      </x:c>
      <x:c r="I1836" s="312" t="s">
        <x:v>12</x:v>
      </x:c>
      <x:c r="J1836" s="316" t="n">
        <x:f>IFERROR(G1836/F1836,0)</x:f>
        <x:v>0.3333333333333333</x:v>
      </x:c>
      <x:c r="K1836" s="312" t="str">
        <x:f>IF(B1836="Bilinmeyen Personel","Kontrol","OK")</x:f>
        <x:v>OK</x:v>
      </x:c>
    </x:row>
    <x:row r="1837" hidden="1">
      <x:c r="A1837" s="312" t="n">
        <x:f>ROW()-ROW($A$2)+1</x:f>
        <x:v>1836</x:v>
      </x:c>
      <x:c r="B1837" s="312" t="s">
        <x:v>38</x:v>
      </x:c>
      <x:c r="C1837" s="312" t="s">
        <x:v>33</x:v>
      </x:c>
      <x:c r="D1837" s="317">
        <x:v>4</x:v>
      </x:c>
      <x:c r="E1837" s="321">
        <x:v>1800</x:v>
      </x:c>
      <x:c r="F1837" s="321">
        <x:v>7200</x:v>
      </x:c>
      <x:c r="G1837" s="321">
        <x:v>4000</x:v>
      </x:c>
      <x:c r="H1837" s="312" t="s">
        <x:v>61</x:v>
      </x:c>
      <x:c r="I1837" s="312" t="s">
        <x:v>15</x:v>
      </x:c>
      <x:c r="J1837" s="316" t="n">
        <x:f>IFERROR(G1837/F1837,0)</x:f>
        <x:v>0.5555555555555556</x:v>
      </x:c>
      <x:c r="K1837" s="312" t="str">
        <x:f>IF(B1837="Bilinmeyen Personel","Kontrol","OK")</x:f>
        <x:v>OK</x:v>
      </x:c>
    </x:row>
    <x:row r="1838" hidden="1">
      <x:c r="A1838" s="312" t="n">
        <x:f>ROW()-ROW($A$2)+1</x:f>
        <x:v>1837</x:v>
      </x:c>
      <x:c r="B1838" s="312" t="s">
        <x:v>9</x:v>
      </x:c>
      <x:c r="C1838" s="312" t="s">
        <x:v>26</x:v>
      </x:c>
      <x:c r="D1838" s="317">
        <x:v>4</x:v>
      </x:c>
      <x:c r="E1838" s="321">
        <x:v>7250</x:v>
      </x:c>
      <x:c r="F1838" s="321">
        <x:v>29000</x:v>
      </x:c>
      <x:c r="G1838" s="321">
        <x:v>9000</x:v>
      </x:c>
      <x:c r="H1838" s="312" t="s">
        <x:v>61</x:v>
      </x:c>
      <x:c r="I1838" s="312" t="s">
        <x:v>18</x:v>
      </x:c>
      <x:c r="J1838" s="316" t="n">
        <x:f>IFERROR(G1838/F1838,0)</x:f>
        <x:v>0.3103448275862069</x:v>
      </x:c>
      <x:c r="K1838" s="312" t="str">
        <x:f>IF(B1838="Bilinmeyen Personel","Kontrol","OK")</x:f>
        <x:v>OK</x:v>
      </x:c>
    </x:row>
    <x:row r="1839" hidden="1">
      <x:c r="A1839" s="312" t="n">
        <x:f>ROW()-ROW($A$2)+1</x:f>
        <x:v>1838</x:v>
      </x:c>
      <x:c r="B1839" s="312" t="s">
        <x:v>40</x:v>
      </x:c>
      <x:c r="C1839" s="312" t="s">
        <x:v>43</x:v>
      </x:c>
      <x:c r="D1839" s="317">
        <x:v>3</x:v>
      </x:c>
      <x:c r="E1839" s="321">
        <x:v>1490</x:v>
      </x:c>
      <x:c r="F1839" s="321">
        <x:v>4470</x:v>
      </x:c>
      <x:c r="G1839" s="321">
        <x:v>2070</x:v>
      </x:c>
      <x:c r="H1839" s="312" t="s">
        <x:v>61</x:v>
      </x:c>
      <x:c r="I1839" s="312" t="s">
        <x:v>31</x:v>
      </x:c>
      <x:c r="J1839" s="316" t="n">
        <x:f>IFERROR(G1839/F1839,0)</x:f>
        <x:v>0.46308724832214765</x:v>
      </x:c>
      <x:c r="K1839" s="312" t="str">
        <x:f>IF(B1839="Bilinmeyen Personel","Kontrol","OK")</x:f>
        <x:v>OK</x:v>
      </x:c>
    </x:row>
    <x:row r="1840" hidden="1">
      <x:c r="A1840" s="312" t="n">
        <x:f>ROW()-ROW($A$2)+1</x:f>
        <x:v>1839</x:v>
      </x:c>
      <x:c r="B1840" s="312" t="s">
        <x:v>40</x:v>
      </x:c>
      <x:c r="C1840" s="312" t="s">
        <x:v>53</x:v>
      </x:c>
      <x:c r="D1840" s="317">
        <x:v>4</x:v>
      </x:c>
      <x:c r="E1840" s="321">
        <x:v>1200</x:v>
      </x:c>
      <x:c r="F1840" s="321">
        <x:v>4800</x:v>
      </x:c>
      <x:c r="G1840" s="321">
        <x:v>1600</x:v>
      </x:c>
      <x:c r="H1840" s="312" t="s">
        <x:v>61</x:v>
      </x:c>
      <x:c r="I1840" s="312" t="s">
        <x:v>25</x:v>
      </x:c>
      <x:c r="J1840" s="316" t="n">
        <x:f>IFERROR(G1840/F1840,0)</x:f>
        <x:v>0.3333333333333333</x:v>
      </x:c>
      <x:c r="K1840" s="312" t="str">
        <x:f>IF(B1840="Bilinmeyen Personel","Kontrol","OK")</x:f>
        <x:v>OK</x:v>
      </x:c>
    </x:row>
    <x:row r="1841" hidden="1">
      <x:c r="A1841" s="312" t="n">
        <x:f>ROW()-ROW($A$2)+1</x:f>
        <x:v>1840</x:v>
      </x:c>
      <x:c r="B1841" s="312" t="s">
        <x:v>13</x:v>
      </x:c>
      <x:c r="C1841" s="312" t="s">
        <x:v>36</x:v>
      </x:c>
      <x:c r="D1841" s="317">
        <x:v>3</x:v>
      </x:c>
      <x:c r="E1841" s="321">
        <x:v>8000</x:v>
      </x:c>
      <x:c r="F1841" s="321">
        <x:v>24000</x:v>
      </x:c>
      <x:c r="G1841" s="321">
        <x:v>6000</x:v>
      </x:c>
      <x:c r="H1841" s="312" t="s">
        <x:v>61</x:v>
      </x:c>
      <x:c r="I1841" s="312" t="s">
        <x:v>46</x:v>
      </x:c>
      <x:c r="J1841" s="316" t="n">
        <x:f>IFERROR(G1841/F1841,0)</x:f>
        <x:v>0.25</x:v>
      </x:c>
      <x:c r="K1841" s="312" t="str">
        <x:f>IF(B1841="Bilinmeyen Personel","Kontrol","OK")</x:f>
        <x:v>OK</x:v>
      </x:c>
    </x:row>
    <x:row r="1842" hidden="1">
      <x:c r="A1842" s="312" t="n">
        <x:f>ROW()-ROW($A$2)+1</x:f>
        <x:v>1841</x:v>
      </x:c>
      <x:c r="B1842" s="312" t="s">
        <x:v>32</x:v>
      </x:c>
      <x:c r="C1842" s="312" t="s">
        <x:v>14</x:v>
      </x:c>
      <x:c r="D1842" s="317">
        <x:v>4</x:v>
      </x:c>
      <x:c r="E1842" s="321">
        <x:v>1400</x:v>
      </x:c>
      <x:c r="F1842" s="321">
        <x:v>5600</x:v>
      </x:c>
      <x:c r="G1842" s="321">
        <x:v>2400</x:v>
      </x:c>
      <x:c r="H1842" s="312" t="s">
        <x:v>61</x:v>
      </x:c>
      <x:c r="I1842" s="312" t="s">
        <x:v>25</x:v>
      </x:c>
      <x:c r="J1842" s="316" t="n">
        <x:f>IFERROR(G1842/F1842,0)</x:f>
        <x:v>0.42857142857142855</x:v>
      </x:c>
      <x:c r="K1842" s="312" t="str">
        <x:f>IF(B1842="Bilinmeyen Personel","Kontrol","OK")</x:f>
        <x:v>OK</x:v>
      </x:c>
    </x:row>
    <x:row r="1843" hidden="1">
      <x:c r="A1843" s="312" t="n">
        <x:f>ROW()-ROW($A$2)+1</x:f>
        <x:v>1842</x:v>
      </x:c>
      <x:c r="B1843" s="312" t="s">
        <x:v>29</x:v>
      </x:c>
      <x:c r="C1843" s="312" t="s">
        <x:v>20</x:v>
      </x:c>
      <x:c r="D1843" s="317">
        <x:v>5</x:v>
      </x:c>
      <x:c r="E1843" s="321">
        <x:v>1350</x:v>
      </x:c>
      <x:c r="F1843" s="321">
        <x:v>6750</x:v>
      </x:c>
      <x:c r="G1843" s="321">
        <x:v>2750</x:v>
      </x:c>
      <x:c r="H1843" s="312" t="s">
        <x:v>61</x:v>
      </x:c>
      <x:c r="I1843" s="312" t="s">
        <x:v>54</x:v>
      </x:c>
      <x:c r="J1843" s="316" t="n">
        <x:f>IFERROR(G1843/F1843,0)</x:f>
        <x:v>0.4074074074074074</x:v>
      </x:c>
      <x:c r="K1843" s="312" t="str">
        <x:f>IF(B1843="Bilinmeyen Personel","Kontrol","OK")</x:f>
        <x:v>OK</x:v>
      </x:c>
    </x:row>
    <x:row r="1844" hidden="1">
      <x:c r="A1844" s="312" t="n">
        <x:f>ROW()-ROW($A$2)+1</x:f>
        <x:v>1843</x:v>
      </x:c>
      <x:c r="B1844" s="312" t="s">
        <x:v>38</x:v>
      </x:c>
      <x:c r="C1844" s="312" t="s">
        <x:v>53</x:v>
      </x:c>
      <x:c r="D1844" s="317">
        <x:v>5</x:v>
      </x:c>
      <x:c r="E1844" s="321">
        <x:v>1200</x:v>
      </x:c>
      <x:c r="F1844" s="321">
        <x:v>6000</x:v>
      </x:c>
      <x:c r="G1844" s="321">
        <x:v>2000</x:v>
      </x:c>
      <x:c r="H1844" s="312" t="s">
        <x:v>61</x:v>
      </x:c>
      <x:c r="I1844" s="312" t="s">
        <x:v>54</x:v>
      </x:c>
      <x:c r="J1844" s="316" t="n">
        <x:f>IFERROR(G1844/F1844,0)</x:f>
        <x:v>0.3333333333333333</x:v>
      </x:c>
      <x:c r="K1844" s="312" t="str">
        <x:f>IF(B1844="Bilinmeyen Personel","Kontrol","OK")</x:f>
        <x:v>OK</x:v>
      </x:c>
    </x:row>
    <x:row r="1845" hidden="1">
      <x:c r="A1845" s="312" t="n">
        <x:f>ROW()-ROW($A$2)+1</x:f>
        <x:v>1844</x:v>
      </x:c>
      <x:c r="B1845" s="312" t="s">
        <x:v>32</x:v>
      </x:c>
      <x:c r="C1845" s="312" t="s">
        <x:v>56</x:v>
      </x:c>
      <x:c r="D1845" s="317">
        <x:v>3</x:v>
      </x:c>
      <x:c r="E1845" s="321">
        <x:v>5300</x:v>
      </x:c>
      <x:c r="F1845" s="321">
        <x:v>15900</x:v>
      </x:c>
      <x:c r="G1845" s="321">
        <x:v>3900</x:v>
      </x:c>
      <x:c r="H1845" s="312" t="s">
        <x:v>61</x:v>
      </x:c>
      <x:c r="I1845" s="312" t="s">
        <x:v>44</x:v>
      </x:c>
      <x:c r="J1845" s="316" t="n">
        <x:f>IFERROR(G1845/F1845,0)</x:f>
        <x:v>0.24528301886792453</x:v>
      </x:c>
      <x:c r="K1845" s="312" t="str">
        <x:f>IF(B1845="Bilinmeyen Personel","Kontrol","OK")</x:f>
        <x:v>OK</x:v>
      </x:c>
    </x:row>
    <x:row r="1846" hidden="1">
      <x:c r="A1846" s="312" t="n">
        <x:f>ROW()-ROW($A$2)+1</x:f>
        <x:v>1845</x:v>
      </x:c>
      <x:c r="B1846" s="312" t="s">
        <x:v>40</x:v>
      </x:c>
      <x:c r="C1846" s="312" t="s">
        <x:v>39</x:v>
      </x:c>
      <x:c r="D1846" s="317">
        <x:v>4</x:v>
      </x:c>
      <x:c r="E1846" s="321">
        <x:v>10590</x:v>
      </x:c>
      <x:c r="F1846" s="321">
        <x:v>42360</x:v>
      </x:c>
      <x:c r="G1846" s="321">
        <x:v>18360</x:v>
      </x:c>
      <x:c r="H1846" s="312" t="s">
        <x:v>61</x:v>
      </x:c>
      <x:c r="I1846" s="312" t="s">
        <x:v>18</x:v>
      </x:c>
      <x:c r="J1846" s="316" t="n">
        <x:f>IFERROR(G1846/F1846,0)</x:f>
        <x:v>0.43342776203966005</x:v>
      </x:c>
      <x:c r="K1846" s="312" t="str">
        <x:f>IF(B1846="Bilinmeyen Personel","Kontrol","OK")</x:f>
        <x:v>OK</x:v>
      </x:c>
    </x:row>
    <x:row r="1847" hidden="1">
      <x:c r="A1847" s="312" t="n">
        <x:f>ROW()-ROW($A$2)+1</x:f>
        <x:v>1846</x:v>
      </x:c>
      <x:c r="B1847" s="312" t="s">
        <x:v>23</x:v>
      </x:c>
      <x:c r="C1847" s="312" t="s">
        <x:v>52</x:v>
      </x:c>
      <x:c r="D1847" s="317">
        <x:v>5</x:v>
      </x:c>
      <x:c r="E1847" s="321">
        <x:v>1250</x:v>
      </x:c>
      <x:c r="F1847" s="321">
        <x:v>6250</x:v>
      </x:c>
      <x:c r="G1847" s="321">
        <x:v>2250</x:v>
      </x:c>
      <x:c r="H1847" s="312" t="s">
        <x:v>61</x:v>
      </x:c>
      <x:c r="I1847" s="312" t="s">
        <x:v>18</x:v>
      </x:c>
      <x:c r="J1847" s="316" t="n">
        <x:f>IFERROR(G1847/F1847,0)</x:f>
        <x:v>0.36</x:v>
      </x:c>
      <x:c r="K1847" s="312" t="str">
        <x:f>IF(B1847="Bilinmeyen Personel","Kontrol","OK")</x:f>
        <x:v>OK</x:v>
      </x:c>
    </x:row>
    <x:row r="1848" hidden="1">
      <x:c r="A1848" s="312" t="n">
        <x:f>ROW()-ROW($A$2)+1</x:f>
        <x:v>1847</x:v>
      </x:c>
      <x:c r="B1848" s="312" t="s">
        <x:v>50</x:v>
      </x:c>
      <x:c r="C1848" s="312" t="s">
        <x:v>53</x:v>
      </x:c>
      <x:c r="D1848" s="317">
        <x:v>3</x:v>
      </x:c>
      <x:c r="E1848" s="321">
        <x:v>1200</x:v>
      </x:c>
      <x:c r="F1848" s="321">
        <x:v>3600</x:v>
      </x:c>
      <x:c r="G1848" s="321">
        <x:v>1200</x:v>
      </x:c>
      <x:c r="H1848" s="312" t="s">
        <x:v>62</x:v>
      </x:c>
      <x:c r="I1848" s="312" t="s">
        <x:v>31</x:v>
      </x:c>
      <x:c r="J1848" s="316" t="n">
        <x:f>IFERROR(G1848/F1848,0)</x:f>
        <x:v>0.3333333333333333</x:v>
      </x:c>
      <x:c r="K1848" s="312" t="str">
        <x:f>IF(B1848="Bilinmeyen Personel","Kontrol","OK")</x:f>
        <x:v>OK</x:v>
      </x:c>
    </x:row>
    <x:row r="1849" hidden="1">
      <x:c r="A1849" s="312" t="n">
        <x:f>ROW()-ROW($A$2)+1</x:f>
        <x:v>1848</x:v>
      </x:c>
      <x:c r="B1849" s="312" t="s">
        <x:v>23</x:v>
      </x:c>
      <x:c r="C1849" s="312" t="s">
        <x:v>14</x:v>
      </x:c>
      <x:c r="D1849" s="317">
        <x:v>2</x:v>
      </x:c>
      <x:c r="E1849" s="321">
        <x:v>1400</x:v>
      </x:c>
      <x:c r="F1849" s="321">
        <x:v>2800</x:v>
      </x:c>
      <x:c r="G1849" s="321">
        <x:v>1200</x:v>
      </x:c>
      <x:c r="H1849" s="312" t="s">
        <x:v>62</x:v>
      </x:c>
      <x:c r="I1849" s="312" t="s">
        <x:v>25</x:v>
      </x:c>
      <x:c r="J1849" s="316" t="n">
        <x:f>IFERROR(G1849/F1849,0)</x:f>
        <x:v>0.42857142857142855</x:v>
      </x:c>
      <x:c r="K1849" s="312" t="str">
        <x:f>IF(B1849="Bilinmeyen Personel","Kontrol","OK")</x:f>
        <x:v>OK</x:v>
      </x:c>
    </x:row>
    <x:row r="1850" hidden="1">
      <x:c r="A1850" s="312" t="n">
        <x:f>ROW()-ROW($A$2)+1</x:f>
        <x:v>1849</x:v>
      </x:c>
      <x:c r="B1850" s="312" t="s">
        <x:v>50</x:v>
      </x:c>
      <x:c r="C1850" s="312" t="s">
        <x:v>55</x:v>
      </x:c>
      <x:c r="D1850" s="317">
        <x:v>4</x:v>
      </x:c>
      <x:c r="E1850" s="321">
        <x:v>7530</x:v>
      </x:c>
      <x:c r="F1850" s="321">
        <x:v>30120</x:v>
      </x:c>
      <x:c r="G1850" s="321">
        <x:v>6120</x:v>
      </x:c>
      <x:c r="H1850" s="312" t="s">
        <x:v>62</x:v>
      </x:c>
      <x:c r="I1850" s="312" t="s">
        <x:v>31</x:v>
      </x:c>
      <x:c r="J1850" s="316" t="n">
        <x:f>IFERROR(G1850/F1850,0)</x:f>
        <x:v>0.20318725099601595</x:v>
      </x:c>
      <x:c r="K1850" s="312" t="str">
        <x:f>IF(B1850="Bilinmeyen Personel","Kontrol","OK")</x:f>
        <x:v>OK</x:v>
      </x:c>
    </x:row>
    <x:row r="1851" hidden="1">
      <x:c r="A1851" s="312" t="n">
        <x:f>ROW()-ROW($A$2)+1</x:f>
        <x:v>1850</x:v>
      </x:c>
      <x:c r="B1851" s="312" t="s">
        <x:v>32</x:v>
      </x:c>
      <x:c r="C1851" s="312" t="s">
        <x:v>24</x:v>
      </x:c>
      <x:c r="D1851" s="317">
        <x:v>5</x:v>
      </x:c>
      <x:c r="E1851" s="321">
        <x:v>7600</x:v>
      </x:c>
      <x:c r="F1851" s="321">
        <x:v>38000</x:v>
      </x:c>
      <x:c r="G1851" s="321">
        <x:v>8000</x:v>
      </x:c>
      <x:c r="H1851" s="312" t="s">
        <x:v>62</x:v>
      </x:c>
      <x:c r="I1851" s="312" t="s">
        <x:v>31</x:v>
      </x:c>
      <x:c r="J1851" s="316" t="n">
        <x:f>IFERROR(G1851/F1851,0)</x:f>
        <x:v>0.21052631578947367</x:v>
      </x:c>
      <x:c r="K1851" s="312" t="str">
        <x:f>IF(B1851="Bilinmeyen Personel","Kontrol","OK")</x:f>
        <x:v>OK</x:v>
      </x:c>
    </x:row>
    <x:row r="1852" hidden="1">
      <x:c r="A1852" s="312" t="n">
        <x:f>ROW()-ROW($A$2)+1</x:f>
        <x:v>1851</x:v>
      </x:c>
      <x:c r="B1852" s="312" t="s">
        <x:v>50</x:v>
      </x:c>
      <x:c r="C1852" s="312" t="s">
        <x:v>57</x:v>
      </x:c>
      <x:c r="D1852" s="317">
        <x:v>2</x:v>
      </x:c>
      <x:c r="E1852" s="321">
        <x:v>1500</x:v>
      </x:c>
      <x:c r="F1852" s="321">
        <x:v>3000</x:v>
      </x:c>
      <x:c r="G1852" s="321">
        <x:v>1400</x:v>
      </x:c>
      <x:c r="H1852" s="312" t="s">
        <x:v>62</x:v>
      </x:c>
      <x:c r="I1852" s="312" t="s">
        <x:v>12</x:v>
      </x:c>
      <x:c r="J1852" s="316" t="n">
        <x:f>IFERROR(G1852/F1852,0)</x:f>
        <x:v>0.4666666666666667</x:v>
      </x:c>
      <x:c r="K1852" s="312" t="str">
        <x:f>IF(B1852="Bilinmeyen Personel","Kontrol","OK")</x:f>
        <x:v>OK</x:v>
      </x:c>
    </x:row>
    <x:row r="1853" hidden="1">
      <x:c r="A1853" s="312" t="n">
        <x:f>ROW()-ROW($A$2)+1</x:f>
        <x:v>1852</x:v>
      </x:c>
      <x:c r="B1853" s="312" t="s">
        <x:v>40</x:v>
      </x:c>
      <x:c r="C1853" s="312" t="s">
        <x:v>22</x:v>
      </x:c>
      <x:c r="D1853" s="317">
        <x:v>4</x:v>
      </x:c>
      <x:c r="E1853" s="321">
        <x:v>2180</x:v>
      </x:c>
      <x:c r="F1853" s="321">
        <x:v>8720</x:v>
      </x:c>
      <x:c r="G1853" s="321">
        <x:v>2720</x:v>
      </x:c>
      <x:c r="H1853" s="312" t="s">
        <x:v>62</x:v>
      </x:c>
      <x:c r="I1853" s="312" t="s">
        <x:v>42</x:v>
      </x:c>
      <x:c r="J1853" s="316" t="n">
        <x:f>IFERROR(G1853/F1853,0)</x:f>
        <x:v>0.3119266055045872</x:v>
      </x:c>
      <x:c r="K1853" s="312" t="str">
        <x:f>IF(B1853="Bilinmeyen Personel","Kontrol","OK")</x:f>
        <x:v>OK</x:v>
      </x:c>
    </x:row>
    <x:row r="1854" hidden="1">
      <x:c r="A1854" s="312" t="n">
        <x:f>ROW()-ROW($A$2)+1</x:f>
        <x:v>1853</x:v>
      </x:c>
      <x:c r="B1854" s="312" t="s">
        <x:v>19</x:v>
      </x:c>
      <x:c r="C1854" s="312" t="s">
        <x:v>22</x:v>
      </x:c>
      <x:c r="D1854" s="317">
        <x:v>3</x:v>
      </x:c>
      <x:c r="E1854" s="321">
        <x:v>2180</x:v>
      </x:c>
      <x:c r="F1854" s="321">
        <x:v>6540</x:v>
      </x:c>
      <x:c r="G1854" s="321">
        <x:v>2040</x:v>
      </x:c>
      <x:c r="H1854" s="312" t="s">
        <x:v>62</x:v>
      </x:c>
      <x:c r="I1854" s="312" t="s">
        <x:v>54</x:v>
      </x:c>
      <x:c r="J1854" s="316" t="n">
        <x:f>IFERROR(G1854/F1854,0)</x:f>
        <x:v>0.3119266055045872</x:v>
      </x:c>
      <x:c r="K1854" s="312" t="str">
        <x:f>IF(B1854="Bilinmeyen Personel","Kontrol","OK")</x:f>
        <x:v>OK</x:v>
      </x:c>
    </x:row>
    <x:row r="1855" hidden="1">
      <x:c r="A1855" s="312" t="n">
        <x:f>ROW()-ROW($A$2)+1</x:f>
        <x:v>1854</x:v>
      </x:c>
      <x:c r="B1855" s="312" t="s">
        <x:v>40</x:v>
      </x:c>
      <x:c r="C1855" s="312" t="s">
        <x:v>47</x:v>
      </x:c>
      <x:c r="D1855" s="317">
        <x:v>4</x:v>
      </x:c>
      <x:c r="E1855" s="321">
        <x:v>5775</x:v>
      </x:c>
      <x:c r="F1855" s="321">
        <x:v>23100</x:v>
      </x:c>
      <x:c r="G1855" s="321">
        <x:v>7100</x:v>
      </x:c>
      <x:c r="H1855" s="312" t="s">
        <x:v>62</x:v>
      </x:c>
      <x:c r="I1855" s="312" t="s">
        <x:v>28</x:v>
      </x:c>
      <x:c r="J1855" s="316" t="n">
        <x:f>IFERROR(G1855/F1855,0)</x:f>
        <x:v>0.30735930735930733</x:v>
      </x:c>
      <x:c r="K1855" s="312" t="str">
        <x:f>IF(B1855="Bilinmeyen Personel","Kontrol","OK")</x:f>
        <x:v>OK</x:v>
      </x:c>
    </x:row>
    <x:row r="1856" hidden="1">
      <x:c r="A1856" s="312" t="n">
        <x:f>ROW()-ROW($A$2)+1</x:f>
        <x:v>1855</x:v>
      </x:c>
      <x:c r="B1856" s="312" t="s">
        <x:v>40</x:v>
      </x:c>
      <x:c r="C1856" s="312" t="s">
        <x:v>27</x:v>
      </x:c>
      <x:c r="D1856" s="317">
        <x:v>4</x:v>
      </x:c>
      <x:c r="E1856" s="321">
        <x:v>1100</x:v>
      </x:c>
      <x:c r="F1856" s="321">
        <x:v>4400</x:v>
      </x:c>
      <x:c r="G1856" s="321">
        <x:v>1200</x:v>
      </x:c>
      <x:c r="H1856" s="312" t="s">
        <x:v>62</x:v>
      </x:c>
      <x:c r="I1856" s="312" t="s">
        <x:v>54</x:v>
      </x:c>
      <x:c r="J1856" s="316" t="n">
        <x:f>IFERROR(G1856/F1856,0)</x:f>
        <x:v>0.2727272727272727</x:v>
      </x:c>
      <x:c r="K1856" s="312" t="str">
        <x:f>IF(B1856="Bilinmeyen Personel","Kontrol","OK")</x:f>
        <x:v>OK</x:v>
      </x:c>
    </x:row>
    <x:row r="1857" hidden="1">
      <x:c r="A1857" s="312" t="n">
        <x:f>ROW()-ROW($A$2)+1</x:f>
        <x:v>1856</x:v>
      </x:c>
      <x:c r="B1857" s="312" t="s">
        <x:v>48</x:v>
      </x:c>
      <x:c r="C1857" s="312" t="s">
        <x:v>47</x:v>
      </x:c>
      <x:c r="D1857" s="317">
        <x:v>5</x:v>
      </x:c>
      <x:c r="E1857" s="321">
        <x:v>5775</x:v>
      </x:c>
      <x:c r="F1857" s="321">
        <x:v>28875</x:v>
      </x:c>
      <x:c r="G1857" s="321">
        <x:v>8875</x:v>
      </x:c>
      <x:c r="H1857" s="312" t="s">
        <x:v>62</x:v>
      </x:c>
      <x:c r="I1857" s="312" t="s">
        <x:v>44</x:v>
      </x:c>
      <x:c r="J1857" s="316" t="n">
        <x:f>IFERROR(G1857/F1857,0)</x:f>
        <x:v>0.30735930735930733</x:v>
      </x:c>
      <x:c r="K1857" s="312" t="str">
        <x:f>IF(B1857="Bilinmeyen Personel","Kontrol","OK")</x:f>
        <x:v>OK</x:v>
      </x:c>
    </x:row>
    <x:row r="1858" hidden="1">
      <x:c r="A1858" s="312" t="n">
        <x:f>ROW()-ROW($A$2)+1</x:f>
        <x:v>1857</x:v>
      </x:c>
      <x:c r="B1858" s="312" t="s">
        <x:v>35</x:v>
      </x:c>
      <x:c r="C1858" s="312" t="s">
        <x:v>20</x:v>
      </x:c>
      <x:c r="D1858" s="317">
        <x:v>3</x:v>
      </x:c>
      <x:c r="E1858" s="321">
        <x:v>1350</x:v>
      </x:c>
      <x:c r="F1858" s="321">
        <x:v>4050</x:v>
      </x:c>
      <x:c r="G1858" s="321">
        <x:v>1650</x:v>
      </x:c>
      <x:c r="H1858" s="312" t="s">
        <x:v>62</x:v>
      </x:c>
      <x:c r="I1858" s="312" t="s">
        <x:v>41</x:v>
      </x:c>
      <x:c r="J1858" s="316" t="n">
        <x:f>IFERROR(G1858/F1858,0)</x:f>
        <x:v>0.4074074074074074</x:v>
      </x:c>
      <x:c r="K1858" s="312" t="str">
        <x:f>IF(B1858="Bilinmeyen Personel","Kontrol","OK")</x:f>
        <x:v>OK</x:v>
      </x:c>
    </x:row>
    <x:row r="1859" hidden="1">
      <x:c r="A1859" s="312" t="n">
        <x:f>ROW()-ROW($A$2)+1</x:f>
        <x:v>1858</x:v>
      </x:c>
      <x:c r="B1859" s="312" t="s">
        <x:v>9</x:v>
      </x:c>
      <x:c r="C1859" s="312" t="s">
        <x:v>24</x:v>
      </x:c>
      <x:c r="D1859" s="317">
        <x:v>3</x:v>
      </x:c>
      <x:c r="E1859" s="321">
        <x:v>7600</x:v>
      </x:c>
      <x:c r="F1859" s="321">
        <x:v>22800</x:v>
      </x:c>
      <x:c r="G1859" s="321">
        <x:v>4800</x:v>
      </x:c>
      <x:c r="H1859" s="312" t="s">
        <x:v>62</x:v>
      </x:c>
      <x:c r="I1859" s="312" t="s">
        <x:v>37</x:v>
      </x:c>
      <x:c r="J1859" s="316" t="n">
        <x:f>IFERROR(G1859/F1859,0)</x:f>
        <x:v>0.21052631578947367</x:v>
      </x:c>
      <x:c r="K1859" s="312" t="str">
        <x:f>IF(B1859="Bilinmeyen Personel","Kontrol","OK")</x:f>
        <x:v>OK</x:v>
      </x:c>
    </x:row>
    <x:row r="1860" hidden="1">
      <x:c r="A1860" s="312" t="n">
        <x:f>ROW()-ROW($A$2)+1</x:f>
        <x:v>1859</x:v>
      </x:c>
      <x:c r="B1860" s="312" t="s">
        <x:v>16</x:v>
      </x:c>
      <x:c r="C1860" s="312" t="s">
        <x:v>26</x:v>
      </x:c>
      <x:c r="D1860" s="317">
        <x:v>5</x:v>
      </x:c>
      <x:c r="E1860" s="321">
        <x:v>7250</x:v>
      </x:c>
      <x:c r="F1860" s="321">
        <x:v>36250</x:v>
      </x:c>
      <x:c r="G1860" s="321">
        <x:v>11250</x:v>
      </x:c>
      <x:c r="H1860" s="312" t="s">
        <x:v>62</x:v>
      </x:c>
      <x:c r="I1860" s="312" t="s">
        <x:v>46</x:v>
      </x:c>
      <x:c r="J1860" s="316" t="n">
        <x:f>IFERROR(G1860/F1860,0)</x:f>
        <x:v>0.3103448275862069</x:v>
      </x:c>
      <x:c r="K1860" s="312" t="str">
        <x:f>IF(B1860="Bilinmeyen Personel","Kontrol","OK")</x:f>
        <x:v>OK</x:v>
      </x:c>
    </x:row>
    <x:row r="1861" hidden="1">
      <x:c r="A1861" s="312" t="n">
        <x:f>ROW()-ROW($A$2)+1</x:f>
        <x:v>1860</x:v>
      </x:c>
      <x:c r="B1861" s="312" t="s">
        <x:v>50</x:v>
      </x:c>
      <x:c r="C1861" s="312" t="s">
        <x:v>43</x:v>
      </x:c>
      <x:c r="D1861" s="317">
        <x:v>2</x:v>
      </x:c>
      <x:c r="E1861" s="321">
        <x:v>1490</x:v>
      </x:c>
      <x:c r="F1861" s="321">
        <x:v>2980</x:v>
      </x:c>
      <x:c r="G1861" s="321">
        <x:v>1380</x:v>
      </x:c>
      <x:c r="H1861" s="312" t="s">
        <x:v>62</x:v>
      </x:c>
      <x:c r="I1861" s="312" t="s">
        <x:v>42</x:v>
      </x:c>
      <x:c r="J1861" s="316" t="n">
        <x:f>IFERROR(G1861/F1861,0)</x:f>
        <x:v>0.46308724832214765</x:v>
      </x:c>
      <x:c r="K1861" s="312" t="str">
        <x:f>IF(B1861="Bilinmeyen Personel","Kontrol","OK")</x:f>
        <x:v>OK</x:v>
      </x:c>
    </x:row>
    <x:row r="1862" hidden="1">
      <x:c r="A1862" s="312" t="n">
        <x:f>ROW()-ROW($A$2)+1</x:f>
        <x:v>1861</x:v>
      </x:c>
      <x:c r="B1862" s="312" t="s">
        <x:v>19</x:v>
      </x:c>
      <x:c r="C1862" s="312" t="s">
        <x:v>43</x:v>
      </x:c>
      <x:c r="D1862" s="317">
        <x:v>2</x:v>
      </x:c>
      <x:c r="E1862" s="321">
        <x:v>1490</x:v>
      </x:c>
      <x:c r="F1862" s="321">
        <x:v>2980</x:v>
      </x:c>
      <x:c r="G1862" s="321">
        <x:v>1380</x:v>
      </x:c>
      <x:c r="H1862" s="312" t="s">
        <x:v>62</x:v>
      </x:c>
      <x:c r="I1862" s="312" t="s">
        <x:v>31</x:v>
      </x:c>
      <x:c r="J1862" s="316" t="n">
        <x:f>IFERROR(G1862/F1862,0)</x:f>
        <x:v>0.46308724832214765</x:v>
      </x:c>
      <x:c r="K1862" s="312" t="str">
        <x:f>IF(B1862="Bilinmeyen Personel","Kontrol","OK")</x:f>
        <x:v>OK</x:v>
      </x:c>
    </x:row>
    <x:row r="1863" hidden="1">
      <x:c r="A1863" s="312" t="n">
        <x:f>ROW()-ROW($A$2)+1</x:f>
        <x:v>1862</x:v>
      </x:c>
      <x:c r="B1863" s="312" t="s">
        <x:v>38</x:v>
      </x:c>
      <x:c r="C1863" s="312" t="s">
        <x:v>34</x:v>
      </x:c>
      <x:c r="D1863" s="317">
        <x:v>4</x:v>
      </x:c>
      <x:c r="E1863" s="321">
        <x:v>1090</x:v>
      </x:c>
      <x:c r="F1863" s="321">
        <x:v>4360</x:v>
      </x:c>
      <x:c r="G1863" s="321">
        <x:v>1160</x:v>
      </x:c>
      <x:c r="H1863" s="312" t="s">
        <x:v>62</x:v>
      </x:c>
      <x:c r="I1863" s="312" t="s">
        <x:v>31</x:v>
      </x:c>
      <x:c r="J1863" s="316" t="n">
        <x:f>IFERROR(G1863/F1863,0)</x:f>
        <x:v>0.26605504587155965</x:v>
      </x:c>
      <x:c r="K1863" s="312" t="str">
        <x:f>IF(B1863="Bilinmeyen Personel","Kontrol","OK")</x:f>
        <x:v>OK</x:v>
      </x:c>
    </x:row>
    <x:row r="1864" hidden="1">
      <x:c r="A1864" s="312" t="n">
        <x:f>ROW()-ROW($A$2)+1</x:f>
        <x:v>1863</x:v>
      </x:c>
      <x:c r="B1864" s="312" t="s">
        <x:v>38</x:v>
      </x:c>
      <x:c r="C1864" s="312" t="s">
        <x:v>30</x:v>
      </x:c>
      <x:c r="D1864" s="317">
        <x:v>3</x:v>
      </x:c>
      <x:c r="E1864" s="321">
        <x:v>1200</x:v>
      </x:c>
      <x:c r="F1864" s="321">
        <x:v>3600</x:v>
      </x:c>
      <x:c r="G1864" s="321">
        <x:v>1200</x:v>
      </x:c>
      <x:c r="H1864" s="312" t="s">
        <x:v>62</x:v>
      </x:c>
      <x:c r="I1864" s="312" t="s">
        <x:v>18</x:v>
      </x:c>
      <x:c r="J1864" s="316" t="n">
        <x:f>IFERROR(G1864/F1864,0)</x:f>
        <x:v>0.3333333333333333</x:v>
      </x:c>
      <x:c r="K1864" s="312" t="str">
        <x:f>IF(B1864="Bilinmeyen Personel","Kontrol","OK")</x:f>
        <x:v>OK</x:v>
      </x:c>
    </x:row>
    <x:row r="1865" hidden="1">
      <x:c r="A1865" s="312" t="n">
        <x:f>ROW()-ROW($A$2)+1</x:f>
        <x:v>1864</x:v>
      </x:c>
      <x:c r="B1865" s="312" t="s">
        <x:v>50</x:v>
      </x:c>
      <x:c r="C1865" s="312" t="s">
        <x:v>34</x:v>
      </x:c>
      <x:c r="D1865" s="317">
        <x:v>2</x:v>
      </x:c>
      <x:c r="E1865" s="321">
        <x:v>1090</x:v>
      </x:c>
      <x:c r="F1865" s="321">
        <x:v>2180</x:v>
      </x:c>
      <x:c r="G1865" s="321">
        <x:v>580</x:v>
      </x:c>
      <x:c r="H1865" s="312" t="s">
        <x:v>62</x:v>
      </x:c>
      <x:c r="I1865" s="312" t="s">
        <x:v>28</x:v>
      </x:c>
      <x:c r="J1865" s="316" t="n">
        <x:f>IFERROR(G1865/F1865,0)</x:f>
        <x:v>0.26605504587155965</x:v>
      </x:c>
      <x:c r="K1865" s="312" t="str">
        <x:f>IF(B1865="Bilinmeyen Personel","Kontrol","OK")</x:f>
        <x:v>OK</x:v>
      </x:c>
    </x:row>
    <x:row r="1866" hidden="1">
      <x:c r="A1866" s="312" t="n">
        <x:f>ROW()-ROW($A$2)+1</x:f>
        <x:v>1865</x:v>
      </x:c>
      <x:c r="B1866" s="312" t="s">
        <x:v>50</x:v>
      </x:c>
      <x:c r="C1866" s="312" t="s">
        <x:v>22</x:v>
      </x:c>
      <x:c r="D1866" s="317">
        <x:v>3</x:v>
      </x:c>
      <x:c r="E1866" s="321">
        <x:v>2180</x:v>
      </x:c>
      <x:c r="F1866" s="321">
        <x:v>6540</x:v>
      </x:c>
      <x:c r="G1866" s="321">
        <x:v>2040</x:v>
      </x:c>
      <x:c r="H1866" s="312" t="s">
        <x:v>62</x:v>
      </x:c>
      <x:c r="I1866" s="312" t="s">
        <x:v>28</x:v>
      </x:c>
      <x:c r="J1866" s="316" t="n">
        <x:f>IFERROR(G1866/F1866,0)</x:f>
        <x:v>0.3119266055045872</x:v>
      </x:c>
      <x:c r="K1866" s="312" t="str">
        <x:f>IF(B1866="Bilinmeyen Personel","Kontrol","OK")</x:f>
        <x:v>OK</x:v>
      </x:c>
    </x:row>
    <x:row r="1867" hidden="1">
      <x:c r="A1867" s="312" t="n">
        <x:f>ROW()-ROW($A$2)+1</x:f>
        <x:v>1866</x:v>
      </x:c>
      <x:c r="B1867" s="312" t="s">
        <x:v>16</x:v>
      </x:c>
      <x:c r="C1867" s="312" t="s">
        <x:v>56</x:v>
      </x:c>
      <x:c r="D1867" s="317">
        <x:v>2</x:v>
      </x:c>
      <x:c r="E1867" s="321">
        <x:v>5300</x:v>
      </x:c>
      <x:c r="F1867" s="321">
        <x:v>10600</x:v>
      </x:c>
      <x:c r="G1867" s="321">
        <x:v>2600</x:v>
      </x:c>
      <x:c r="H1867" s="312" t="s">
        <x:v>62</x:v>
      </x:c>
      <x:c r="I1867" s="312" t="s">
        <x:v>37</x:v>
      </x:c>
      <x:c r="J1867" s="316" t="n">
        <x:f>IFERROR(G1867/F1867,0)</x:f>
        <x:v>0.24528301886792453</x:v>
      </x:c>
      <x:c r="K1867" s="312" t="str">
        <x:f>IF(B1867="Bilinmeyen Personel","Kontrol","OK")</x:f>
        <x:v>OK</x:v>
      </x:c>
    </x:row>
    <x:row r="1868" hidden="1">
      <x:c r="A1868" s="312" t="n">
        <x:f>ROW()-ROW($A$2)+1</x:f>
        <x:v>1867</x:v>
      </x:c>
      <x:c r="B1868" s="312" t="s">
        <x:v>50</x:v>
      </x:c>
      <x:c r="C1868" s="312" t="s">
        <x:v>56</x:v>
      </x:c>
      <x:c r="D1868" s="317">
        <x:v>5</x:v>
      </x:c>
      <x:c r="E1868" s="321">
        <x:v>5300</x:v>
      </x:c>
      <x:c r="F1868" s="321">
        <x:v>26500</x:v>
      </x:c>
      <x:c r="G1868" s="321">
        <x:v>6500</x:v>
      </x:c>
      <x:c r="H1868" s="312" t="s">
        <x:v>62</x:v>
      </x:c>
      <x:c r="I1868" s="312" t="s">
        <x:v>41</x:v>
      </x:c>
      <x:c r="J1868" s="316" t="n">
        <x:f>IFERROR(G1868/F1868,0)</x:f>
        <x:v>0.24528301886792453</x:v>
      </x:c>
      <x:c r="K1868" s="312" t="str">
        <x:f>IF(B1868="Bilinmeyen Personel","Kontrol","OK")</x:f>
        <x:v>OK</x:v>
      </x:c>
    </x:row>
    <x:row r="1869" hidden="1">
      <x:c r="A1869" s="312" t="n">
        <x:f>ROW()-ROW($A$2)+1</x:f>
        <x:v>1868</x:v>
      </x:c>
      <x:c r="B1869" s="312" t="s">
        <x:v>29</x:v>
      </x:c>
      <x:c r="C1869" s="312" t="s">
        <x:v>26</x:v>
      </x:c>
      <x:c r="D1869" s="317">
        <x:v>3</x:v>
      </x:c>
      <x:c r="E1869" s="321">
        <x:v>7250</x:v>
      </x:c>
      <x:c r="F1869" s="321">
        <x:v>21750</x:v>
      </x:c>
      <x:c r="G1869" s="321">
        <x:v>6750</x:v>
      </x:c>
      <x:c r="H1869" s="312" t="s">
        <x:v>62</x:v>
      </x:c>
      <x:c r="I1869" s="312" t="s">
        <x:v>44</x:v>
      </x:c>
      <x:c r="J1869" s="316" t="n">
        <x:f>IFERROR(G1869/F1869,0)</x:f>
        <x:v>0.3103448275862069</x:v>
      </x:c>
      <x:c r="K1869" s="312" t="str">
        <x:f>IF(B1869="Bilinmeyen Personel","Kontrol","OK")</x:f>
        <x:v>OK</x:v>
      </x:c>
    </x:row>
    <x:row r="1870" hidden="1">
      <x:c r="A1870" s="312" t="n">
        <x:f>ROW()-ROW($A$2)+1</x:f>
        <x:v>1869</x:v>
      </x:c>
      <x:c r="B1870" s="312" t="s">
        <x:v>29</x:v>
      </x:c>
      <x:c r="C1870" s="312" t="s">
        <x:v>53</x:v>
      </x:c>
      <x:c r="D1870" s="317">
        <x:v>4</x:v>
      </x:c>
      <x:c r="E1870" s="321">
        <x:v>1200</x:v>
      </x:c>
      <x:c r="F1870" s="321">
        <x:v>4800</x:v>
      </x:c>
      <x:c r="G1870" s="321">
        <x:v>1600</x:v>
      </x:c>
      <x:c r="H1870" s="312" t="s">
        <x:v>62</x:v>
      </x:c>
      <x:c r="I1870" s="312" t="s">
        <x:v>41</x:v>
      </x:c>
      <x:c r="J1870" s="316" t="n">
        <x:f>IFERROR(G1870/F1870,0)</x:f>
        <x:v>0.3333333333333333</x:v>
      </x:c>
      <x:c r="K1870" s="312" t="str">
        <x:f>IF(B1870="Bilinmeyen Personel","Kontrol","OK")</x:f>
        <x:v>OK</x:v>
      </x:c>
    </x:row>
    <x:row r="1871" hidden="1">
      <x:c r="A1871" s="312" t="n">
        <x:f>ROW()-ROW($A$2)+1</x:f>
        <x:v>1870</x:v>
      </x:c>
      <x:c r="B1871" s="312" t="s">
        <x:v>19</x:v>
      </x:c>
      <x:c r="C1871" s="312" t="s">
        <x:v>10</x:v>
      </x:c>
      <x:c r="D1871" s="317">
        <x:v>5</x:v>
      </x:c>
      <x:c r="E1871" s="321">
        <x:v>6000</x:v>
      </x:c>
      <x:c r="F1871" s="321">
        <x:v>30000</x:v>
      </x:c>
      <x:c r="G1871" s="321">
        <x:v>10000</x:v>
      </x:c>
      <x:c r="H1871" s="312" t="s">
        <x:v>62</x:v>
      </x:c>
      <x:c r="I1871" s="312" t="s">
        <x:v>12</x:v>
      </x:c>
      <x:c r="J1871" s="316" t="n">
        <x:f>IFERROR(G1871/F1871,0)</x:f>
        <x:v>0.3333333333333333</x:v>
      </x:c>
      <x:c r="K1871" s="312" t="str">
        <x:f>IF(B1871="Bilinmeyen Personel","Kontrol","OK")</x:f>
        <x:v>OK</x:v>
      </x:c>
    </x:row>
    <x:row r="1872" hidden="1">
      <x:c r="A1872" s="312" t="n">
        <x:f>ROW()-ROW($A$2)+1</x:f>
        <x:v>1871</x:v>
      </x:c>
      <x:c r="B1872" s="312" t="s">
        <x:v>16</x:v>
      </x:c>
      <x:c r="C1872" s="312" t="s">
        <x:v>17</x:v>
      </x:c>
      <x:c r="D1872" s="317">
        <x:v>3</x:v>
      </x:c>
      <x:c r="E1872" s="321">
        <x:v>8450</x:v>
      </x:c>
      <x:c r="F1872" s="321">
        <x:v>25350</x:v>
      </x:c>
      <x:c r="G1872" s="321">
        <x:v>7350</x:v>
      </x:c>
      <x:c r="H1872" s="312" t="s">
        <x:v>62</x:v>
      </x:c>
      <x:c r="I1872" s="312" t="s">
        <x:v>25</x:v>
      </x:c>
      <x:c r="J1872" s="316" t="n">
        <x:f>IFERROR(G1872/F1872,0)</x:f>
        <x:v>0.28994082840236685</x:v>
      </x:c>
      <x:c r="K1872" s="312" t="str">
        <x:f>IF(B1872="Bilinmeyen Personel","Kontrol","OK")</x:f>
        <x:v>OK</x:v>
      </x:c>
    </x:row>
    <x:row r="1873" hidden="1">
      <x:c r="A1873" s="312" t="n">
        <x:f>ROW()-ROW($A$2)+1</x:f>
        <x:v>1872</x:v>
      </x:c>
      <x:c r="B1873" s="312" t="s">
        <x:v>32</x:v>
      </x:c>
      <x:c r="C1873" s="312" t="s">
        <x:v>45</x:v>
      </x:c>
      <x:c r="D1873" s="317">
        <x:v>4</x:v>
      </x:c>
      <x:c r="E1873" s="321">
        <x:v>4200</x:v>
      </x:c>
      <x:c r="F1873" s="321">
        <x:v>16800</x:v>
      </x:c>
      <x:c r="G1873" s="321">
        <x:v>4800</x:v>
      </x:c>
      <x:c r="H1873" s="312" t="s">
        <x:v>62</x:v>
      </x:c>
      <x:c r="I1873" s="312" t="s">
        <x:v>41</x:v>
      </x:c>
      <x:c r="J1873" s="316" t="n">
        <x:f>IFERROR(G1873/F1873,0)</x:f>
        <x:v>0.2857142857142857</x:v>
      </x:c>
      <x:c r="K1873" s="312" t="str">
        <x:f>IF(B1873="Bilinmeyen Personel","Kontrol","OK")</x:f>
        <x:v>OK</x:v>
      </x:c>
    </x:row>
    <x:row r="1874" hidden="1">
      <x:c r="A1874" s="312" t="n">
        <x:f>ROW()-ROW($A$2)+1</x:f>
        <x:v>1873</x:v>
      </x:c>
      <x:c r="B1874" s="312" t="s">
        <x:v>32</x:v>
      </x:c>
      <x:c r="C1874" s="312" t="s">
        <x:v>39</x:v>
      </x:c>
      <x:c r="D1874" s="317">
        <x:v>3</x:v>
      </x:c>
      <x:c r="E1874" s="321">
        <x:v>10590</x:v>
      </x:c>
      <x:c r="F1874" s="321">
        <x:v>31770</x:v>
      </x:c>
      <x:c r="G1874" s="321">
        <x:v>13770</x:v>
      </x:c>
      <x:c r="H1874" s="312" t="s">
        <x:v>62</x:v>
      </x:c>
      <x:c r="I1874" s="312" t="s">
        <x:v>37</x:v>
      </x:c>
      <x:c r="J1874" s="316" t="n">
        <x:f>IFERROR(G1874/F1874,0)</x:f>
        <x:v>0.43342776203966005</x:v>
      </x:c>
      <x:c r="K1874" s="312" t="str">
        <x:f>IF(B1874="Bilinmeyen Personel","Kontrol","OK")</x:f>
        <x:v>OK</x:v>
      </x:c>
    </x:row>
    <x:row r="1875" hidden="1">
      <x:c r="A1875" s="312" t="n">
        <x:f>ROW()-ROW($A$2)+1</x:f>
        <x:v>1874</x:v>
      </x:c>
      <x:c r="B1875" s="312" t="s">
        <x:v>29</x:v>
      </x:c>
      <x:c r="C1875" s="312" t="s">
        <x:v>53</x:v>
      </x:c>
      <x:c r="D1875" s="317">
        <x:v>4</x:v>
      </x:c>
      <x:c r="E1875" s="321">
        <x:v>1200</x:v>
      </x:c>
      <x:c r="F1875" s="321">
        <x:v>4800</x:v>
      </x:c>
      <x:c r="G1875" s="321">
        <x:v>1600</x:v>
      </x:c>
      <x:c r="H1875" s="312" t="s">
        <x:v>62</x:v>
      </x:c>
      <x:c r="I1875" s="312" t="s">
        <x:v>12</x:v>
      </x:c>
      <x:c r="J1875" s="316" t="n">
        <x:f>IFERROR(G1875/F1875,0)</x:f>
        <x:v>0.3333333333333333</x:v>
      </x:c>
      <x:c r="K1875" s="312" t="str">
        <x:f>IF(B1875="Bilinmeyen Personel","Kontrol","OK")</x:f>
        <x:v>OK</x:v>
      </x:c>
    </x:row>
    <x:row r="1876" hidden="1">
      <x:c r="A1876" s="312" t="n">
        <x:f>ROW()-ROW($A$2)+1</x:f>
        <x:v>1875</x:v>
      </x:c>
      <x:c r="B1876" s="312" t="s">
        <x:v>48</x:v>
      </x:c>
      <x:c r="C1876" s="312" t="s">
        <x:v>27</x:v>
      </x:c>
      <x:c r="D1876" s="317">
        <x:v>5</x:v>
      </x:c>
      <x:c r="E1876" s="321">
        <x:v>1100</x:v>
      </x:c>
      <x:c r="F1876" s="321">
        <x:v>5500</x:v>
      </x:c>
      <x:c r="G1876" s="321">
        <x:v>1500</x:v>
      </x:c>
      <x:c r="H1876" s="312" t="s">
        <x:v>62</x:v>
      </x:c>
      <x:c r="I1876" s="312" t="s">
        <x:v>41</x:v>
      </x:c>
      <x:c r="J1876" s="316" t="n">
        <x:f>IFERROR(G1876/F1876,0)</x:f>
        <x:v>0.2727272727272727</x:v>
      </x:c>
      <x:c r="K1876" s="312" t="str">
        <x:f>IF(B1876="Bilinmeyen Personel","Kontrol","OK")</x:f>
        <x:v>OK</x:v>
      </x:c>
    </x:row>
    <x:row r="1877" hidden="1">
      <x:c r="A1877" s="312" t="n">
        <x:f>ROW()-ROW($A$2)+1</x:f>
        <x:v>1876</x:v>
      </x:c>
      <x:c r="B1877" s="312" t="s">
        <x:v>40</x:v>
      </x:c>
      <x:c r="C1877" s="312" t="s">
        <x:v>58</x:v>
      </x:c>
      <x:c r="D1877" s="317">
        <x:v>3</x:v>
      </x:c>
      <x:c r="E1877" s="321">
        <x:v>3700</x:v>
      </x:c>
      <x:c r="F1877" s="321">
        <x:v>11100</x:v>
      </x:c>
      <x:c r="G1877" s="321">
        <x:v>2100</x:v>
      </x:c>
      <x:c r="H1877" s="312" t="s">
        <x:v>62</x:v>
      </x:c>
      <x:c r="I1877" s="312" t="s">
        <x:v>46</x:v>
      </x:c>
      <x:c r="J1877" s="316" t="n">
        <x:f>IFERROR(G1877/F1877,0)</x:f>
        <x:v>0.1891891891891892</x:v>
      </x:c>
      <x:c r="K1877" s="312" t="str">
        <x:f>IF(B1877="Bilinmeyen Personel","Kontrol","OK")</x:f>
        <x:v>OK</x:v>
      </x:c>
    </x:row>
    <x:row r="1878" hidden="1">
      <x:c r="A1878" s="312" t="n">
        <x:f>ROW()-ROW($A$2)+1</x:f>
        <x:v>1877</x:v>
      </x:c>
      <x:c r="B1878" s="312" t="s">
        <x:v>13</x:v>
      </x:c>
      <x:c r="C1878" s="312" t="s">
        <x:v>58</x:v>
      </x:c>
      <x:c r="D1878" s="317">
        <x:v>5</x:v>
      </x:c>
      <x:c r="E1878" s="321">
        <x:v>3700</x:v>
      </x:c>
      <x:c r="F1878" s="321">
        <x:v>18500</x:v>
      </x:c>
      <x:c r="G1878" s="321">
        <x:v>3500</x:v>
      </x:c>
      <x:c r="H1878" s="312" t="s">
        <x:v>62</x:v>
      </x:c>
      <x:c r="I1878" s="312" t="s">
        <x:v>41</x:v>
      </x:c>
      <x:c r="J1878" s="316" t="n">
        <x:f>IFERROR(G1878/F1878,0)</x:f>
        <x:v>0.1891891891891892</x:v>
      </x:c>
      <x:c r="K1878" s="312" t="str">
        <x:f>IF(B1878="Bilinmeyen Personel","Kontrol","OK")</x:f>
        <x:v>OK</x:v>
      </x:c>
    </x:row>
    <x:row r="1879" hidden="1">
      <x:c r="A1879" s="312" t="n">
        <x:f>ROW()-ROW($A$2)+1</x:f>
        <x:v>1878</x:v>
      </x:c>
      <x:c r="B1879" s="312" t="s">
        <x:v>32</x:v>
      </x:c>
      <x:c r="C1879" s="312" t="s">
        <x:v>27</x:v>
      </x:c>
      <x:c r="D1879" s="317">
        <x:v>3</x:v>
      </x:c>
      <x:c r="E1879" s="321">
        <x:v>1100</x:v>
      </x:c>
      <x:c r="F1879" s="321">
        <x:v>3300</x:v>
      </x:c>
      <x:c r="G1879" s="321">
        <x:v>900</x:v>
      </x:c>
      <x:c r="H1879" s="312" t="s">
        <x:v>62</x:v>
      </x:c>
      <x:c r="I1879" s="312" t="s">
        <x:v>46</x:v>
      </x:c>
      <x:c r="J1879" s="316" t="n">
        <x:f>IFERROR(G1879/F1879,0)</x:f>
        <x:v>0.2727272727272727</x:v>
      </x:c>
      <x:c r="K1879" s="312" t="str">
        <x:f>IF(B1879="Bilinmeyen Personel","Kontrol","OK")</x:f>
        <x:v>OK</x:v>
      </x:c>
    </x:row>
    <x:row r="1880" hidden="1">
      <x:c r="A1880" s="312" t="n">
        <x:f>ROW()-ROW($A$2)+1</x:f>
        <x:v>1879</x:v>
      </x:c>
      <x:c r="B1880" s="312" t="s">
        <x:v>29</x:v>
      </x:c>
      <x:c r="C1880" s="312" t="s">
        <x:v>58</x:v>
      </x:c>
      <x:c r="D1880" s="317">
        <x:v>4</x:v>
      </x:c>
      <x:c r="E1880" s="321">
        <x:v>3700</x:v>
      </x:c>
      <x:c r="F1880" s="321">
        <x:v>14800</x:v>
      </x:c>
      <x:c r="G1880" s="321">
        <x:v>2800</x:v>
      </x:c>
      <x:c r="H1880" s="312" t="s">
        <x:v>62</x:v>
      </x:c>
      <x:c r="I1880" s="312" t="s">
        <x:v>54</x:v>
      </x:c>
      <x:c r="J1880" s="316" t="n">
        <x:f>IFERROR(G1880/F1880,0)</x:f>
        <x:v>0.1891891891891892</x:v>
      </x:c>
      <x:c r="K1880" s="312" t="str">
        <x:f>IF(B1880="Bilinmeyen Personel","Kontrol","OK")</x:f>
        <x:v>OK</x:v>
      </x:c>
    </x:row>
    <x:row r="1881" hidden="1">
      <x:c r="A1881" s="312" t="n">
        <x:f>ROW()-ROW($A$2)+1</x:f>
        <x:v>1880</x:v>
      </x:c>
      <x:c r="B1881" s="312" t="s">
        <x:v>48</x:v>
      </x:c>
      <x:c r="C1881" s="312" t="s">
        <x:v>43</x:v>
      </x:c>
      <x:c r="D1881" s="317">
        <x:v>2</x:v>
      </x:c>
      <x:c r="E1881" s="321">
        <x:v>1490</x:v>
      </x:c>
      <x:c r="F1881" s="321">
        <x:v>2980</x:v>
      </x:c>
      <x:c r="G1881" s="321">
        <x:v>1380</x:v>
      </x:c>
      <x:c r="H1881" s="312" t="s">
        <x:v>62</x:v>
      </x:c>
      <x:c r="I1881" s="312" t="s">
        <x:v>41</x:v>
      </x:c>
      <x:c r="J1881" s="316" t="n">
        <x:f>IFERROR(G1881/F1881,0)</x:f>
        <x:v>0.46308724832214765</x:v>
      </x:c>
      <x:c r="K1881" s="312" t="str">
        <x:f>IF(B1881="Bilinmeyen Personel","Kontrol","OK")</x:f>
        <x:v>OK</x:v>
      </x:c>
    </x:row>
    <x:row r="1882" hidden="1">
      <x:c r="A1882" s="312" t="n">
        <x:f>ROW()-ROW($A$2)+1</x:f>
        <x:v>1881</x:v>
      </x:c>
      <x:c r="B1882" s="312" t="s">
        <x:v>40</x:v>
      </x:c>
      <x:c r="C1882" s="312" t="s">
        <x:v>57</x:v>
      </x:c>
      <x:c r="D1882" s="317">
        <x:v>5</x:v>
      </x:c>
      <x:c r="E1882" s="321">
        <x:v>1500</x:v>
      </x:c>
      <x:c r="F1882" s="321">
        <x:v>7500</x:v>
      </x:c>
      <x:c r="G1882" s="321">
        <x:v>3500</x:v>
      </x:c>
      <x:c r="H1882" s="312" t="s">
        <x:v>62</x:v>
      </x:c>
      <x:c r="I1882" s="312" t="s">
        <x:v>54</x:v>
      </x:c>
      <x:c r="J1882" s="316" t="n">
        <x:f>IFERROR(G1882/F1882,0)</x:f>
        <x:v>0.4666666666666667</x:v>
      </x:c>
      <x:c r="K1882" s="312" t="str">
        <x:f>IF(B1882="Bilinmeyen Personel","Kontrol","OK")</x:f>
        <x:v>OK</x:v>
      </x:c>
    </x:row>
    <x:row r="1883" hidden="1">
      <x:c r="A1883" s="312" t="n">
        <x:f>ROW()-ROW($A$2)+1</x:f>
        <x:v>1882</x:v>
      </x:c>
      <x:c r="B1883" s="312" t="s">
        <x:v>38</x:v>
      </x:c>
      <x:c r="C1883" s="312" t="s">
        <x:v>34</x:v>
      </x:c>
      <x:c r="D1883" s="317">
        <x:v>2</x:v>
      </x:c>
      <x:c r="E1883" s="321">
        <x:v>1090</x:v>
      </x:c>
      <x:c r="F1883" s="321">
        <x:v>2180</x:v>
      </x:c>
      <x:c r="G1883" s="321">
        <x:v>580</x:v>
      </x:c>
      <x:c r="H1883" s="312" t="s">
        <x:v>62</x:v>
      </x:c>
      <x:c r="I1883" s="312" t="s">
        <x:v>44</x:v>
      </x:c>
      <x:c r="J1883" s="316" t="n">
        <x:f>IFERROR(G1883/F1883,0)</x:f>
        <x:v>0.26605504587155965</x:v>
      </x:c>
      <x:c r="K1883" s="312" t="str">
        <x:f>IF(B1883="Bilinmeyen Personel","Kontrol","OK")</x:f>
        <x:v>OK</x:v>
      </x:c>
    </x:row>
    <x:row r="1884" hidden="1">
      <x:c r="A1884" s="312" t="n">
        <x:f>ROW()-ROW($A$2)+1</x:f>
        <x:v>1883</x:v>
      </x:c>
      <x:c r="B1884" s="312" t="s">
        <x:v>48</x:v>
      </x:c>
      <x:c r="C1884" s="312" t="s">
        <x:v>33</x:v>
      </x:c>
      <x:c r="D1884" s="317">
        <x:v>3</x:v>
      </x:c>
      <x:c r="E1884" s="321">
        <x:v>1800</x:v>
      </x:c>
      <x:c r="F1884" s="321">
        <x:v>5400</x:v>
      </x:c>
      <x:c r="G1884" s="321">
        <x:v>3000</x:v>
      </x:c>
      <x:c r="H1884" s="312" t="s">
        <x:v>62</x:v>
      </x:c>
      <x:c r="I1884" s="312" t="s">
        <x:v>28</x:v>
      </x:c>
      <x:c r="J1884" s="316" t="n">
        <x:f>IFERROR(G1884/F1884,0)</x:f>
        <x:v>0.5555555555555556</x:v>
      </x:c>
      <x:c r="K1884" s="312" t="str">
        <x:f>IF(B1884="Bilinmeyen Personel","Kontrol","OK")</x:f>
        <x:v>OK</x:v>
      </x:c>
    </x:row>
    <x:row r="1885" hidden="1">
      <x:c r="A1885" s="312" t="n">
        <x:f>ROW()-ROW($A$2)+1</x:f>
        <x:v>1884</x:v>
      </x:c>
      <x:c r="B1885" s="312" t="s">
        <x:v>35</x:v>
      </x:c>
      <x:c r="C1885" s="312" t="s">
        <x:v>55</x:v>
      </x:c>
      <x:c r="D1885" s="317">
        <x:v>5</x:v>
      </x:c>
      <x:c r="E1885" s="321">
        <x:v>7530</x:v>
      </x:c>
      <x:c r="F1885" s="321">
        <x:v>37650</x:v>
      </x:c>
      <x:c r="G1885" s="321">
        <x:v>7650</x:v>
      </x:c>
      <x:c r="H1885" s="312" t="s">
        <x:v>62</x:v>
      </x:c>
      <x:c r="I1885" s="312" t="s">
        <x:v>15</x:v>
      </x:c>
      <x:c r="J1885" s="316" t="n">
        <x:f>IFERROR(G1885/F1885,0)</x:f>
        <x:v>0.20318725099601595</x:v>
      </x:c>
      <x:c r="K1885" s="312" t="str">
        <x:f>IF(B1885="Bilinmeyen Personel","Kontrol","OK")</x:f>
        <x:v>OK</x:v>
      </x:c>
    </x:row>
    <x:row r="1886" hidden="1">
      <x:c r="A1886" s="312" t="n">
        <x:f>ROW()-ROW($A$2)+1</x:f>
        <x:v>1885</x:v>
      </x:c>
      <x:c r="B1886" s="312" t="s">
        <x:v>32</x:v>
      </x:c>
      <x:c r="C1886" s="312" t="s">
        <x:v>27</x:v>
      </x:c>
      <x:c r="D1886" s="317">
        <x:v>3</x:v>
      </x:c>
      <x:c r="E1886" s="321">
        <x:v>1100</x:v>
      </x:c>
      <x:c r="F1886" s="321">
        <x:v>3300</x:v>
      </x:c>
      <x:c r="G1886" s="321">
        <x:v>900</x:v>
      </x:c>
      <x:c r="H1886" s="312" t="s">
        <x:v>62</x:v>
      </x:c>
      <x:c r="I1886" s="312" t="s">
        <x:v>41</x:v>
      </x:c>
      <x:c r="J1886" s="316" t="n">
        <x:f>IFERROR(G1886/F1886,0)</x:f>
        <x:v>0.2727272727272727</x:v>
      </x:c>
      <x:c r="K1886" s="312" t="str">
        <x:f>IF(B1886="Bilinmeyen Personel","Kontrol","OK")</x:f>
        <x:v>OK</x:v>
      </x:c>
    </x:row>
    <x:row r="1887" hidden="1">
      <x:c r="A1887" s="312" t="n">
        <x:f>ROW()-ROW($A$2)+1</x:f>
        <x:v>1886</x:v>
      </x:c>
      <x:c r="B1887" s="312" t="s">
        <x:v>40</x:v>
      </x:c>
      <x:c r="C1887" s="312" t="s">
        <x:v>20</x:v>
      </x:c>
      <x:c r="D1887" s="317">
        <x:v>2</x:v>
      </x:c>
      <x:c r="E1887" s="321">
        <x:v>1350</x:v>
      </x:c>
      <x:c r="F1887" s="321">
        <x:v>2700</x:v>
      </x:c>
      <x:c r="G1887" s="321">
        <x:v>1100</x:v>
      </x:c>
      <x:c r="H1887" s="312" t="s">
        <x:v>62</x:v>
      </x:c>
      <x:c r="I1887" s="312" t="s">
        <x:v>42</x:v>
      </x:c>
      <x:c r="J1887" s="316" t="n">
        <x:f>IFERROR(G1887/F1887,0)</x:f>
        <x:v>0.4074074074074074</x:v>
      </x:c>
      <x:c r="K1887" s="312" t="str">
        <x:f>IF(B1887="Bilinmeyen Personel","Kontrol","OK")</x:f>
        <x:v>OK</x:v>
      </x:c>
    </x:row>
    <x:row r="1888" hidden="1">
      <x:c r="A1888" s="312" t="n">
        <x:f>ROW()-ROW($A$2)+1</x:f>
        <x:v>1887</x:v>
      </x:c>
      <x:c r="B1888" s="312" t="s">
        <x:v>38</x:v>
      </x:c>
      <x:c r="C1888" s="312" t="s">
        <x:v>20</x:v>
      </x:c>
      <x:c r="D1888" s="317">
        <x:v>5</x:v>
      </x:c>
      <x:c r="E1888" s="321">
        <x:v>1350</x:v>
      </x:c>
      <x:c r="F1888" s="321">
        <x:v>6750</x:v>
      </x:c>
      <x:c r="G1888" s="321">
        <x:v>2750</x:v>
      </x:c>
      <x:c r="H1888" s="312" t="s">
        <x:v>62</x:v>
      </x:c>
      <x:c r="I1888" s="312" t="s">
        <x:v>44</x:v>
      </x:c>
      <x:c r="J1888" s="316" t="n">
        <x:f>IFERROR(G1888/F1888,0)</x:f>
        <x:v>0.4074074074074074</x:v>
      </x:c>
      <x:c r="K1888" s="312" t="str">
        <x:f>IF(B1888="Bilinmeyen Personel","Kontrol","OK")</x:f>
        <x:v>OK</x:v>
      </x:c>
    </x:row>
    <x:row r="1889" hidden="1">
      <x:c r="A1889" s="312" t="n">
        <x:f>ROW()-ROW($A$2)+1</x:f>
        <x:v>1888</x:v>
      </x:c>
      <x:c r="B1889" s="312" t="s">
        <x:v>35</x:v>
      </x:c>
      <x:c r="C1889" s="312" t="s">
        <x:v>34</x:v>
      </x:c>
      <x:c r="D1889" s="317">
        <x:v>2</x:v>
      </x:c>
      <x:c r="E1889" s="321">
        <x:v>1090</x:v>
      </x:c>
      <x:c r="F1889" s="321">
        <x:v>2180</x:v>
      </x:c>
      <x:c r="G1889" s="321">
        <x:v>580</x:v>
      </x:c>
      <x:c r="H1889" s="312" t="s">
        <x:v>62</x:v>
      </x:c>
      <x:c r="I1889" s="312" t="s">
        <x:v>18</x:v>
      </x:c>
      <x:c r="J1889" s="316" t="n">
        <x:f>IFERROR(G1889/F1889,0)</x:f>
        <x:v>0.26605504587155965</x:v>
      </x:c>
      <x:c r="K1889" s="312" t="str">
        <x:f>IF(B1889="Bilinmeyen Personel","Kontrol","OK")</x:f>
        <x:v>OK</x:v>
      </x:c>
    </x:row>
    <x:row r="1890" hidden="1">
      <x:c r="A1890" s="312" t="n">
        <x:f>ROW()-ROW($A$2)+1</x:f>
        <x:v>1889</x:v>
      </x:c>
      <x:c r="B1890" s="312" t="s">
        <x:v>35</x:v>
      </x:c>
      <x:c r="C1890" s="312" t="s">
        <x:v>45</x:v>
      </x:c>
      <x:c r="D1890" s="317">
        <x:v>4</x:v>
      </x:c>
      <x:c r="E1890" s="321">
        <x:v>4200</x:v>
      </x:c>
      <x:c r="F1890" s="321">
        <x:v>16800</x:v>
      </x:c>
      <x:c r="G1890" s="321">
        <x:v>4800</x:v>
      </x:c>
      <x:c r="H1890" s="312" t="s">
        <x:v>62</x:v>
      </x:c>
      <x:c r="I1890" s="312" t="s">
        <x:v>15</x:v>
      </x:c>
      <x:c r="J1890" s="316" t="n">
        <x:f>IFERROR(G1890/F1890,0)</x:f>
        <x:v>0.2857142857142857</x:v>
      </x:c>
      <x:c r="K1890" s="312" t="str">
        <x:f>IF(B1890="Bilinmeyen Personel","Kontrol","OK")</x:f>
        <x:v>OK</x:v>
      </x:c>
    </x:row>
    <x:row r="1891" hidden="1">
      <x:c r="A1891" s="312" t="n">
        <x:f>ROW()-ROW($A$2)+1</x:f>
        <x:v>1890</x:v>
      </x:c>
      <x:c r="B1891" s="312" t="s">
        <x:v>40</x:v>
      </x:c>
      <x:c r="C1891" s="312" t="s">
        <x:v>33</x:v>
      </x:c>
      <x:c r="D1891" s="317">
        <x:v>2</x:v>
      </x:c>
      <x:c r="E1891" s="321">
        <x:v>1800</x:v>
      </x:c>
      <x:c r="F1891" s="321">
        <x:v>3600</x:v>
      </x:c>
      <x:c r="G1891" s="321">
        <x:v>2000</x:v>
      </x:c>
      <x:c r="H1891" s="312" t="s">
        <x:v>62</x:v>
      </x:c>
      <x:c r="I1891" s="312" t="s">
        <x:v>54</x:v>
      </x:c>
      <x:c r="J1891" s="316" t="n">
        <x:f>IFERROR(G1891/F1891,0)</x:f>
        <x:v>0.5555555555555556</x:v>
      </x:c>
      <x:c r="K1891" s="312" t="str">
        <x:f>IF(B1891="Bilinmeyen Personel","Kontrol","OK")</x:f>
        <x:v>OK</x:v>
      </x:c>
    </x:row>
    <x:row r="1892" hidden="1">
      <x:c r="A1892" s="312" t="n">
        <x:f>ROW()-ROW($A$2)+1</x:f>
        <x:v>1891</x:v>
      </x:c>
      <x:c r="B1892" s="312" t="s">
        <x:v>50</x:v>
      </x:c>
      <x:c r="C1892" s="312" t="s">
        <x:v>34</x:v>
      </x:c>
      <x:c r="D1892" s="317">
        <x:v>3</x:v>
      </x:c>
      <x:c r="E1892" s="321">
        <x:v>1090</x:v>
      </x:c>
      <x:c r="F1892" s="321">
        <x:v>3270</x:v>
      </x:c>
      <x:c r="G1892" s="321">
        <x:v>870</x:v>
      </x:c>
      <x:c r="H1892" s="312" t="s">
        <x:v>62</x:v>
      </x:c>
      <x:c r="I1892" s="312" t="s">
        <x:v>46</x:v>
      </x:c>
      <x:c r="J1892" s="316" t="n">
        <x:f>IFERROR(G1892/F1892,0)</x:f>
        <x:v>0.26605504587155965</x:v>
      </x:c>
      <x:c r="K1892" s="312" t="str">
        <x:f>IF(B1892="Bilinmeyen Personel","Kontrol","OK")</x:f>
        <x:v>OK</x:v>
      </x:c>
    </x:row>
    <x:row r="1893" hidden="1">
      <x:c r="A1893" s="312" t="n">
        <x:f>ROW()-ROW($A$2)+1</x:f>
        <x:v>1892</x:v>
      </x:c>
      <x:c r="B1893" s="312" t="s">
        <x:v>9</x:v>
      </x:c>
      <x:c r="C1893" s="312" t="s">
        <x:v>24</x:v>
      </x:c>
      <x:c r="D1893" s="317">
        <x:v>2</x:v>
      </x:c>
      <x:c r="E1893" s="321">
        <x:v>7600</x:v>
      </x:c>
      <x:c r="F1893" s="321">
        <x:v>15200</x:v>
      </x:c>
      <x:c r="G1893" s="321">
        <x:v>3200</x:v>
      </x:c>
      <x:c r="H1893" s="312" t="s">
        <x:v>62</x:v>
      </x:c>
      <x:c r="I1893" s="312" t="s">
        <x:v>12</x:v>
      </x:c>
      <x:c r="J1893" s="316" t="n">
        <x:f>IFERROR(G1893/F1893,0)</x:f>
        <x:v>0.21052631578947367</x:v>
      </x:c>
      <x:c r="K1893" s="312" t="str">
        <x:f>IF(B1893="Bilinmeyen Personel","Kontrol","OK")</x:f>
        <x:v>OK</x:v>
      </x:c>
    </x:row>
    <x:row r="1894" hidden="1">
      <x:c r="A1894" s="312" t="n">
        <x:f>ROW()-ROW($A$2)+1</x:f>
        <x:v>1893</x:v>
      </x:c>
      <x:c r="B1894" s="312" t="s">
        <x:v>38</x:v>
      </x:c>
      <x:c r="C1894" s="312" t="s">
        <x:v>24</x:v>
      </x:c>
      <x:c r="D1894" s="317">
        <x:v>2</x:v>
      </x:c>
      <x:c r="E1894" s="321">
        <x:v>7600</x:v>
      </x:c>
      <x:c r="F1894" s="321">
        <x:v>15200</x:v>
      </x:c>
      <x:c r="G1894" s="321">
        <x:v>3200</x:v>
      </x:c>
      <x:c r="H1894" s="312" t="s">
        <x:v>62</x:v>
      </x:c>
      <x:c r="I1894" s="312" t="s">
        <x:v>37</x:v>
      </x:c>
      <x:c r="J1894" s="316" t="n">
        <x:f>IFERROR(G1894/F1894,0)</x:f>
        <x:v>0.21052631578947367</x:v>
      </x:c>
      <x:c r="K1894" s="312" t="str">
        <x:f>IF(B1894="Bilinmeyen Personel","Kontrol","OK")</x:f>
        <x:v>OK</x:v>
      </x:c>
    </x:row>
    <x:row r="1895" hidden="1">
      <x:c r="A1895" s="312" t="n">
        <x:f>ROW()-ROW($A$2)+1</x:f>
        <x:v>1894</x:v>
      </x:c>
      <x:c r="B1895" s="312" t="s">
        <x:v>16</x:v>
      </x:c>
      <x:c r="C1895" s="312" t="s">
        <x:v>58</x:v>
      </x:c>
      <x:c r="D1895" s="317">
        <x:v>5</x:v>
      </x:c>
      <x:c r="E1895" s="321">
        <x:v>3700</x:v>
      </x:c>
      <x:c r="F1895" s="321">
        <x:v>18500</x:v>
      </x:c>
      <x:c r="G1895" s="321">
        <x:v>3500</x:v>
      </x:c>
      <x:c r="H1895" s="312" t="s">
        <x:v>62</x:v>
      </x:c>
      <x:c r="I1895" s="312" t="s">
        <x:v>21</x:v>
      </x:c>
      <x:c r="J1895" s="316" t="n">
        <x:f>IFERROR(G1895/F1895,0)</x:f>
        <x:v>0.1891891891891892</x:v>
      </x:c>
      <x:c r="K1895" s="312" t="str">
        <x:f>IF(B1895="Bilinmeyen Personel","Kontrol","OK")</x:f>
        <x:v>OK</x:v>
      </x:c>
    </x:row>
    <x:row r="1896" hidden="1">
      <x:c r="A1896" s="312" t="n">
        <x:f>ROW()-ROW($A$2)+1</x:f>
        <x:v>1895</x:v>
      </x:c>
      <x:c r="B1896" s="312" t="s">
        <x:v>23</x:v>
      </x:c>
      <x:c r="C1896" s="312" t="s">
        <x:v>26</x:v>
      </x:c>
      <x:c r="D1896" s="317">
        <x:v>3</x:v>
      </x:c>
      <x:c r="E1896" s="321">
        <x:v>7250</x:v>
      </x:c>
      <x:c r="F1896" s="321">
        <x:v>21750</x:v>
      </x:c>
      <x:c r="G1896" s="321">
        <x:v>6750</x:v>
      </x:c>
      <x:c r="H1896" s="312" t="s">
        <x:v>62</x:v>
      </x:c>
      <x:c r="I1896" s="312" t="s">
        <x:v>21</x:v>
      </x:c>
      <x:c r="J1896" s="316" t="n">
        <x:f>IFERROR(G1896/F1896,0)</x:f>
        <x:v>0.3103448275862069</x:v>
      </x:c>
      <x:c r="K1896" s="312" t="str">
        <x:f>IF(B1896="Bilinmeyen Personel","Kontrol","OK")</x:f>
        <x:v>OK</x:v>
      </x:c>
    </x:row>
    <x:row r="1897" hidden="1">
      <x:c r="A1897" s="312" t="n">
        <x:f>ROW()-ROW($A$2)+1</x:f>
        <x:v>1896</x:v>
      </x:c>
      <x:c r="B1897" s="312" t="s">
        <x:v>13</x:v>
      </x:c>
      <x:c r="C1897" s="312" t="s">
        <x:v>24</x:v>
      </x:c>
      <x:c r="D1897" s="317">
        <x:v>5</x:v>
      </x:c>
      <x:c r="E1897" s="321">
        <x:v>7600</x:v>
      </x:c>
      <x:c r="F1897" s="321">
        <x:v>38000</x:v>
      </x:c>
      <x:c r="G1897" s="321">
        <x:v>8000</x:v>
      </x:c>
      <x:c r="H1897" s="312" t="s">
        <x:v>62</x:v>
      </x:c>
      <x:c r="I1897" s="312" t="s">
        <x:v>25</x:v>
      </x:c>
      <x:c r="J1897" s="316" t="n">
        <x:f>IFERROR(G1897/F1897,0)</x:f>
        <x:v>0.21052631578947367</x:v>
      </x:c>
      <x:c r="K1897" s="312" t="str">
        <x:f>IF(B1897="Bilinmeyen Personel","Kontrol","OK")</x:f>
        <x:v>OK</x:v>
      </x:c>
    </x:row>
    <x:row r="1898" hidden="1">
      <x:c r="A1898" s="312" t="n">
        <x:f>ROW()-ROW($A$2)+1</x:f>
        <x:v>1897</x:v>
      </x:c>
      <x:c r="B1898" s="312" t="s">
        <x:v>48</x:v>
      </x:c>
      <x:c r="C1898" s="312" t="s">
        <x:v>45</x:v>
      </x:c>
      <x:c r="D1898" s="317">
        <x:v>4</x:v>
      </x:c>
      <x:c r="E1898" s="321">
        <x:v>4200</x:v>
      </x:c>
      <x:c r="F1898" s="321">
        <x:v>16800</x:v>
      </x:c>
      <x:c r="G1898" s="321">
        <x:v>4800</x:v>
      </x:c>
      <x:c r="H1898" s="312" t="s">
        <x:v>62</x:v>
      </x:c>
      <x:c r="I1898" s="312" t="s">
        <x:v>37</x:v>
      </x:c>
      <x:c r="J1898" s="316" t="n">
        <x:f>IFERROR(G1898/F1898,0)</x:f>
        <x:v>0.2857142857142857</x:v>
      </x:c>
      <x:c r="K1898" s="312" t="str">
        <x:f>IF(B1898="Bilinmeyen Personel","Kontrol","OK")</x:f>
        <x:v>OK</x:v>
      </x:c>
    </x:row>
    <x:row r="1899" hidden="1">
      <x:c r="A1899" s="312" t="n">
        <x:f>ROW()-ROW($A$2)+1</x:f>
        <x:v>1898</x:v>
      </x:c>
      <x:c r="B1899" s="312" t="s">
        <x:v>32</x:v>
      </x:c>
      <x:c r="C1899" s="312" t="s">
        <x:v>52</x:v>
      </x:c>
      <x:c r="D1899" s="317">
        <x:v>3</x:v>
      </x:c>
      <x:c r="E1899" s="321">
        <x:v>1250</x:v>
      </x:c>
      <x:c r="F1899" s="321">
        <x:v>3750</x:v>
      </x:c>
      <x:c r="G1899" s="321">
        <x:v>1350</x:v>
      </x:c>
      <x:c r="H1899" s="312" t="s">
        <x:v>62</x:v>
      </x:c>
      <x:c r="I1899" s="312" t="s">
        <x:v>28</x:v>
      </x:c>
      <x:c r="J1899" s="316" t="n">
        <x:f>IFERROR(G1899/F1899,0)</x:f>
        <x:v>0.36</x:v>
      </x:c>
      <x:c r="K1899" s="312" t="str">
        <x:f>IF(B1899="Bilinmeyen Personel","Kontrol","OK")</x:f>
        <x:v>OK</x:v>
      </x:c>
    </x:row>
    <x:row r="1900" hidden="1">
      <x:c r="A1900" s="312" t="n">
        <x:f>ROW()-ROW($A$2)+1</x:f>
        <x:v>1899</x:v>
      </x:c>
      <x:c r="B1900" s="312" t="s">
        <x:v>38</x:v>
      </x:c>
      <x:c r="C1900" s="312" t="s">
        <x:v>34</x:v>
      </x:c>
      <x:c r="D1900" s="317">
        <x:v>5</x:v>
      </x:c>
      <x:c r="E1900" s="321">
        <x:v>1090</x:v>
      </x:c>
      <x:c r="F1900" s="321">
        <x:v>5450</x:v>
      </x:c>
      <x:c r="G1900" s="321">
        <x:v>1450</x:v>
      </x:c>
      <x:c r="H1900" s="312" t="s">
        <x:v>62</x:v>
      </x:c>
      <x:c r="I1900" s="312" t="s">
        <x:v>18</x:v>
      </x:c>
      <x:c r="J1900" s="316" t="n">
        <x:f>IFERROR(G1900/F1900,0)</x:f>
        <x:v>0.26605504587155965</x:v>
      </x:c>
      <x:c r="K1900" s="312" t="str">
        <x:f>IF(B1900="Bilinmeyen Personel","Kontrol","OK")</x:f>
        <x:v>OK</x:v>
      </x:c>
    </x:row>
    <x:row r="1901" hidden="1">
      <x:c r="A1901" s="312" t="n">
        <x:f>ROW()-ROW($A$2)+1</x:f>
        <x:v>1900</x:v>
      </x:c>
      <x:c r="B1901" s="312" t="s">
        <x:v>19</x:v>
      </x:c>
      <x:c r="C1901" s="312" t="s">
        <x:v>22</x:v>
      </x:c>
      <x:c r="D1901" s="317">
        <x:v>4</x:v>
      </x:c>
      <x:c r="E1901" s="321">
        <x:v>2180</x:v>
      </x:c>
      <x:c r="F1901" s="321">
        <x:v>8720</x:v>
      </x:c>
      <x:c r="G1901" s="321">
        <x:v>2720</x:v>
      </x:c>
      <x:c r="H1901" s="312" t="s">
        <x:v>62</x:v>
      </x:c>
      <x:c r="I1901" s="312" t="s">
        <x:v>28</x:v>
      </x:c>
      <x:c r="J1901" s="316" t="n">
        <x:f>IFERROR(G1901/F1901,0)</x:f>
        <x:v>0.3119266055045872</x:v>
      </x:c>
      <x:c r="K1901" s="312" t="str">
        <x:f>IF(B1901="Bilinmeyen Personel","Kontrol","OK")</x:f>
        <x:v>OK</x:v>
      </x:c>
    </x:row>
    <x:row r="1902" hidden="1">
      <x:c r="A1902" s="312" t="n">
        <x:f>ROW()-ROW($A$2)+1</x:f>
        <x:v>1901</x:v>
      </x:c>
      <x:c r="B1902" s="312" t="s">
        <x:v>50</x:v>
      </x:c>
      <x:c r="C1902" s="312" t="s">
        <x:v>58</x:v>
      </x:c>
      <x:c r="D1902" s="317">
        <x:v>3</x:v>
      </x:c>
      <x:c r="E1902" s="321">
        <x:v>3700</x:v>
      </x:c>
      <x:c r="F1902" s="321">
        <x:v>11100</x:v>
      </x:c>
      <x:c r="G1902" s="321">
        <x:v>2100</x:v>
      </x:c>
      <x:c r="H1902" s="312" t="s">
        <x:v>62</x:v>
      </x:c>
      <x:c r="I1902" s="312" t="s">
        <x:v>42</x:v>
      </x:c>
      <x:c r="J1902" s="316" t="n">
        <x:f>IFERROR(G1902/F1902,0)</x:f>
        <x:v>0.1891891891891892</x:v>
      </x:c>
      <x:c r="K1902" s="312" t="str">
        <x:f>IF(B1902="Bilinmeyen Personel","Kontrol","OK")</x:f>
        <x:v>OK</x:v>
      </x:c>
    </x:row>
    <x:row r="1903" hidden="1">
      <x:c r="A1903" s="312" t="n">
        <x:f>ROW()-ROW($A$2)+1</x:f>
        <x:v>1902</x:v>
      </x:c>
      <x:c r="B1903" s="312" t="s">
        <x:v>40</x:v>
      </x:c>
      <x:c r="C1903" s="312" t="s">
        <x:v>10</x:v>
      </x:c>
      <x:c r="D1903" s="317">
        <x:v>4</x:v>
      </x:c>
      <x:c r="E1903" s="321">
        <x:v>6000</x:v>
      </x:c>
      <x:c r="F1903" s="321">
        <x:v>24000</x:v>
      </x:c>
      <x:c r="G1903" s="321">
        <x:v>8000</x:v>
      </x:c>
      <x:c r="H1903" s="312" t="s">
        <x:v>62</x:v>
      </x:c>
      <x:c r="I1903" s="312" t="s">
        <x:v>37</x:v>
      </x:c>
      <x:c r="J1903" s="316" t="n">
        <x:f>IFERROR(G1903/F1903,0)</x:f>
        <x:v>0.3333333333333333</x:v>
      </x:c>
      <x:c r="K1903" s="312" t="str">
        <x:f>IF(B1903="Bilinmeyen Personel","Kontrol","OK")</x:f>
        <x:v>OK</x:v>
      </x:c>
    </x:row>
    <x:row r="1904" hidden="1">
      <x:c r="A1904" s="312" t="n">
        <x:f>ROW()-ROW($A$2)+1</x:f>
        <x:v>1903</x:v>
      </x:c>
      <x:c r="B1904" s="312" t="s">
        <x:v>48</x:v>
      </x:c>
      <x:c r="C1904" s="312" t="s">
        <x:v>52</x:v>
      </x:c>
      <x:c r="D1904" s="317">
        <x:v>5</x:v>
      </x:c>
      <x:c r="E1904" s="321">
        <x:v>1250</x:v>
      </x:c>
      <x:c r="F1904" s="321">
        <x:v>6250</x:v>
      </x:c>
      <x:c r="G1904" s="321">
        <x:v>2250</x:v>
      </x:c>
      <x:c r="H1904" s="312" t="s">
        <x:v>62</x:v>
      </x:c>
      <x:c r="I1904" s="312" t="s">
        <x:v>46</x:v>
      </x:c>
      <x:c r="J1904" s="316" t="n">
        <x:f>IFERROR(G1904/F1904,0)</x:f>
        <x:v>0.36</x:v>
      </x:c>
      <x:c r="K1904" s="312" t="str">
        <x:f>IF(B1904="Bilinmeyen Personel","Kontrol","OK")</x:f>
        <x:v>OK</x:v>
      </x:c>
    </x:row>
    <x:row r="1905" hidden="1">
      <x:c r="A1905" s="312" t="n">
        <x:f>ROW()-ROW($A$2)+1</x:f>
        <x:v>1904</x:v>
      </x:c>
      <x:c r="B1905" s="312" t="s">
        <x:v>50</x:v>
      </x:c>
      <x:c r="C1905" s="312" t="s">
        <x:v>24</x:v>
      </x:c>
      <x:c r="D1905" s="317">
        <x:v>3</x:v>
      </x:c>
      <x:c r="E1905" s="321">
        <x:v>7600</x:v>
      </x:c>
      <x:c r="F1905" s="321">
        <x:v>22800</x:v>
      </x:c>
      <x:c r="G1905" s="321">
        <x:v>4800</x:v>
      </x:c>
      <x:c r="H1905" s="312" t="s">
        <x:v>62</x:v>
      </x:c>
      <x:c r="I1905" s="312" t="s">
        <x:v>21</x:v>
      </x:c>
      <x:c r="J1905" s="316" t="n">
        <x:f>IFERROR(G1905/F1905,0)</x:f>
        <x:v>0.21052631578947367</x:v>
      </x:c>
      <x:c r="K1905" s="312" t="str">
        <x:f>IF(B1905="Bilinmeyen Personel","Kontrol","OK")</x:f>
        <x:v>OK</x:v>
      </x:c>
    </x:row>
    <x:row r="1906" hidden="1">
      <x:c r="A1906" s="312" t="n">
        <x:f>ROW()-ROW($A$2)+1</x:f>
        <x:v>1905</x:v>
      </x:c>
      <x:c r="B1906" s="312" t="s">
        <x:v>9</x:v>
      </x:c>
      <x:c r="C1906" s="312" t="s">
        <x:v>14</x:v>
      </x:c>
      <x:c r="D1906" s="317">
        <x:v>5</x:v>
      </x:c>
      <x:c r="E1906" s="321">
        <x:v>1400</x:v>
      </x:c>
      <x:c r="F1906" s="321">
        <x:v>7000</x:v>
      </x:c>
      <x:c r="G1906" s="321">
        <x:v>3000</x:v>
      </x:c>
      <x:c r="H1906" s="312" t="s">
        <x:v>62</x:v>
      </x:c>
      <x:c r="I1906" s="312" t="s">
        <x:v>42</x:v>
      </x:c>
      <x:c r="J1906" s="316" t="n">
        <x:f>IFERROR(G1906/F1906,0)</x:f>
        <x:v>0.42857142857142855</x:v>
      </x:c>
      <x:c r="K1906" s="312" t="str">
        <x:f>IF(B1906="Bilinmeyen Personel","Kontrol","OK")</x:f>
        <x:v>OK</x:v>
      </x:c>
    </x:row>
    <x:row r="1907" hidden="1">
      <x:c r="A1907" s="312" t="n">
        <x:f>ROW()-ROW($A$2)+1</x:f>
        <x:v>1906</x:v>
      </x:c>
      <x:c r="B1907" s="312" t="s">
        <x:v>23</x:v>
      </x:c>
      <x:c r="C1907" s="312" t="s">
        <x:v>22</x:v>
      </x:c>
      <x:c r="D1907" s="317">
        <x:v>4</x:v>
      </x:c>
      <x:c r="E1907" s="321">
        <x:v>2180</x:v>
      </x:c>
      <x:c r="F1907" s="321">
        <x:v>8720</x:v>
      </x:c>
      <x:c r="G1907" s="321">
        <x:v>2720</x:v>
      </x:c>
      <x:c r="H1907" s="312" t="s">
        <x:v>62</x:v>
      </x:c>
      <x:c r="I1907" s="312" t="s">
        <x:v>15</x:v>
      </x:c>
      <x:c r="J1907" s="316" t="n">
        <x:f>IFERROR(G1907/F1907,0)</x:f>
        <x:v>0.3119266055045872</x:v>
      </x:c>
      <x:c r="K1907" s="312" t="str">
        <x:f>IF(B1907="Bilinmeyen Personel","Kontrol","OK")</x:f>
        <x:v>OK</x:v>
      </x:c>
    </x:row>
    <x:row r="1908" hidden="1">
      <x:c r="A1908" s="312" t="n">
        <x:f>ROW()-ROW($A$2)+1</x:f>
        <x:v>1907</x:v>
      </x:c>
      <x:c r="B1908" s="312" t="s">
        <x:v>9</x:v>
      </x:c>
      <x:c r="C1908" s="312" t="s">
        <x:v>33</x:v>
      </x:c>
      <x:c r="D1908" s="317">
        <x:v>5</x:v>
      </x:c>
      <x:c r="E1908" s="321">
        <x:v>1800</x:v>
      </x:c>
      <x:c r="F1908" s="321">
        <x:v>9000</x:v>
      </x:c>
      <x:c r="G1908" s="321">
        <x:v>5000</x:v>
      </x:c>
      <x:c r="H1908" s="312" t="s">
        <x:v>62</x:v>
      </x:c>
      <x:c r="I1908" s="312" t="s">
        <x:v>15</x:v>
      </x:c>
      <x:c r="J1908" s="316" t="n">
        <x:f>IFERROR(G1908/F1908,0)</x:f>
        <x:v>0.5555555555555556</x:v>
      </x:c>
      <x:c r="K1908" s="312" t="str">
        <x:f>IF(B1908="Bilinmeyen Personel","Kontrol","OK")</x:f>
        <x:v>OK</x:v>
      </x:c>
    </x:row>
    <x:row r="1909" hidden="1">
      <x:c r="A1909" s="312" t="n">
        <x:f>ROW()-ROW($A$2)+1</x:f>
        <x:v>1908</x:v>
      </x:c>
      <x:c r="B1909" s="312" t="s">
        <x:v>16</x:v>
      </x:c>
      <x:c r="C1909" s="312" t="s">
        <x:v>57</x:v>
      </x:c>
      <x:c r="D1909" s="317">
        <x:v>3</x:v>
      </x:c>
      <x:c r="E1909" s="321">
        <x:v>1500</x:v>
      </x:c>
      <x:c r="F1909" s="321">
        <x:v>4500</x:v>
      </x:c>
      <x:c r="G1909" s="321">
        <x:v>2100</x:v>
      </x:c>
      <x:c r="H1909" s="312" t="s">
        <x:v>62</x:v>
      </x:c>
      <x:c r="I1909" s="312" t="s">
        <x:v>41</x:v>
      </x:c>
      <x:c r="J1909" s="316" t="n">
        <x:f>IFERROR(G1909/F1909,0)</x:f>
        <x:v>0.4666666666666667</x:v>
      </x:c>
      <x:c r="K1909" s="312" t="str">
        <x:f>IF(B1909="Bilinmeyen Personel","Kontrol","OK")</x:f>
        <x:v>OK</x:v>
      </x:c>
    </x:row>
    <x:row r="1910" hidden="1">
      <x:c r="A1910" s="312" t="n">
        <x:f>ROW()-ROW($A$2)+1</x:f>
        <x:v>1909</x:v>
      </x:c>
      <x:c r="B1910" s="312" t="s">
        <x:v>32</x:v>
      </x:c>
      <x:c r="C1910" s="312" t="s">
        <x:v>17</x:v>
      </x:c>
      <x:c r="D1910" s="317">
        <x:v>4</x:v>
      </x:c>
      <x:c r="E1910" s="321">
        <x:v>8450</x:v>
      </x:c>
      <x:c r="F1910" s="321">
        <x:v>33800</x:v>
      </x:c>
      <x:c r="G1910" s="321">
        <x:v>9800</x:v>
      </x:c>
      <x:c r="H1910" s="312" t="s">
        <x:v>62</x:v>
      </x:c>
      <x:c r="I1910" s="312" t="s">
        <x:v>54</x:v>
      </x:c>
      <x:c r="J1910" s="316" t="n">
        <x:f>IFERROR(G1910/F1910,0)</x:f>
        <x:v>0.28994082840236685</x:v>
      </x:c>
      <x:c r="K1910" s="312" t="str">
        <x:f>IF(B1910="Bilinmeyen Personel","Kontrol","OK")</x:f>
        <x:v>OK</x:v>
      </x:c>
    </x:row>
    <x:row r="1911" hidden="1">
      <x:c r="A1911" s="312" t="n">
        <x:f>ROW()-ROW($A$2)+1</x:f>
        <x:v>1910</x:v>
      </x:c>
      <x:c r="B1911" s="312" t="s">
        <x:v>40</x:v>
      </x:c>
      <x:c r="C1911" s="312" t="s">
        <x:v>57</x:v>
      </x:c>
      <x:c r="D1911" s="317">
        <x:v>2</x:v>
      </x:c>
      <x:c r="E1911" s="321">
        <x:v>1500</x:v>
      </x:c>
      <x:c r="F1911" s="321">
        <x:v>3000</x:v>
      </x:c>
      <x:c r="G1911" s="321">
        <x:v>1400</x:v>
      </x:c>
      <x:c r="H1911" s="312" t="s">
        <x:v>62</x:v>
      </x:c>
      <x:c r="I1911" s="312" t="s">
        <x:v>18</x:v>
      </x:c>
      <x:c r="J1911" s="316" t="n">
        <x:f>IFERROR(G1911/F1911,0)</x:f>
        <x:v>0.4666666666666667</x:v>
      </x:c>
      <x:c r="K1911" s="312" t="str">
        <x:f>IF(B1911="Bilinmeyen Personel","Kontrol","OK")</x:f>
        <x:v>OK</x:v>
      </x:c>
    </x:row>
    <x:row r="1912" hidden="1">
      <x:c r="A1912" s="312" t="n">
        <x:f>ROW()-ROW($A$2)+1</x:f>
        <x:v>1911</x:v>
      </x:c>
      <x:c r="B1912" s="312" t="s">
        <x:v>29</x:v>
      </x:c>
      <x:c r="C1912" s="312" t="s">
        <x:v>10</x:v>
      </x:c>
      <x:c r="D1912" s="317">
        <x:v>2</x:v>
      </x:c>
      <x:c r="E1912" s="321">
        <x:v>6000</x:v>
      </x:c>
      <x:c r="F1912" s="321">
        <x:v>12000</x:v>
      </x:c>
      <x:c r="G1912" s="321">
        <x:v>4000</x:v>
      </x:c>
      <x:c r="H1912" s="312" t="s">
        <x:v>62</x:v>
      </x:c>
      <x:c r="I1912" s="312" t="s">
        <x:v>42</x:v>
      </x:c>
      <x:c r="J1912" s="316" t="n">
        <x:f>IFERROR(G1912/F1912,0)</x:f>
        <x:v>0.3333333333333333</x:v>
      </x:c>
      <x:c r="K1912" s="312" t="str">
        <x:f>IF(B1912="Bilinmeyen Personel","Kontrol","OK")</x:f>
        <x:v>OK</x:v>
      </x:c>
    </x:row>
    <x:row r="1913" hidden="1">
      <x:c r="A1913" s="312" t="n">
        <x:f>ROW()-ROW($A$2)+1</x:f>
        <x:v>1912</x:v>
      </x:c>
      <x:c r="B1913" s="312" t="s">
        <x:v>50</x:v>
      </x:c>
      <x:c r="C1913" s="312" t="s">
        <x:v>53</x:v>
      </x:c>
      <x:c r="D1913" s="317">
        <x:v>2</x:v>
      </x:c>
      <x:c r="E1913" s="321">
        <x:v>1200</x:v>
      </x:c>
      <x:c r="F1913" s="321">
        <x:v>2400</x:v>
      </x:c>
      <x:c r="G1913" s="321">
        <x:v>800</x:v>
      </x:c>
      <x:c r="H1913" s="312" t="s">
        <x:v>62</x:v>
      </x:c>
      <x:c r="I1913" s="312" t="s">
        <x:v>28</x:v>
      </x:c>
      <x:c r="J1913" s="316" t="n">
        <x:f>IFERROR(G1913/F1913,0)</x:f>
        <x:v>0.3333333333333333</x:v>
      </x:c>
      <x:c r="K1913" s="312" t="str">
        <x:f>IF(B1913="Bilinmeyen Personel","Kontrol","OK")</x:f>
        <x:v>OK</x:v>
      </x:c>
    </x:row>
    <x:row r="1914" hidden="1">
      <x:c r="A1914" s="312" t="n">
        <x:f>ROW()-ROW($A$2)+1</x:f>
        <x:v>1913</x:v>
      </x:c>
      <x:c r="B1914" s="312" t="s">
        <x:v>9</x:v>
      </x:c>
      <x:c r="C1914" s="312" t="s">
        <x:v>45</x:v>
      </x:c>
      <x:c r="D1914" s="317">
        <x:v>3</x:v>
      </x:c>
      <x:c r="E1914" s="321">
        <x:v>4200</x:v>
      </x:c>
      <x:c r="F1914" s="321">
        <x:v>12600</x:v>
      </x:c>
      <x:c r="G1914" s="321">
        <x:v>3600</x:v>
      </x:c>
      <x:c r="H1914" s="312" t="s">
        <x:v>62</x:v>
      </x:c>
      <x:c r="I1914" s="312" t="s">
        <x:v>28</x:v>
      </x:c>
      <x:c r="J1914" s="316" t="n">
        <x:f>IFERROR(G1914/F1914,0)</x:f>
        <x:v>0.2857142857142857</x:v>
      </x:c>
      <x:c r="K1914" s="312" t="str">
        <x:f>IF(B1914="Bilinmeyen Personel","Kontrol","OK")</x:f>
        <x:v>OK</x:v>
      </x:c>
    </x:row>
    <x:row r="1915" hidden="1">
      <x:c r="A1915" s="312" t="n">
        <x:f>ROW()-ROW($A$2)+1</x:f>
        <x:v>1914</x:v>
      </x:c>
      <x:c r="B1915" s="312" t="s">
        <x:v>48</x:v>
      </x:c>
      <x:c r="C1915" s="312" t="s">
        <x:v>24</x:v>
      </x:c>
      <x:c r="D1915" s="317">
        <x:v>4</x:v>
      </x:c>
      <x:c r="E1915" s="321">
        <x:v>7600</x:v>
      </x:c>
      <x:c r="F1915" s="321">
        <x:v>30400</x:v>
      </x:c>
      <x:c r="G1915" s="321">
        <x:v>6400</x:v>
      </x:c>
      <x:c r="H1915" s="312" t="s">
        <x:v>62</x:v>
      </x:c>
      <x:c r="I1915" s="312" t="s">
        <x:v>54</x:v>
      </x:c>
      <x:c r="J1915" s="316" t="n">
        <x:f>IFERROR(G1915/F1915,0)</x:f>
        <x:v>0.21052631578947367</x:v>
      </x:c>
      <x:c r="K1915" s="312" t="str">
        <x:f>IF(B1915="Bilinmeyen Personel","Kontrol","OK")</x:f>
        <x:v>OK</x:v>
      </x:c>
    </x:row>
    <x:row r="1916" hidden="1">
      <x:c r="A1916" s="312" t="n">
        <x:f>ROW()-ROW($A$2)+1</x:f>
        <x:v>1915</x:v>
      </x:c>
      <x:c r="B1916" s="312" t="s">
        <x:v>29</x:v>
      </x:c>
      <x:c r="C1916" s="312" t="s">
        <x:v>26</x:v>
      </x:c>
      <x:c r="D1916" s="317">
        <x:v>4</x:v>
      </x:c>
      <x:c r="E1916" s="321">
        <x:v>7250</x:v>
      </x:c>
      <x:c r="F1916" s="321">
        <x:v>29000</x:v>
      </x:c>
      <x:c r="G1916" s="321">
        <x:v>9000</x:v>
      </x:c>
      <x:c r="H1916" s="312" t="s">
        <x:v>62</x:v>
      </x:c>
      <x:c r="I1916" s="312" t="s">
        <x:v>42</x:v>
      </x:c>
      <x:c r="J1916" s="316" t="n">
        <x:f>IFERROR(G1916/F1916,0)</x:f>
        <x:v>0.3103448275862069</x:v>
      </x:c>
      <x:c r="K1916" s="312" t="str">
        <x:f>IF(B1916="Bilinmeyen Personel","Kontrol","OK")</x:f>
        <x:v>OK</x:v>
      </x:c>
    </x:row>
    <x:row r="1917" hidden="1">
      <x:c r="A1917" s="312" t="n">
        <x:f>ROW()-ROW($A$2)+1</x:f>
        <x:v>1916</x:v>
      </x:c>
      <x:c r="B1917" s="312" t="s">
        <x:v>13</x:v>
      </x:c>
      <x:c r="C1917" s="312" t="s">
        <x:v>55</x:v>
      </x:c>
      <x:c r="D1917" s="317">
        <x:v>5</x:v>
      </x:c>
      <x:c r="E1917" s="321">
        <x:v>7530</x:v>
      </x:c>
      <x:c r="F1917" s="321">
        <x:v>37650</x:v>
      </x:c>
      <x:c r="G1917" s="321">
        <x:v>7650</x:v>
      </x:c>
      <x:c r="H1917" s="312" t="s">
        <x:v>62</x:v>
      </x:c>
      <x:c r="I1917" s="312" t="s">
        <x:v>21</x:v>
      </x:c>
      <x:c r="J1917" s="316" t="n">
        <x:f>IFERROR(G1917/F1917,0)</x:f>
        <x:v>0.20318725099601595</x:v>
      </x:c>
      <x:c r="K1917" s="312" t="str">
        <x:f>IF(B1917="Bilinmeyen Personel","Kontrol","OK")</x:f>
        <x:v>OK</x:v>
      </x:c>
    </x:row>
    <x:row r="1918" hidden="1">
      <x:c r="A1918" s="312" t="n">
        <x:f>ROW()-ROW($A$2)+1</x:f>
        <x:v>1917</x:v>
      </x:c>
      <x:c r="B1918" s="312" t="s">
        <x:v>16</x:v>
      </x:c>
      <x:c r="C1918" s="312" t="s">
        <x:v>26</x:v>
      </x:c>
      <x:c r="D1918" s="317">
        <x:v>3</x:v>
      </x:c>
      <x:c r="E1918" s="321">
        <x:v>7250</x:v>
      </x:c>
      <x:c r="F1918" s="321">
        <x:v>21750</x:v>
      </x:c>
      <x:c r="G1918" s="321">
        <x:v>6750</x:v>
      </x:c>
      <x:c r="H1918" s="312" t="s">
        <x:v>62</x:v>
      </x:c>
      <x:c r="I1918" s="312" t="s">
        <x:v>21</x:v>
      </x:c>
      <x:c r="J1918" s="316" t="n">
        <x:f>IFERROR(G1918/F1918,0)</x:f>
        <x:v>0.3103448275862069</x:v>
      </x:c>
      <x:c r="K1918" s="312" t="str">
        <x:f>IF(B1918="Bilinmeyen Personel","Kontrol","OK")</x:f>
        <x:v>OK</x:v>
      </x:c>
    </x:row>
    <x:row r="1919" hidden="1">
      <x:c r="A1919" s="312" t="n">
        <x:f>ROW()-ROW($A$2)+1</x:f>
        <x:v>1918</x:v>
      </x:c>
      <x:c r="B1919" s="312" t="s">
        <x:v>13</x:v>
      </x:c>
      <x:c r="C1919" s="312" t="s">
        <x:v>10</x:v>
      </x:c>
      <x:c r="D1919" s="317">
        <x:v>5</x:v>
      </x:c>
      <x:c r="E1919" s="321">
        <x:v>6000</x:v>
      </x:c>
      <x:c r="F1919" s="321">
        <x:v>30000</x:v>
      </x:c>
      <x:c r="G1919" s="321">
        <x:v>10000</x:v>
      </x:c>
      <x:c r="H1919" s="312" t="s">
        <x:v>62</x:v>
      </x:c>
      <x:c r="I1919" s="312" t="s">
        <x:v>41</x:v>
      </x:c>
      <x:c r="J1919" s="316" t="n">
        <x:f>IFERROR(G1919/F1919,0)</x:f>
        <x:v>0.3333333333333333</x:v>
      </x:c>
      <x:c r="K1919" s="312" t="str">
        <x:f>IF(B1919="Bilinmeyen Personel","Kontrol","OK")</x:f>
        <x:v>OK</x:v>
      </x:c>
    </x:row>
    <x:row r="1920" hidden="1">
      <x:c r="A1920" s="312" t="n">
        <x:f>ROW()-ROW($A$2)+1</x:f>
        <x:v>1919</x:v>
      </x:c>
      <x:c r="B1920" s="312" t="s">
        <x:v>29</x:v>
      </x:c>
      <x:c r="C1920" s="312" t="s">
        <x:v>53</x:v>
      </x:c>
      <x:c r="D1920" s="317">
        <x:v>5</x:v>
      </x:c>
      <x:c r="E1920" s="321">
        <x:v>1200</x:v>
      </x:c>
      <x:c r="F1920" s="321">
        <x:v>6000</x:v>
      </x:c>
      <x:c r="G1920" s="321">
        <x:v>2000</x:v>
      </x:c>
      <x:c r="H1920" s="312" t="s">
        <x:v>62</x:v>
      </x:c>
      <x:c r="I1920" s="312" t="s">
        <x:v>54</x:v>
      </x:c>
      <x:c r="J1920" s="316" t="n">
        <x:f>IFERROR(G1920/F1920,0)</x:f>
        <x:v>0.3333333333333333</x:v>
      </x:c>
      <x:c r="K1920" s="312" t="str">
        <x:f>IF(B1920="Bilinmeyen Personel","Kontrol","OK")</x:f>
        <x:v>OK</x:v>
      </x:c>
    </x:row>
    <x:row r="1921" hidden="1">
      <x:c r="A1921" s="312" t="n">
        <x:f>ROW()-ROW($A$2)+1</x:f>
        <x:v>1920</x:v>
      </x:c>
      <x:c r="B1921" s="312" t="s">
        <x:v>50</x:v>
      </x:c>
      <x:c r="C1921" s="312" t="s">
        <x:v>56</x:v>
      </x:c>
      <x:c r="D1921" s="317">
        <x:v>5</x:v>
      </x:c>
      <x:c r="E1921" s="321">
        <x:v>5300</x:v>
      </x:c>
      <x:c r="F1921" s="321">
        <x:v>26500</x:v>
      </x:c>
      <x:c r="G1921" s="321">
        <x:v>6500</x:v>
      </x:c>
      <x:c r="H1921" s="312" t="s">
        <x:v>62</x:v>
      </x:c>
      <x:c r="I1921" s="312" t="s">
        <x:v>44</x:v>
      </x:c>
      <x:c r="J1921" s="316" t="n">
        <x:f>IFERROR(G1921/F1921,0)</x:f>
        <x:v>0.24528301886792453</x:v>
      </x:c>
      <x:c r="K1921" s="312" t="str">
        <x:f>IF(B1921="Bilinmeyen Personel","Kontrol","OK")</x:f>
        <x:v>OK</x:v>
      </x:c>
    </x:row>
    <x:row r="1922" hidden="1">
      <x:c r="A1922" s="312" t="n">
        <x:f>ROW()-ROW($A$2)+1</x:f>
        <x:v>1921</x:v>
      </x:c>
      <x:c r="B1922" s="312" t="s">
        <x:v>38</x:v>
      </x:c>
      <x:c r="C1922" s="312" t="s">
        <x:v>17</x:v>
      </x:c>
      <x:c r="D1922" s="317">
        <x:v>2</x:v>
      </x:c>
      <x:c r="E1922" s="321">
        <x:v>8450</x:v>
      </x:c>
      <x:c r="F1922" s="321">
        <x:v>16900</x:v>
      </x:c>
      <x:c r="G1922" s="321">
        <x:v>4900</x:v>
      </x:c>
      <x:c r="H1922" s="312" t="s">
        <x:v>62</x:v>
      </x:c>
      <x:c r="I1922" s="312" t="s">
        <x:v>25</x:v>
      </x:c>
      <x:c r="J1922" s="316" t="n">
        <x:f>IFERROR(G1922/F1922,0)</x:f>
        <x:v>0.28994082840236685</x:v>
      </x:c>
      <x:c r="K1922" s="312" t="str">
        <x:f>IF(B1922="Bilinmeyen Personel","Kontrol","OK")</x:f>
        <x:v>OK</x:v>
      </x:c>
    </x:row>
    <x:row r="1923" hidden="1">
      <x:c r="A1923" s="312" t="n">
        <x:f>ROW()-ROW($A$2)+1</x:f>
        <x:v>1922</x:v>
      </x:c>
      <x:c r="B1923" s="312" t="s">
        <x:v>23</x:v>
      </x:c>
      <x:c r="C1923" s="312" t="s">
        <x:v>20</x:v>
      </x:c>
      <x:c r="D1923" s="317">
        <x:v>3</x:v>
      </x:c>
      <x:c r="E1923" s="321">
        <x:v>1350</x:v>
      </x:c>
      <x:c r="F1923" s="321">
        <x:v>4050</x:v>
      </x:c>
      <x:c r="G1923" s="321">
        <x:v>1650</x:v>
      </x:c>
      <x:c r="H1923" s="312" t="s">
        <x:v>62</x:v>
      </x:c>
      <x:c r="I1923" s="312" t="s">
        <x:v>15</x:v>
      </x:c>
      <x:c r="J1923" s="316" t="n">
        <x:f>IFERROR(G1923/F1923,0)</x:f>
        <x:v>0.4074074074074074</x:v>
      </x:c>
      <x:c r="K1923" s="312" t="str">
        <x:f>IF(B1923="Bilinmeyen Personel","Kontrol","OK")</x:f>
        <x:v>OK</x:v>
      </x:c>
    </x:row>
    <x:row r="1924" hidden="1">
      <x:c r="A1924" s="312" t="n">
        <x:f>ROW()-ROW($A$2)+1</x:f>
        <x:v>1923</x:v>
      </x:c>
      <x:c r="B1924" s="312" t="s">
        <x:v>32</x:v>
      </x:c>
      <x:c r="C1924" s="312" t="s">
        <x:v>34</x:v>
      </x:c>
      <x:c r="D1924" s="317">
        <x:v>2</x:v>
      </x:c>
      <x:c r="E1924" s="321">
        <x:v>1090</x:v>
      </x:c>
      <x:c r="F1924" s="321">
        <x:v>2180</x:v>
      </x:c>
      <x:c r="G1924" s="321">
        <x:v>580</x:v>
      </x:c>
      <x:c r="H1924" s="312" t="s">
        <x:v>62</x:v>
      </x:c>
      <x:c r="I1924" s="312" t="s">
        <x:v>41</x:v>
      </x:c>
      <x:c r="J1924" s="316" t="n">
        <x:f>IFERROR(G1924/F1924,0)</x:f>
        <x:v>0.26605504587155965</x:v>
      </x:c>
      <x:c r="K1924" s="312" t="str">
        <x:f>IF(B1924="Bilinmeyen Personel","Kontrol","OK")</x:f>
        <x:v>OK</x:v>
      </x:c>
    </x:row>
    <x:row r="1925" hidden="1">
      <x:c r="A1925" s="312" t="n">
        <x:f>ROW()-ROW($A$2)+1</x:f>
        <x:v>1924</x:v>
      </x:c>
      <x:c r="B1925" s="312" t="s">
        <x:v>23</x:v>
      </x:c>
      <x:c r="C1925" s="312" t="s">
        <x:v>22</x:v>
      </x:c>
      <x:c r="D1925" s="317">
        <x:v>2</x:v>
      </x:c>
      <x:c r="E1925" s="321">
        <x:v>2180</x:v>
      </x:c>
      <x:c r="F1925" s="321">
        <x:v>4360</x:v>
      </x:c>
      <x:c r="G1925" s="321">
        <x:v>1360</x:v>
      </x:c>
      <x:c r="H1925" s="312" t="s">
        <x:v>62</x:v>
      </x:c>
      <x:c r="I1925" s="312" t="s">
        <x:v>42</x:v>
      </x:c>
      <x:c r="J1925" s="316" t="n">
        <x:f>IFERROR(G1925/F1925,0)</x:f>
        <x:v>0.3119266055045872</x:v>
      </x:c>
      <x:c r="K1925" s="312" t="str">
        <x:f>IF(B1925="Bilinmeyen Personel","Kontrol","OK")</x:f>
        <x:v>OK</x:v>
      </x:c>
    </x:row>
    <x:row r="1926" hidden="1">
      <x:c r="A1926" s="312" t="n">
        <x:f>ROW()-ROW($A$2)+1</x:f>
        <x:v>1925</x:v>
      </x:c>
      <x:c r="B1926" s="312" t="s">
        <x:v>13</x:v>
      </x:c>
      <x:c r="C1926" s="312" t="s">
        <x:v>58</x:v>
      </x:c>
      <x:c r="D1926" s="317">
        <x:v>5</x:v>
      </x:c>
      <x:c r="E1926" s="321">
        <x:v>3700</x:v>
      </x:c>
      <x:c r="F1926" s="321">
        <x:v>18500</x:v>
      </x:c>
      <x:c r="G1926" s="321">
        <x:v>3500</x:v>
      </x:c>
      <x:c r="H1926" s="312" t="s">
        <x:v>62</x:v>
      </x:c>
      <x:c r="I1926" s="312" t="s">
        <x:v>42</x:v>
      </x:c>
      <x:c r="J1926" s="316" t="n">
        <x:f>IFERROR(G1926/F1926,0)</x:f>
        <x:v>0.1891891891891892</x:v>
      </x:c>
      <x:c r="K1926" s="312" t="str">
        <x:f>IF(B1926="Bilinmeyen Personel","Kontrol","OK")</x:f>
        <x:v>OK</x:v>
      </x:c>
    </x:row>
    <x:row r="1927" hidden="1">
      <x:c r="A1927" s="312" t="n">
        <x:f>ROW()-ROW($A$2)+1</x:f>
        <x:v>1926</x:v>
      </x:c>
      <x:c r="B1927" s="312" t="s">
        <x:v>32</x:v>
      </x:c>
      <x:c r="C1927" s="312" t="s">
        <x:v>27</x:v>
      </x:c>
      <x:c r="D1927" s="317">
        <x:v>3</x:v>
      </x:c>
      <x:c r="E1927" s="321">
        <x:v>1100</x:v>
      </x:c>
      <x:c r="F1927" s="321">
        <x:v>3300</x:v>
      </x:c>
      <x:c r="G1927" s="321">
        <x:v>900</x:v>
      </x:c>
      <x:c r="H1927" s="312" t="s">
        <x:v>62</x:v>
      </x:c>
      <x:c r="I1927" s="312" t="s">
        <x:v>44</x:v>
      </x:c>
      <x:c r="J1927" s="316" t="n">
        <x:f>IFERROR(G1927/F1927,0)</x:f>
        <x:v>0.2727272727272727</x:v>
      </x:c>
      <x:c r="K1927" s="312" t="str">
        <x:f>IF(B1927="Bilinmeyen Personel","Kontrol","OK")</x:f>
        <x:v>OK</x:v>
      </x:c>
    </x:row>
    <x:row r="1928" hidden="1">
      <x:c r="A1928" s="312" t="n">
        <x:f>ROW()-ROW($A$2)+1</x:f>
        <x:v>1927</x:v>
      </x:c>
      <x:c r="B1928" s="312" t="s">
        <x:v>29</x:v>
      </x:c>
      <x:c r="C1928" s="312" t="s">
        <x:v>58</x:v>
      </x:c>
      <x:c r="D1928" s="317">
        <x:v>4</x:v>
      </x:c>
      <x:c r="E1928" s="321">
        <x:v>3700</x:v>
      </x:c>
      <x:c r="F1928" s="321">
        <x:v>14800</x:v>
      </x:c>
      <x:c r="G1928" s="321">
        <x:v>2800</x:v>
      </x:c>
      <x:c r="H1928" s="312" t="s">
        <x:v>62</x:v>
      </x:c>
      <x:c r="I1928" s="312" t="s">
        <x:v>44</x:v>
      </x:c>
      <x:c r="J1928" s="316" t="n">
        <x:f>IFERROR(G1928/F1928,0)</x:f>
        <x:v>0.1891891891891892</x:v>
      </x:c>
      <x:c r="K1928" s="312" t="str">
        <x:f>IF(B1928="Bilinmeyen Personel","Kontrol","OK")</x:f>
        <x:v>OK</x:v>
      </x:c>
    </x:row>
    <x:row r="1929" hidden="1">
      <x:c r="A1929" s="312" t="n">
        <x:f>ROW()-ROW($A$2)+1</x:f>
        <x:v>1928</x:v>
      </x:c>
      <x:c r="B1929" s="312" t="s">
        <x:v>48</x:v>
      </x:c>
      <x:c r="C1929" s="312" t="s">
        <x:v>43</x:v>
      </x:c>
      <x:c r="D1929" s="317">
        <x:v>5</x:v>
      </x:c>
      <x:c r="E1929" s="321">
        <x:v>1490</x:v>
      </x:c>
      <x:c r="F1929" s="321">
        <x:v>7450</x:v>
      </x:c>
      <x:c r="G1929" s="321">
        <x:v>3450</x:v>
      </x:c>
      <x:c r="H1929" s="312" t="s">
        <x:v>62</x:v>
      </x:c>
      <x:c r="I1929" s="312" t="s">
        <x:v>28</x:v>
      </x:c>
      <x:c r="J1929" s="316" t="n">
        <x:f>IFERROR(G1929/F1929,0)</x:f>
        <x:v>0.46308724832214765</x:v>
      </x:c>
      <x:c r="K1929" s="312" t="str">
        <x:f>IF(B1929="Bilinmeyen Personel","Kontrol","OK")</x:f>
        <x:v>OK</x:v>
      </x:c>
    </x:row>
    <x:row r="1930" hidden="1">
      <x:c r="A1930" s="312" t="n">
        <x:f>ROW()-ROW($A$2)+1</x:f>
        <x:v>1929</x:v>
      </x:c>
      <x:c r="B1930" s="312" t="s">
        <x:v>40</x:v>
      </x:c>
      <x:c r="C1930" s="312" t="s">
        <x:v>57</x:v>
      </x:c>
      <x:c r="D1930" s="317">
        <x:v>4</x:v>
      </x:c>
      <x:c r="E1930" s="321">
        <x:v>1500</x:v>
      </x:c>
      <x:c r="F1930" s="321">
        <x:v>6000</x:v>
      </x:c>
      <x:c r="G1930" s="321">
        <x:v>2800</x:v>
      </x:c>
      <x:c r="H1930" s="312" t="s">
        <x:v>62</x:v>
      </x:c>
      <x:c r="I1930" s="312" t="s">
        <x:v>21</x:v>
      </x:c>
      <x:c r="J1930" s="316" t="n">
        <x:f>IFERROR(G1930/F1930,0)</x:f>
        <x:v>0.4666666666666667</x:v>
      </x:c>
      <x:c r="K1930" s="312" t="str">
        <x:f>IF(B1930="Bilinmeyen Personel","Kontrol","OK")</x:f>
        <x:v>OK</x:v>
      </x:c>
    </x:row>
    <x:row r="1931" hidden="1">
      <x:c r="A1931" s="312" t="n">
        <x:f>ROW()-ROW($A$2)+1</x:f>
        <x:v>1930</x:v>
      </x:c>
      <x:c r="B1931" s="312" t="s">
        <x:v>38</x:v>
      </x:c>
      <x:c r="C1931" s="312" t="s">
        <x:v>34</x:v>
      </x:c>
      <x:c r="D1931" s="317">
        <x:v>3</x:v>
      </x:c>
      <x:c r="E1931" s="321">
        <x:v>1090</x:v>
      </x:c>
      <x:c r="F1931" s="321">
        <x:v>3270</x:v>
      </x:c>
      <x:c r="G1931" s="321">
        <x:v>870</x:v>
      </x:c>
      <x:c r="H1931" s="312" t="s">
        <x:v>62</x:v>
      </x:c>
      <x:c r="I1931" s="312" t="s">
        <x:v>25</x:v>
      </x:c>
      <x:c r="J1931" s="316" t="n">
        <x:f>IFERROR(G1931/F1931,0)</x:f>
        <x:v>0.26605504587155965</x:v>
      </x:c>
      <x:c r="K1931" s="312" t="str">
        <x:f>IF(B1931="Bilinmeyen Personel","Kontrol","OK")</x:f>
        <x:v>OK</x:v>
      </x:c>
    </x:row>
    <x:row r="1932" hidden="1">
      <x:c r="A1932" s="312" t="n">
        <x:f>ROW()-ROW($A$2)+1</x:f>
        <x:v>1931</x:v>
      </x:c>
      <x:c r="B1932" s="312" t="s">
        <x:v>48</x:v>
      </x:c>
      <x:c r="C1932" s="312" t="s">
        <x:v>33</x:v>
      </x:c>
      <x:c r="D1932" s="317">
        <x:v>4</x:v>
      </x:c>
      <x:c r="E1932" s="321">
        <x:v>1800</x:v>
      </x:c>
      <x:c r="F1932" s="321">
        <x:v>7200</x:v>
      </x:c>
      <x:c r="G1932" s="321">
        <x:v>4000</x:v>
      </x:c>
      <x:c r="H1932" s="312" t="s">
        <x:v>62</x:v>
      </x:c>
      <x:c r="I1932" s="312" t="s">
        <x:v>37</x:v>
      </x:c>
      <x:c r="J1932" s="316" t="n">
        <x:f>IFERROR(G1932/F1932,0)</x:f>
        <x:v>0.5555555555555556</x:v>
      </x:c>
      <x:c r="K1932" s="312" t="str">
        <x:f>IF(B1932="Bilinmeyen Personel","Kontrol","OK")</x:f>
        <x:v>OK</x:v>
      </x:c>
    </x:row>
    <x:row r="1933" hidden="1">
      <x:c r="A1933" s="312" t="n">
        <x:f>ROW()-ROW($A$2)+1</x:f>
        <x:v>1932</x:v>
      </x:c>
      <x:c r="B1933" s="312" t="s">
        <x:v>35</x:v>
      </x:c>
      <x:c r="C1933" s="312" t="s">
        <x:v>55</x:v>
      </x:c>
      <x:c r="D1933" s="317">
        <x:v>2</x:v>
      </x:c>
      <x:c r="E1933" s="321">
        <x:v>7530</x:v>
      </x:c>
      <x:c r="F1933" s="321">
        <x:v>15060</x:v>
      </x:c>
      <x:c r="G1933" s="321">
        <x:v>3060</x:v>
      </x:c>
      <x:c r="H1933" s="312" t="s">
        <x:v>62</x:v>
      </x:c>
      <x:c r="I1933" s="312" t="s">
        <x:v>28</x:v>
      </x:c>
      <x:c r="J1933" s="316" t="n">
        <x:f>IFERROR(G1933/F1933,0)</x:f>
        <x:v>0.20318725099601595</x:v>
      </x:c>
      <x:c r="K1933" s="312" t="str">
        <x:f>IF(B1933="Bilinmeyen Personel","Kontrol","OK")</x:f>
        <x:v>OK</x:v>
      </x:c>
    </x:row>
    <x:row r="1934" hidden="1">
      <x:c r="A1934" s="312" t="n">
        <x:f>ROW()-ROW($A$2)+1</x:f>
        <x:v>1933</x:v>
      </x:c>
      <x:c r="B1934" s="312" t="s">
        <x:v>32</x:v>
      </x:c>
      <x:c r="C1934" s="312" t="s">
        <x:v>27</x:v>
      </x:c>
      <x:c r="D1934" s="317">
        <x:v>2</x:v>
      </x:c>
      <x:c r="E1934" s="321">
        <x:v>1100</x:v>
      </x:c>
      <x:c r="F1934" s="321">
        <x:v>2200</x:v>
      </x:c>
      <x:c r="G1934" s="321">
        <x:v>600</x:v>
      </x:c>
      <x:c r="H1934" s="312" t="s">
        <x:v>62</x:v>
      </x:c>
      <x:c r="I1934" s="312" t="s">
        <x:v>46</x:v>
      </x:c>
      <x:c r="J1934" s="316" t="n">
        <x:f>IFERROR(G1934/F1934,0)</x:f>
        <x:v>0.2727272727272727</x:v>
      </x:c>
      <x:c r="K1934" s="312" t="str">
        <x:f>IF(B1934="Bilinmeyen Personel","Kontrol","OK")</x:f>
        <x:v>OK</x:v>
      </x:c>
    </x:row>
    <x:row r="1935" hidden="1">
      <x:c r="A1935" s="312" t="n">
        <x:f>ROW()-ROW($A$2)+1</x:f>
        <x:v>1934</x:v>
      </x:c>
      <x:c r="B1935" s="312" t="s">
        <x:v>40</x:v>
      </x:c>
      <x:c r="C1935" s="312" t="s">
        <x:v>20</x:v>
      </x:c>
      <x:c r="D1935" s="317">
        <x:v>4</x:v>
      </x:c>
      <x:c r="E1935" s="321">
        <x:v>1350</x:v>
      </x:c>
      <x:c r="F1935" s="321">
        <x:v>5400</x:v>
      </x:c>
      <x:c r="G1935" s="321">
        <x:v>2200</x:v>
      </x:c>
      <x:c r="H1935" s="312" t="s">
        <x:v>62</x:v>
      </x:c>
      <x:c r="I1935" s="312" t="s">
        <x:v>41</x:v>
      </x:c>
      <x:c r="J1935" s="316" t="n">
        <x:f>IFERROR(G1935/F1935,0)</x:f>
        <x:v>0.4074074074074074</x:v>
      </x:c>
      <x:c r="K1935" s="312" t="str">
        <x:f>IF(B1935="Bilinmeyen Personel","Kontrol","OK")</x:f>
        <x:v>OK</x:v>
      </x:c>
    </x:row>
    <x:row r="1936" hidden="1">
      <x:c r="A1936" s="312" t="n">
        <x:f>ROW()-ROW($A$2)+1</x:f>
        <x:v>1935</x:v>
      </x:c>
      <x:c r="B1936" s="312" t="s">
        <x:v>38</x:v>
      </x:c>
      <x:c r="C1936" s="312" t="s">
        <x:v>20</x:v>
      </x:c>
      <x:c r="D1936" s="317">
        <x:v>2</x:v>
      </x:c>
      <x:c r="E1936" s="321">
        <x:v>1350</x:v>
      </x:c>
      <x:c r="F1936" s="321">
        <x:v>2700</x:v>
      </x:c>
      <x:c r="G1936" s="321">
        <x:v>1100</x:v>
      </x:c>
      <x:c r="H1936" s="312" t="s">
        <x:v>62</x:v>
      </x:c>
      <x:c r="I1936" s="312" t="s">
        <x:v>37</x:v>
      </x:c>
      <x:c r="J1936" s="316" t="n">
        <x:f>IFERROR(G1936/F1936,0)</x:f>
        <x:v>0.4074074074074074</x:v>
      </x:c>
      <x:c r="K1936" s="312" t="str">
        <x:f>IF(B1936="Bilinmeyen Personel","Kontrol","OK")</x:f>
        <x:v>OK</x:v>
      </x:c>
    </x:row>
    <x:row r="1937" hidden="1">
      <x:c r="A1937" s="312" t="n">
        <x:f>ROW()-ROW($A$2)+1</x:f>
        <x:v>1936</x:v>
      </x:c>
      <x:c r="B1937" s="312" t="s">
        <x:v>35</x:v>
      </x:c>
      <x:c r="C1937" s="312" t="s">
        <x:v>34</x:v>
      </x:c>
      <x:c r="D1937" s="317">
        <x:v>3</x:v>
      </x:c>
      <x:c r="E1937" s="321">
        <x:v>1090</x:v>
      </x:c>
      <x:c r="F1937" s="321">
        <x:v>3270</x:v>
      </x:c>
      <x:c r="G1937" s="321">
        <x:v>870</x:v>
      </x:c>
      <x:c r="H1937" s="312" t="s">
        <x:v>62</x:v>
      </x:c>
      <x:c r="I1937" s="312" t="s">
        <x:v>28</x:v>
      </x:c>
      <x:c r="J1937" s="316" t="n">
        <x:f>IFERROR(G1937/F1937,0)</x:f>
        <x:v>0.26605504587155965</x:v>
      </x:c>
      <x:c r="K1937" s="312" t="str">
        <x:f>IF(B1937="Bilinmeyen Personel","Kontrol","OK")</x:f>
        <x:v>OK</x:v>
      </x:c>
    </x:row>
    <x:row r="1938" hidden="1">
      <x:c r="A1938" s="312" t="n">
        <x:f>ROW()-ROW($A$2)+1</x:f>
        <x:v>1937</x:v>
      </x:c>
      <x:c r="B1938" s="312" t="s">
        <x:v>35</x:v>
      </x:c>
      <x:c r="C1938" s="312" t="s">
        <x:v>45</x:v>
      </x:c>
      <x:c r="D1938" s="317">
        <x:v>5</x:v>
      </x:c>
      <x:c r="E1938" s="321">
        <x:v>4200</x:v>
      </x:c>
      <x:c r="F1938" s="321">
        <x:v>21000</x:v>
      </x:c>
      <x:c r="G1938" s="321">
        <x:v>6000</x:v>
      </x:c>
      <x:c r="H1938" s="312" t="s">
        <x:v>62</x:v>
      </x:c>
      <x:c r="I1938" s="312" t="s">
        <x:v>28</x:v>
      </x:c>
      <x:c r="J1938" s="316" t="n">
        <x:f>IFERROR(G1938/F1938,0)</x:f>
        <x:v>0.2857142857142857</x:v>
      </x:c>
      <x:c r="K1938" s="312" t="str">
        <x:f>IF(B1938="Bilinmeyen Personel","Kontrol","OK")</x:f>
        <x:v>OK</x:v>
      </x:c>
    </x:row>
    <x:row r="1939" hidden="1">
      <x:c r="A1939" s="312" t="n">
        <x:f>ROW()-ROW($A$2)+1</x:f>
        <x:v>1938</x:v>
      </x:c>
      <x:c r="B1939" s="312" t="s">
        <x:v>40</x:v>
      </x:c>
      <x:c r="C1939" s="312" t="s">
        <x:v>33</x:v>
      </x:c>
      <x:c r="D1939" s="317">
        <x:v>4</x:v>
      </x:c>
      <x:c r="E1939" s="321">
        <x:v>1800</x:v>
      </x:c>
      <x:c r="F1939" s="321">
        <x:v>7200</x:v>
      </x:c>
      <x:c r="G1939" s="321">
        <x:v>4000</x:v>
      </x:c>
      <x:c r="H1939" s="312" t="s">
        <x:v>62</x:v>
      </x:c>
      <x:c r="I1939" s="312" t="s">
        <x:v>28</x:v>
      </x:c>
      <x:c r="J1939" s="316" t="n">
        <x:f>IFERROR(G1939/F1939,0)</x:f>
        <x:v>0.5555555555555556</x:v>
      </x:c>
      <x:c r="K1939" s="312" t="str">
        <x:f>IF(B1939="Bilinmeyen Personel","Kontrol","OK")</x:f>
        <x:v>OK</x:v>
      </x:c>
    </x:row>
    <x:row r="1940" hidden="1">
      <x:c r="A1940" s="312" t="n">
        <x:f>ROW()-ROW($A$2)+1</x:f>
        <x:v>1939</x:v>
      </x:c>
      <x:c r="B1940" s="312" t="s">
        <x:v>50</x:v>
      </x:c>
      <x:c r="C1940" s="312" t="s">
        <x:v>34</x:v>
      </x:c>
      <x:c r="D1940" s="317">
        <x:v>4</x:v>
      </x:c>
      <x:c r="E1940" s="321">
        <x:v>1090</x:v>
      </x:c>
      <x:c r="F1940" s="321">
        <x:v>4360</x:v>
      </x:c>
      <x:c r="G1940" s="321">
        <x:v>1160</x:v>
      </x:c>
      <x:c r="H1940" s="312" t="s">
        <x:v>62</x:v>
      </x:c>
      <x:c r="I1940" s="312" t="s">
        <x:v>37</x:v>
      </x:c>
      <x:c r="J1940" s="316" t="n">
        <x:f>IFERROR(G1940/F1940,0)</x:f>
        <x:v>0.26605504587155965</x:v>
      </x:c>
      <x:c r="K1940" s="312" t="str">
        <x:f>IF(B1940="Bilinmeyen Personel","Kontrol","OK")</x:f>
        <x:v>OK</x:v>
      </x:c>
    </x:row>
    <x:row r="1941" hidden="1">
      <x:c r="A1941" s="312" t="n">
        <x:f>ROW()-ROW($A$2)+1</x:f>
        <x:v>1940</x:v>
      </x:c>
      <x:c r="B1941" s="312" t="s">
        <x:v>9</x:v>
      </x:c>
      <x:c r="C1941" s="312" t="s">
        <x:v>24</x:v>
      </x:c>
      <x:c r="D1941" s="317">
        <x:v>2</x:v>
      </x:c>
      <x:c r="E1941" s="321">
        <x:v>7600</x:v>
      </x:c>
      <x:c r="F1941" s="321">
        <x:v>15200</x:v>
      </x:c>
      <x:c r="G1941" s="321">
        <x:v>3200</x:v>
      </x:c>
      <x:c r="H1941" s="312" t="s">
        <x:v>62</x:v>
      </x:c>
      <x:c r="I1941" s="312" t="s">
        <x:v>25</x:v>
      </x:c>
      <x:c r="J1941" s="316" t="n">
        <x:f>IFERROR(G1941/F1941,0)</x:f>
        <x:v>0.21052631578947367</x:v>
      </x:c>
      <x:c r="K1941" s="312" t="str">
        <x:f>IF(B1941="Bilinmeyen Personel","Kontrol","OK")</x:f>
        <x:v>OK</x:v>
      </x:c>
    </x:row>
    <x:row r="1942" hidden="1">
      <x:c r="A1942" s="312" t="n">
        <x:f>ROW()-ROW($A$2)+1</x:f>
        <x:v>1941</x:v>
      </x:c>
      <x:c r="B1942" s="312" t="s">
        <x:v>38</x:v>
      </x:c>
      <x:c r="C1942" s="312" t="s">
        <x:v>24</x:v>
      </x:c>
      <x:c r="D1942" s="317">
        <x:v>2</x:v>
      </x:c>
      <x:c r="E1942" s="321">
        <x:v>7600</x:v>
      </x:c>
      <x:c r="F1942" s="321">
        <x:v>15200</x:v>
      </x:c>
      <x:c r="G1942" s="321">
        <x:v>3200</x:v>
      </x:c>
      <x:c r="H1942" s="312" t="s">
        <x:v>62</x:v>
      </x:c>
      <x:c r="I1942" s="312" t="s">
        <x:v>37</x:v>
      </x:c>
      <x:c r="J1942" s="316" t="n">
        <x:f>IFERROR(G1942/F1942,0)</x:f>
        <x:v>0.21052631578947367</x:v>
      </x:c>
      <x:c r="K1942" s="312" t="str">
        <x:f>IF(B1942="Bilinmeyen Personel","Kontrol","OK")</x:f>
        <x:v>OK</x:v>
      </x:c>
    </x:row>
    <x:row r="1943" hidden="1">
      <x:c r="A1943" s="312" t="n">
        <x:f>ROW()-ROW($A$2)+1</x:f>
        <x:v>1942</x:v>
      </x:c>
      <x:c r="B1943" s="312" t="s">
        <x:v>16</x:v>
      </x:c>
      <x:c r="C1943" s="312" t="s">
        <x:v>58</x:v>
      </x:c>
      <x:c r="D1943" s="317">
        <x:v>5</x:v>
      </x:c>
      <x:c r="E1943" s="321">
        <x:v>3700</x:v>
      </x:c>
      <x:c r="F1943" s="321">
        <x:v>18500</x:v>
      </x:c>
      <x:c r="G1943" s="321">
        <x:v>3500</x:v>
      </x:c>
      <x:c r="H1943" s="312" t="s">
        <x:v>62</x:v>
      </x:c>
      <x:c r="I1943" s="312" t="s">
        <x:v>31</x:v>
      </x:c>
      <x:c r="J1943" s="316" t="n">
        <x:f>IFERROR(G1943/F1943,0)</x:f>
        <x:v>0.1891891891891892</x:v>
      </x:c>
      <x:c r="K1943" s="312" t="str">
        <x:f>IF(B1943="Bilinmeyen Personel","Kontrol","OK")</x:f>
        <x:v>OK</x:v>
      </x:c>
    </x:row>
    <x:row r="1944" hidden="1">
      <x:c r="A1944" s="312" t="n">
        <x:f>ROW()-ROW($A$2)+1</x:f>
        <x:v>1943</x:v>
      </x:c>
      <x:c r="B1944" s="312" t="s">
        <x:v>23</x:v>
      </x:c>
      <x:c r="C1944" s="312" t="s">
        <x:v>26</x:v>
      </x:c>
      <x:c r="D1944" s="317">
        <x:v>3</x:v>
      </x:c>
      <x:c r="E1944" s="321">
        <x:v>7250</x:v>
      </x:c>
      <x:c r="F1944" s="321">
        <x:v>21750</x:v>
      </x:c>
      <x:c r="G1944" s="321">
        <x:v>6750</x:v>
      </x:c>
      <x:c r="H1944" s="312" t="s">
        <x:v>62</x:v>
      </x:c>
      <x:c r="I1944" s="312" t="s">
        <x:v>41</x:v>
      </x:c>
      <x:c r="J1944" s="316" t="n">
        <x:f>IFERROR(G1944/F1944,0)</x:f>
        <x:v>0.3103448275862069</x:v>
      </x:c>
      <x:c r="K1944" s="312" t="str">
        <x:f>IF(B1944="Bilinmeyen Personel","Kontrol","OK")</x:f>
        <x:v>OK</x:v>
      </x:c>
    </x:row>
    <x:row r="1945" hidden="1">
      <x:c r="A1945" s="312" t="n">
        <x:f>ROW()-ROW($A$2)+1</x:f>
        <x:v>1944</x:v>
      </x:c>
      <x:c r="B1945" s="312" t="s">
        <x:v>13</x:v>
      </x:c>
      <x:c r="C1945" s="312" t="s">
        <x:v>24</x:v>
      </x:c>
      <x:c r="D1945" s="317">
        <x:v>2</x:v>
      </x:c>
      <x:c r="E1945" s="321">
        <x:v>7600</x:v>
      </x:c>
      <x:c r="F1945" s="321">
        <x:v>15200</x:v>
      </x:c>
      <x:c r="G1945" s="321">
        <x:v>3200</x:v>
      </x:c>
      <x:c r="H1945" s="312" t="s">
        <x:v>62</x:v>
      </x:c>
      <x:c r="I1945" s="312" t="s">
        <x:v>18</x:v>
      </x:c>
      <x:c r="J1945" s="316" t="n">
        <x:f>IFERROR(G1945/F1945,0)</x:f>
        <x:v>0.21052631578947367</x:v>
      </x:c>
      <x:c r="K1945" s="312" t="str">
        <x:f>IF(B1945="Bilinmeyen Personel","Kontrol","OK")</x:f>
        <x:v>OK</x:v>
      </x:c>
    </x:row>
    <x:row r="1946" hidden="1">
      <x:c r="A1946" s="312" t="n">
        <x:f>ROW()-ROW($A$2)+1</x:f>
        <x:v>1945</x:v>
      </x:c>
      <x:c r="B1946" s="312" t="s">
        <x:v>48</x:v>
      </x:c>
      <x:c r="C1946" s="312" t="s">
        <x:v>45</x:v>
      </x:c>
      <x:c r="D1946" s="317">
        <x:v>3</x:v>
      </x:c>
      <x:c r="E1946" s="321">
        <x:v>4200</x:v>
      </x:c>
      <x:c r="F1946" s="321">
        <x:v>12600</x:v>
      </x:c>
      <x:c r="G1946" s="321">
        <x:v>3600</x:v>
      </x:c>
      <x:c r="H1946" s="312" t="s">
        <x:v>62</x:v>
      </x:c>
      <x:c r="I1946" s="312" t="s">
        <x:v>12</x:v>
      </x:c>
      <x:c r="J1946" s="316" t="n">
        <x:f>IFERROR(G1946/F1946,0)</x:f>
        <x:v>0.2857142857142857</x:v>
      </x:c>
      <x:c r="K1946" s="312" t="str">
        <x:f>IF(B1946="Bilinmeyen Personel","Kontrol","OK")</x:f>
        <x:v>OK</x:v>
      </x:c>
    </x:row>
    <x:row r="1947" hidden="1">
      <x:c r="A1947" s="312" t="n">
        <x:f>ROW()-ROW($A$2)+1</x:f>
        <x:v>1946</x:v>
      </x:c>
      <x:c r="B1947" s="312" t="s">
        <x:v>32</x:v>
      </x:c>
      <x:c r="C1947" s="312" t="s">
        <x:v>52</x:v>
      </x:c>
      <x:c r="D1947" s="317">
        <x:v>2</x:v>
      </x:c>
      <x:c r="E1947" s="321">
        <x:v>1250</x:v>
      </x:c>
      <x:c r="F1947" s="321">
        <x:v>2500</x:v>
      </x:c>
      <x:c r="G1947" s="321">
        <x:v>900</x:v>
      </x:c>
      <x:c r="H1947" s="312" t="s">
        <x:v>62</x:v>
      </x:c>
      <x:c r="I1947" s="312" t="s">
        <x:v>28</x:v>
      </x:c>
      <x:c r="J1947" s="316" t="n">
        <x:f>IFERROR(G1947/F1947,0)</x:f>
        <x:v>0.36</x:v>
      </x:c>
      <x:c r="K1947" s="312" t="str">
        <x:f>IF(B1947="Bilinmeyen Personel","Kontrol","OK")</x:f>
        <x:v>OK</x:v>
      </x:c>
    </x:row>
    <x:row r="1948" hidden="1">
      <x:c r="A1948" s="312" t="n">
        <x:f>ROW()-ROW($A$2)+1</x:f>
        <x:v>1947</x:v>
      </x:c>
      <x:c r="B1948" s="312" t="s">
        <x:v>38</x:v>
      </x:c>
      <x:c r="C1948" s="312" t="s">
        <x:v>34</x:v>
      </x:c>
      <x:c r="D1948" s="317">
        <x:v>2</x:v>
      </x:c>
      <x:c r="E1948" s="321">
        <x:v>1090</x:v>
      </x:c>
      <x:c r="F1948" s="321">
        <x:v>2180</x:v>
      </x:c>
      <x:c r="G1948" s="321">
        <x:v>580</x:v>
      </x:c>
      <x:c r="H1948" s="312" t="s">
        <x:v>62</x:v>
      </x:c>
      <x:c r="I1948" s="312" t="s">
        <x:v>15</x:v>
      </x:c>
      <x:c r="J1948" s="316" t="n">
        <x:f>IFERROR(G1948/F1948,0)</x:f>
        <x:v>0.26605504587155965</x:v>
      </x:c>
      <x:c r="K1948" s="312" t="str">
        <x:f>IF(B1948="Bilinmeyen Personel","Kontrol","OK")</x:f>
        <x:v>OK</x:v>
      </x:c>
    </x:row>
    <x:row r="1949" hidden="1">
      <x:c r="A1949" s="312" t="n">
        <x:f>ROW()-ROW($A$2)+1</x:f>
        <x:v>1948</x:v>
      </x:c>
      <x:c r="B1949" s="312" t="s">
        <x:v>19</x:v>
      </x:c>
      <x:c r="C1949" s="312" t="s">
        <x:v>22</x:v>
      </x:c>
      <x:c r="D1949" s="317">
        <x:v>3</x:v>
      </x:c>
      <x:c r="E1949" s="321">
        <x:v>2180</x:v>
      </x:c>
      <x:c r="F1949" s="321">
        <x:v>6540</x:v>
      </x:c>
      <x:c r="G1949" s="321">
        <x:v>2040</x:v>
      </x:c>
      <x:c r="H1949" s="312" t="s">
        <x:v>62</x:v>
      </x:c>
      <x:c r="I1949" s="312" t="s">
        <x:v>41</x:v>
      </x:c>
      <x:c r="J1949" s="316" t="n">
        <x:f>IFERROR(G1949/F1949,0)</x:f>
        <x:v>0.3119266055045872</x:v>
      </x:c>
      <x:c r="K1949" s="312" t="str">
        <x:f>IF(B1949="Bilinmeyen Personel","Kontrol","OK")</x:f>
        <x:v>OK</x:v>
      </x:c>
    </x:row>
    <x:row r="1950" hidden="1">
      <x:c r="A1950" s="312" t="n">
        <x:f>ROW()-ROW($A$2)+1</x:f>
        <x:v>1949</x:v>
      </x:c>
      <x:c r="B1950" s="312" t="s">
        <x:v>50</x:v>
      </x:c>
      <x:c r="C1950" s="312" t="s">
        <x:v>58</x:v>
      </x:c>
      <x:c r="D1950" s="317">
        <x:v>3</x:v>
      </x:c>
      <x:c r="E1950" s="321">
        <x:v>3700</x:v>
      </x:c>
      <x:c r="F1950" s="321">
        <x:v>11100</x:v>
      </x:c>
      <x:c r="G1950" s="321">
        <x:v>2100</x:v>
      </x:c>
      <x:c r="H1950" s="312" t="s">
        <x:v>62</x:v>
      </x:c>
      <x:c r="I1950" s="312" t="s">
        <x:v>44</x:v>
      </x:c>
      <x:c r="J1950" s="316" t="n">
        <x:f>IFERROR(G1950/F1950,0)</x:f>
        <x:v>0.1891891891891892</x:v>
      </x:c>
      <x:c r="K1950" s="312" t="str">
        <x:f>IF(B1950="Bilinmeyen Personel","Kontrol","OK")</x:f>
        <x:v>OK</x:v>
      </x:c>
    </x:row>
    <x:row r="1951" hidden="1">
      <x:c r="A1951" s="312" t="n">
        <x:f>ROW()-ROW($A$2)+1</x:f>
        <x:v>1950</x:v>
      </x:c>
      <x:c r="B1951" s="312" t="s">
        <x:v>40</x:v>
      </x:c>
      <x:c r="C1951" s="312" t="s">
        <x:v>10</x:v>
      </x:c>
      <x:c r="D1951" s="317">
        <x:v>4</x:v>
      </x:c>
      <x:c r="E1951" s="321">
        <x:v>6000</x:v>
      </x:c>
      <x:c r="F1951" s="321">
        <x:v>24000</x:v>
      </x:c>
      <x:c r="G1951" s="321">
        <x:v>8000</x:v>
      </x:c>
      <x:c r="H1951" s="312" t="s">
        <x:v>62</x:v>
      </x:c>
      <x:c r="I1951" s="312" t="s">
        <x:v>18</x:v>
      </x:c>
      <x:c r="J1951" s="316" t="n">
        <x:f>IFERROR(G1951/F1951,0)</x:f>
        <x:v>0.3333333333333333</x:v>
      </x:c>
      <x:c r="K1951" s="312" t="str">
        <x:f>IF(B1951="Bilinmeyen Personel","Kontrol","OK")</x:f>
        <x:v>OK</x:v>
      </x:c>
    </x:row>
    <x:row r="1952" hidden="1">
      <x:c r="A1952" s="312" t="n">
        <x:f>ROW()-ROW($A$2)+1</x:f>
        <x:v>1951</x:v>
      </x:c>
      <x:c r="B1952" s="312" t="s">
        <x:v>48</x:v>
      </x:c>
      <x:c r="C1952" s="312" t="s">
        <x:v>52</x:v>
      </x:c>
      <x:c r="D1952" s="317">
        <x:v>3</x:v>
      </x:c>
      <x:c r="E1952" s="321">
        <x:v>1250</x:v>
      </x:c>
      <x:c r="F1952" s="321">
        <x:v>3750</x:v>
      </x:c>
      <x:c r="G1952" s="321">
        <x:v>1350</x:v>
      </x:c>
      <x:c r="H1952" s="312" t="s">
        <x:v>62</x:v>
      </x:c>
      <x:c r="I1952" s="312" t="s">
        <x:v>15</x:v>
      </x:c>
      <x:c r="J1952" s="316" t="n">
        <x:f>IFERROR(G1952/F1952,0)</x:f>
        <x:v>0.36</x:v>
      </x:c>
      <x:c r="K1952" s="312" t="str">
        <x:f>IF(B1952="Bilinmeyen Personel","Kontrol","OK")</x:f>
        <x:v>OK</x:v>
      </x:c>
    </x:row>
    <x:row r="1953" hidden="1">
      <x:c r="A1953" s="312" t="n">
        <x:f>ROW()-ROW($A$2)+1</x:f>
        <x:v>1952</x:v>
      </x:c>
      <x:c r="B1953" s="312" t="s">
        <x:v>50</x:v>
      </x:c>
      <x:c r="C1953" s="312" t="s">
        <x:v>24</x:v>
      </x:c>
      <x:c r="D1953" s="317">
        <x:v>3</x:v>
      </x:c>
      <x:c r="E1953" s="321">
        <x:v>7600</x:v>
      </x:c>
      <x:c r="F1953" s="321">
        <x:v>22800</x:v>
      </x:c>
      <x:c r="G1953" s="321">
        <x:v>4800</x:v>
      </x:c>
      <x:c r="H1953" s="312" t="s">
        <x:v>62</x:v>
      </x:c>
      <x:c r="I1953" s="312" t="s">
        <x:v>44</x:v>
      </x:c>
      <x:c r="J1953" s="316" t="n">
        <x:f>IFERROR(G1953/F1953,0)</x:f>
        <x:v>0.21052631578947367</x:v>
      </x:c>
      <x:c r="K1953" s="312" t="str">
        <x:f>IF(B1953="Bilinmeyen Personel","Kontrol","OK")</x:f>
        <x:v>OK</x:v>
      </x:c>
    </x:row>
    <x:row r="1954" hidden="1">
      <x:c r="A1954" s="312" t="n">
        <x:f>ROW()-ROW($A$2)+1</x:f>
        <x:v>1953</x:v>
      </x:c>
      <x:c r="B1954" s="312" t="s">
        <x:v>9</x:v>
      </x:c>
      <x:c r="C1954" s="312" t="s">
        <x:v>14</x:v>
      </x:c>
      <x:c r="D1954" s="317">
        <x:v>2</x:v>
      </x:c>
      <x:c r="E1954" s="321">
        <x:v>1400</x:v>
      </x:c>
      <x:c r="F1954" s="321">
        <x:v>2800</x:v>
      </x:c>
      <x:c r="G1954" s="321">
        <x:v>1200</x:v>
      </x:c>
      <x:c r="H1954" s="312" t="s">
        <x:v>62</x:v>
      </x:c>
      <x:c r="I1954" s="312" t="s">
        <x:v>44</x:v>
      </x:c>
      <x:c r="J1954" s="316" t="n">
        <x:f>IFERROR(G1954/F1954,0)</x:f>
        <x:v>0.42857142857142855</x:v>
      </x:c>
      <x:c r="K1954" s="312" t="str">
        <x:f>IF(B1954="Bilinmeyen Personel","Kontrol","OK")</x:f>
        <x:v>OK</x:v>
      </x:c>
    </x:row>
    <x:row r="1955" hidden="1">
      <x:c r="A1955" s="312" t="n">
        <x:f>ROW()-ROW($A$2)+1</x:f>
        <x:v>1954</x:v>
      </x:c>
      <x:c r="B1955" s="312" t="s">
        <x:v>23</x:v>
      </x:c>
      <x:c r="C1955" s="312" t="s">
        <x:v>22</x:v>
      </x:c>
      <x:c r="D1955" s="317">
        <x:v>3</x:v>
      </x:c>
      <x:c r="E1955" s="321">
        <x:v>2180</x:v>
      </x:c>
      <x:c r="F1955" s="321">
        <x:v>6540</x:v>
      </x:c>
      <x:c r="G1955" s="321">
        <x:v>2040</x:v>
      </x:c>
      <x:c r="H1955" s="312" t="s">
        <x:v>62</x:v>
      </x:c>
      <x:c r="I1955" s="312" t="s">
        <x:v>41</x:v>
      </x:c>
      <x:c r="J1955" s="316" t="n">
        <x:f>IFERROR(G1955/F1955,0)</x:f>
        <x:v>0.3119266055045872</x:v>
      </x:c>
      <x:c r="K1955" s="312" t="str">
        <x:f>IF(B1955="Bilinmeyen Personel","Kontrol","OK")</x:f>
        <x:v>OK</x:v>
      </x:c>
    </x:row>
    <x:row r="1956" hidden="1">
      <x:c r="A1956" s="312" t="n">
        <x:f>ROW()-ROW($A$2)+1</x:f>
        <x:v>1955</x:v>
      </x:c>
      <x:c r="B1956" s="312" t="s">
        <x:v>9</x:v>
      </x:c>
      <x:c r="C1956" s="312" t="s">
        <x:v>33</x:v>
      </x:c>
      <x:c r="D1956" s="317">
        <x:v>5</x:v>
      </x:c>
      <x:c r="E1956" s="321">
        <x:v>1800</x:v>
      </x:c>
      <x:c r="F1956" s="321">
        <x:v>9000</x:v>
      </x:c>
      <x:c r="G1956" s="321">
        <x:v>5000</x:v>
      </x:c>
      <x:c r="H1956" s="312" t="s">
        <x:v>62</x:v>
      </x:c>
      <x:c r="I1956" s="312" t="s">
        <x:v>21</x:v>
      </x:c>
      <x:c r="J1956" s="316" t="n">
        <x:f>IFERROR(G1956/F1956,0)</x:f>
        <x:v>0.5555555555555556</x:v>
      </x:c>
      <x:c r="K1956" s="312" t="str">
        <x:f>IF(B1956="Bilinmeyen Personel","Kontrol","OK")</x:f>
        <x:v>OK</x:v>
      </x:c>
    </x:row>
    <x:row r="1957" hidden="1">
      <x:c r="A1957" s="312" t="n">
        <x:f>ROW()-ROW($A$2)+1</x:f>
        <x:v>1956</x:v>
      </x:c>
      <x:c r="B1957" s="312" t="s">
        <x:v>16</x:v>
      </x:c>
      <x:c r="C1957" s="312" t="s">
        <x:v>57</x:v>
      </x:c>
      <x:c r="D1957" s="317">
        <x:v>5</x:v>
      </x:c>
      <x:c r="E1957" s="321">
        <x:v>1500</x:v>
      </x:c>
      <x:c r="F1957" s="321">
        <x:v>7500</x:v>
      </x:c>
      <x:c r="G1957" s="321">
        <x:v>3500</x:v>
      </x:c>
      <x:c r="H1957" s="312" t="s">
        <x:v>62</x:v>
      </x:c>
      <x:c r="I1957" s="312" t="s">
        <x:v>41</x:v>
      </x:c>
      <x:c r="J1957" s="316" t="n">
        <x:f>IFERROR(G1957/F1957,0)</x:f>
        <x:v>0.4666666666666667</x:v>
      </x:c>
      <x:c r="K1957" s="312" t="str">
        <x:f>IF(B1957="Bilinmeyen Personel","Kontrol","OK")</x:f>
        <x:v>OK</x:v>
      </x:c>
    </x:row>
    <x:row r="1958" hidden="1">
      <x:c r="A1958" s="312" t="n">
        <x:f>ROW()-ROW($A$2)+1</x:f>
        <x:v>1957</x:v>
      </x:c>
      <x:c r="B1958" s="312" t="s">
        <x:v>32</x:v>
      </x:c>
      <x:c r="C1958" s="312" t="s">
        <x:v>17</x:v>
      </x:c>
      <x:c r="D1958" s="317">
        <x:v>3</x:v>
      </x:c>
      <x:c r="E1958" s="321">
        <x:v>8450</x:v>
      </x:c>
      <x:c r="F1958" s="321">
        <x:v>25350</x:v>
      </x:c>
      <x:c r="G1958" s="321">
        <x:v>7350</x:v>
      </x:c>
      <x:c r="H1958" s="312" t="s">
        <x:v>62</x:v>
      </x:c>
      <x:c r="I1958" s="312" t="s">
        <x:v>21</x:v>
      </x:c>
      <x:c r="J1958" s="316" t="n">
        <x:f>IFERROR(G1958/F1958,0)</x:f>
        <x:v>0.28994082840236685</x:v>
      </x:c>
      <x:c r="K1958" s="312" t="str">
        <x:f>IF(B1958="Bilinmeyen Personel","Kontrol","OK")</x:f>
        <x:v>OK</x:v>
      </x:c>
    </x:row>
    <x:row r="1959" hidden="1">
      <x:c r="A1959" s="312" t="n">
        <x:f>ROW()-ROW($A$2)+1</x:f>
        <x:v>1958</x:v>
      </x:c>
      <x:c r="B1959" s="312" t="s">
        <x:v>40</x:v>
      </x:c>
      <x:c r="C1959" s="312" t="s">
        <x:v>57</x:v>
      </x:c>
      <x:c r="D1959" s="317">
        <x:v>5</x:v>
      </x:c>
      <x:c r="E1959" s="321">
        <x:v>1500</x:v>
      </x:c>
      <x:c r="F1959" s="321">
        <x:v>7500</x:v>
      </x:c>
      <x:c r="G1959" s="321">
        <x:v>3500</x:v>
      </x:c>
      <x:c r="H1959" s="312" t="s">
        <x:v>62</x:v>
      </x:c>
      <x:c r="I1959" s="312" t="s">
        <x:v>18</x:v>
      </x:c>
      <x:c r="J1959" s="316" t="n">
        <x:f>IFERROR(G1959/F1959,0)</x:f>
        <x:v>0.4666666666666667</x:v>
      </x:c>
      <x:c r="K1959" s="312" t="str">
        <x:f>IF(B1959="Bilinmeyen Personel","Kontrol","OK")</x:f>
        <x:v>OK</x:v>
      </x:c>
    </x:row>
    <x:row r="1960" hidden="1">
      <x:c r="A1960" s="312" t="n">
        <x:f>ROW()-ROW($A$2)+1</x:f>
        <x:v>1959</x:v>
      </x:c>
      <x:c r="B1960" s="312" t="s">
        <x:v>29</x:v>
      </x:c>
      <x:c r="C1960" s="312" t="s">
        <x:v>10</x:v>
      </x:c>
      <x:c r="D1960" s="317">
        <x:v>4</x:v>
      </x:c>
      <x:c r="E1960" s="321">
        <x:v>6000</x:v>
      </x:c>
      <x:c r="F1960" s="321">
        <x:v>24000</x:v>
      </x:c>
      <x:c r="G1960" s="321">
        <x:v>8000</x:v>
      </x:c>
      <x:c r="H1960" s="312" t="s">
        <x:v>62</x:v>
      </x:c>
      <x:c r="I1960" s="312" t="s">
        <x:v>37</x:v>
      </x:c>
      <x:c r="J1960" s="316" t="n">
        <x:f>IFERROR(G1960/F1960,0)</x:f>
        <x:v>0.3333333333333333</x:v>
      </x:c>
      <x:c r="K1960" s="312" t="str">
        <x:f>IF(B1960="Bilinmeyen Personel","Kontrol","OK")</x:f>
        <x:v>OK</x:v>
      </x:c>
    </x:row>
    <x:row r="1961" hidden="1">
      <x:c r="A1961" s="312" t="n">
        <x:f>ROW()-ROW($A$2)+1</x:f>
        <x:v>1960</x:v>
      </x:c>
      <x:c r="B1961" s="312" t="s">
        <x:v>50</x:v>
      </x:c>
      <x:c r="C1961" s="312" t="s">
        <x:v>53</x:v>
      </x:c>
      <x:c r="D1961" s="317">
        <x:v>2</x:v>
      </x:c>
      <x:c r="E1961" s="321">
        <x:v>1200</x:v>
      </x:c>
      <x:c r="F1961" s="321">
        <x:v>2400</x:v>
      </x:c>
      <x:c r="G1961" s="321">
        <x:v>800</x:v>
      </x:c>
      <x:c r="H1961" s="312" t="s">
        <x:v>62</x:v>
      </x:c>
      <x:c r="I1961" s="312" t="s">
        <x:v>54</x:v>
      </x:c>
      <x:c r="J1961" s="316" t="n">
        <x:f>IFERROR(G1961/F1961,0)</x:f>
        <x:v>0.3333333333333333</x:v>
      </x:c>
      <x:c r="K1961" s="312" t="str">
        <x:f>IF(B1961="Bilinmeyen Personel","Kontrol","OK")</x:f>
        <x:v>OK</x:v>
      </x:c>
    </x:row>
    <x:row r="1962" hidden="1">
      <x:c r="A1962" s="312" t="n">
        <x:f>ROW()-ROW($A$2)+1</x:f>
        <x:v>1961</x:v>
      </x:c>
      <x:c r="B1962" s="312" t="s">
        <x:v>9</x:v>
      </x:c>
      <x:c r="C1962" s="312" t="s">
        <x:v>45</x:v>
      </x:c>
      <x:c r="D1962" s="317">
        <x:v>2</x:v>
      </x:c>
      <x:c r="E1962" s="321">
        <x:v>4200</x:v>
      </x:c>
      <x:c r="F1962" s="321">
        <x:v>8400</x:v>
      </x:c>
      <x:c r="G1962" s="321">
        <x:v>2400</x:v>
      </x:c>
      <x:c r="H1962" s="312" t="s">
        <x:v>62</x:v>
      </x:c>
      <x:c r="I1962" s="312" t="s">
        <x:v>44</x:v>
      </x:c>
      <x:c r="J1962" s="316" t="n">
        <x:f>IFERROR(G1962/F1962,0)</x:f>
        <x:v>0.2857142857142857</x:v>
      </x:c>
      <x:c r="K1962" s="312" t="str">
        <x:f>IF(B1962="Bilinmeyen Personel","Kontrol","OK")</x:f>
        <x:v>OK</x:v>
      </x:c>
    </x:row>
    <x:row r="1963" hidden="1">
      <x:c r="A1963" s="312" t="n">
        <x:f>ROW()-ROW($A$2)+1</x:f>
        <x:v>1962</x:v>
      </x:c>
      <x:c r="B1963" s="312" t="s">
        <x:v>48</x:v>
      </x:c>
      <x:c r="C1963" s="312" t="s">
        <x:v>24</x:v>
      </x:c>
      <x:c r="D1963" s="317">
        <x:v>3</x:v>
      </x:c>
      <x:c r="E1963" s="321">
        <x:v>7600</x:v>
      </x:c>
      <x:c r="F1963" s="321">
        <x:v>22800</x:v>
      </x:c>
      <x:c r="G1963" s="321">
        <x:v>4800</x:v>
      </x:c>
      <x:c r="H1963" s="312" t="s">
        <x:v>62</x:v>
      </x:c>
      <x:c r="I1963" s="312" t="s">
        <x:v>31</x:v>
      </x:c>
      <x:c r="J1963" s="316" t="n">
        <x:f>IFERROR(G1963/F1963,0)</x:f>
        <x:v>0.21052631578947367</x:v>
      </x:c>
      <x:c r="K1963" s="312" t="str">
        <x:f>IF(B1963="Bilinmeyen Personel","Kontrol","OK")</x:f>
        <x:v>OK</x:v>
      </x:c>
    </x:row>
    <x:row r="1964" hidden="1">
      <x:c r="A1964" s="312" t="n">
        <x:f>ROW()-ROW($A$2)+1</x:f>
        <x:v>1963</x:v>
      </x:c>
      <x:c r="B1964" s="312" t="s">
        <x:v>29</x:v>
      </x:c>
      <x:c r="C1964" s="312" t="s">
        <x:v>26</x:v>
      </x:c>
      <x:c r="D1964" s="317">
        <x:v>5</x:v>
      </x:c>
      <x:c r="E1964" s="321">
        <x:v>7250</x:v>
      </x:c>
      <x:c r="F1964" s="321">
        <x:v>36250</x:v>
      </x:c>
      <x:c r="G1964" s="321">
        <x:v>11250</x:v>
      </x:c>
      <x:c r="H1964" s="312" t="s">
        <x:v>62</x:v>
      </x:c>
      <x:c r="I1964" s="312" t="s">
        <x:v>41</x:v>
      </x:c>
      <x:c r="J1964" s="316" t="n">
        <x:f>IFERROR(G1964/F1964,0)</x:f>
        <x:v>0.3103448275862069</x:v>
      </x:c>
      <x:c r="K1964" s="312" t="str">
        <x:f>IF(B1964="Bilinmeyen Personel","Kontrol","OK")</x:f>
        <x:v>OK</x:v>
      </x:c>
    </x:row>
    <x:row r="1965" hidden="1">
      <x:c r="A1965" s="312" t="n">
        <x:f>ROW()-ROW($A$2)+1</x:f>
        <x:v>1964</x:v>
      </x:c>
      <x:c r="B1965" s="312" t="s">
        <x:v>13</x:v>
      </x:c>
      <x:c r="C1965" s="312" t="s">
        <x:v>55</x:v>
      </x:c>
      <x:c r="D1965" s="317">
        <x:v>3</x:v>
      </x:c>
      <x:c r="E1965" s="321">
        <x:v>7530</x:v>
      </x:c>
      <x:c r="F1965" s="321">
        <x:v>22590</x:v>
      </x:c>
      <x:c r="G1965" s="321">
        <x:v>4590</x:v>
      </x:c>
      <x:c r="H1965" s="312" t="s">
        <x:v>62</x:v>
      </x:c>
      <x:c r="I1965" s="312" t="s">
        <x:v>15</x:v>
      </x:c>
      <x:c r="J1965" s="316" t="n">
        <x:f>IFERROR(G1965/F1965,0)</x:f>
        <x:v>0.20318725099601595</x:v>
      </x:c>
      <x:c r="K1965" s="312" t="str">
        <x:f>IF(B1965="Bilinmeyen Personel","Kontrol","OK")</x:f>
        <x:v>OK</x:v>
      </x:c>
    </x:row>
    <x:row r="1966" hidden="1">
      <x:c r="A1966" s="312" t="n">
        <x:f>ROW()-ROW($A$2)+1</x:f>
        <x:v>1965</x:v>
      </x:c>
      <x:c r="B1966" s="312" t="s">
        <x:v>16</x:v>
      </x:c>
      <x:c r="C1966" s="312" t="s">
        <x:v>26</x:v>
      </x:c>
      <x:c r="D1966" s="317">
        <x:v>4</x:v>
      </x:c>
      <x:c r="E1966" s="321">
        <x:v>7250</x:v>
      </x:c>
      <x:c r="F1966" s="321">
        <x:v>29000</x:v>
      </x:c>
      <x:c r="G1966" s="321">
        <x:v>9000</x:v>
      </x:c>
      <x:c r="H1966" s="312" t="s">
        <x:v>62</x:v>
      </x:c>
      <x:c r="I1966" s="312" t="s">
        <x:v>44</x:v>
      </x:c>
      <x:c r="J1966" s="316" t="n">
        <x:f>IFERROR(G1966/F1966,0)</x:f>
        <x:v>0.3103448275862069</x:v>
      </x:c>
      <x:c r="K1966" s="312" t="str">
        <x:f>IF(B1966="Bilinmeyen Personel","Kontrol","OK")</x:f>
        <x:v>OK</x:v>
      </x:c>
    </x:row>
    <x:row r="1967" hidden="1">
      <x:c r="A1967" s="312" t="n">
        <x:f>ROW()-ROW($A$2)+1</x:f>
        <x:v>1966</x:v>
      </x:c>
      <x:c r="B1967" s="312" t="s">
        <x:v>13</x:v>
      </x:c>
      <x:c r="C1967" s="312" t="s">
        <x:v>10</x:v>
      </x:c>
      <x:c r="D1967" s="317">
        <x:v>5</x:v>
      </x:c>
      <x:c r="E1967" s="321">
        <x:v>6000</x:v>
      </x:c>
      <x:c r="F1967" s="321">
        <x:v>30000</x:v>
      </x:c>
      <x:c r="G1967" s="321">
        <x:v>10000</x:v>
      </x:c>
      <x:c r="H1967" s="312" t="s">
        <x:v>62</x:v>
      </x:c>
      <x:c r="I1967" s="312" t="s">
        <x:v>42</x:v>
      </x:c>
      <x:c r="J1967" s="316" t="n">
        <x:f>IFERROR(G1967/F1967,0)</x:f>
        <x:v>0.3333333333333333</x:v>
      </x:c>
      <x:c r="K1967" s="312" t="str">
        <x:f>IF(B1967="Bilinmeyen Personel","Kontrol","OK")</x:f>
        <x:v>OK</x:v>
      </x:c>
    </x:row>
    <x:row r="1968" hidden="1">
      <x:c r="A1968" s="312" t="n">
        <x:f>ROW()-ROW($A$2)+1</x:f>
        <x:v>1967</x:v>
      </x:c>
      <x:c r="B1968" s="312" t="s">
        <x:v>29</x:v>
      </x:c>
      <x:c r="C1968" s="312" t="s">
        <x:v>53</x:v>
      </x:c>
      <x:c r="D1968" s="317">
        <x:v>2</x:v>
      </x:c>
      <x:c r="E1968" s="321">
        <x:v>1200</x:v>
      </x:c>
      <x:c r="F1968" s="321">
        <x:v>2400</x:v>
      </x:c>
      <x:c r="G1968" s="321">
        <x:v>800</x:v>
      </x:c>
      <x:c r="H1968" s="312" t="s">
        <x:v>62</x:v>
      </x:c>
      <x:c r="I1968" s="312" t="s">
        <x:v>42</x:v>
      </x:c>
      <x:c r="J1968" s="316" t="n">
        <x:f>IFERROR(G1968/F1968,0)</x:f>
        <x:v>0.3333333333333333</x:v>
      </x:c>
      <x:c r="K1968" s="312" t="str">
        <x:f>IF(B1968="Bilinmeyen Personel","Kontrol","OK")</x:f>
        <x:v>OK</x:v>
      </x:c>
    </x:row>
    <x:row r="1969" hidden="1">
      <x:c r="A1969" s="312" t="n">
        <x:f>ROW()-ROW($A$2)+1</x:f>
        <x:v>1968</x:v>
      </x:c>
      <x:c r="B1969" s="312" t="s">
        <x:v>50</x:v>
      </x:c>
      <x:c r="C1969" s="312" t="s">
        <x:v>56</x:v>
      </x:c>
      <x:c r="D1969" s="317">
        <x:v>3</x:v>
      </x:c>
      <x:c r="E1969" s="321">
        <x:v>5300</x:v>
      </x:c>
      <x:c r="F1969" s="321">
        <x:v>15900</x:v>
      </x:c>
      <x:c r="G1969" s="321">
        <x:v>3900</x:v>
      </x:c>
      <x:c r="H1969" s="312" t="s">
        <x:v>62</x:v>
      </x:c>
      <x:c r="I1969" s="312" t="s">
        <x:v>18</x:v>
      </x:c>
      <x:c r="J1969" s="316" t="n">
        <x:f>IFERROR(G1969/F1969,0)</x:f>
        <x:v>0.24528301886792453</x:v>
      </x:c>
      <x:c r="K1969" s="312" t="str">
        <x:f>IF(B1969="Bilinmeyen Personel","Kontrol","OK")</x:f>
        <x:v>OK</x:v>
      </x:c>
    </x:row>
    <x:row r="1970" hidden="1">
      <x:c r="A1970" s="312" t="n">
        <x:f>ROW()-ROW($A$2)+1</x:f>
        <x:v>1969</x:v>
      </x:c>
      <x:c r="B1970" s="312" t="s">
        <x:v>38</x:v>
      </x:c>
      <x:c r="C1970" s="312" t="s">
        <x:v>17</x:v>
      </x:c>
      <x:c r="D1970" s="317">
        <x:v>5</x:v>
      </x:c>
      <x:c r="E1970" s="321">
        <x:v>8450</x:v>
      </x:c>
      <x:c r="F1970" s="321">
        <x:v>42250</x:v>
      </x:c>
      <x:c r="G1970" s="321">
        <x:v>12250</x:v>
      </x:c>
      <x:c r="H1970" s="312" t="s">
        <x:v>62</x:v>
      </x:c>
      <x:c r="I1970" s="312" t="s">
        <x:v>54</x:v>
      </x:c>
      <x:c r="J1970" s="316" t="n">
        <x:f>IFERROR(G1970/F1970,0)</x:f>
        <x:v>0.28994082840236685</x:v>
      </x:c>
      <x:c r="K1970" s="312" t="str">
        <x:f>IF(B1970="Bilinmeyen Personel","Kontrol","OK")</x:f>
        <x:v>OK</x:v>
      </x:c>
    </x:row>
    <x:row r="1971" hidden="1">
      <x:c r="A1971" s="312" t="n">
        <x:f>ROW()-ROW($A$2)+1</x:f>
        <x:v>1970</x:v>
      </x:c>
      <x:c r="B1971" s="312" t="s">
        <x:v>23</x:v>
      </x:c>
      <x:c r="C1971" s="312" t="s">
        <x:v>20</x:v>
      </x:c>
      <x:c r="D1971" s="317">
        <x:v>4</x:v>
      </x:c>
      <x:c r="E1971" s="321">
        <x:v>1350</x:v>
      </x:c>
      <x:c r="F1971" s="321">
        <x:v>5400</x:v>
      </x:c>
      <x:c r="G1971" s="321">
        <x:v>2200</x:v>
      </x:c>
      <x:c r="H1971" s="312" t="s">
        <x:v>62</x:v>
      </x:c>
      <x:c r="I1971" s="312" t="s">
        <x:v>31</x:v>
      </x:c>
      <x:c r="J1971" s="316" t="n">
        <x:f>IFERROR(G1971/F1971,0)</x:f>
        <x:v>0.4074074074074074</x:v>
      </x:c>
      <x:c r="K1971" s="312" t="str">
        <x:f>IF(B1971="Bilinmeyen Personel","Kontrol","OK")</x:f>
        <x:v>OK</x:v>
      </x:c>
    </x:row>
    <x:row r="1972" hidden="1">
      <x:c r="A1972" s="312" t="n">
        <x:f>ROW()-ROW($A$2)+1</x:f>
        <x:v>1971</x:v>
      </x:c>
      <x:c r="B1972" s="312" t="s">
        <x:v>32</x:v>
      </x:c>
      <x:c r="C1972" s="312" t="s">
        <x:v>34</x:v>
      </x:c>
      <x:c r="D1972" s="317">
        <x:v>3</x:v>
      </x:c>
      <x:c r="E1972" s="321">
        <x:v>1090</x:v>
      </x:c>
      <x:c r="F1972" s="321">
        <x:v>3270</x:v>
      </x:c>
      <x:c r="G1972" s="321">
        <x:v>870</x:v>
      </x:c>
      <x:c r="H1972" s="312" t="s">
        <x:v>62</x:v>
      </x:c>
      <x:c r="I1972" s="312" t="s">
        <x:v>37</x:v>
      </x:c>
      <x:c r="J1972" s="316" t="n">
        <x:f>IFERROR(G1972/F1972,0)</x:f>
        <x:v>0.26605504587155965</x:v>
      </x:c>
      <x:c r="K1972" s="312" t="str">
        <x:f>IF(B1972="Bilinmeyen Personel","Kontrol","OK")</x:f>
        <x:v>OK</x:v>
      </x:c>
    </x:row>
    <x:row r="1973" hidden="1">
      <x:c r="A1973" s="312" t="n">
        <x:f>ROW()-ROW($A$2)+1</x:f>
        <x:v>1972</x:v>
      </x:c>
      <x:c r="B1973" s="312" t="s">
        <x:v>23</x:v>
      </x:c>
      <x:c r="C1973" s="312" t="s">
        <x:v>22</x:v>
      </x:c>
      <x:c r="D1973" s="317">
        <x:v>5</x:v>
      </x:c>
      <x:c r="E1973" s="321">
        <x:v>2180</x:v>
      </x:c>
      <x:c r="F1973" s="321">
        <x:v>10900</x:v>
      </x:c>
      <x:c r="G1973" s="321">
        <x:v>3400</x:v>
      </x:c>
      <x:c r="H1973" s="312" t="s">
        <x:v>62</x:v>
      </x:c>
      <x:c r="I1973" s="312" t="s">
        <x:v>54</x:v>
      </x:c>
      <x:c r="J1973" s="316" t="n">
        <x:f>IFERROR(G1973/F1973,0)</x:f>
        <x:v>0.3119266055045872</x:v>
      </x:c>
      <x:c r="K1973" s="312" t="str">
        <x:f>IF(B1973="Bilinmeyen Personel","Kontrol","OK")</x:f>
        <x:v>OK</x:v>
      </x:c>
    </x:row>
    <x:row r="1974" hidden="1">
      <x:c r="A1974" s="312" t="n">
        <x:f>ROW()-ROW($A$2)+1</x:f>
        <x:v>1973</x:v>
      </x:c>
      <x:c r="B1974" s="312" t="s">
        <x:v>9</x:v>
      </x:c>
      <x:c r="C1974" s="312" t="s">
        <x:v>10</x:v>
      </x:c>
      <x:c r="D1974" s="317">
        <x:v>3</x:v>
      </x:c>
      <x:c r="E1974" s="321">
        <x:v>6000</x:v>
      </x:c>
      <x:c r="F1974" s="321">
        <x:v>18000</x:v>
      </x:c>
      <x:c r="G1974" s="321">
        <x:v>6000</x:v>
      </x:c>
      <x:c r="H1974" s="312" t="s">
        <x:v>62</x:v>
      </x:c>
      <x:c r="I1974" s="312" t="s">
        <x:v>46</x:v>
      </x:c>
      <x:c r="J1974" s="316" t="n">
        <x:f>IFERROR(G1974/F1974,0)</x:f>
        <x:v>0.3333333333333333</x:v>
      </x:c>
      <x:c r="K1974" s="312" t="str">
        <x:f>IF(B1974="Bilinmeyen Personel","Kontrol","OK")</x:f>
        <x:v>OK</x:v>
      </x:c>
    </x:row>
    <x:row r="1975" hidden="1">
      <x:c r="A1975" s="312" t="n">
        <x:f>ROW()-ROW($A$2)+1</x:f>
        <x:v>1974</x:v>
      </x:c>
      <x:c r="B1975" s="312" t="s">
        <x:v>13</x:v>
      </x:c>
      <x:c r="C1975" s="312" t="s">
        <x:v>14</x:v>
      </x:c>
      <x:c r="D1975" s="317">
        <x:v>2</x:v>
      </x:c>
      <x:c r="E1975" s="321">
        <x:v>1400</x:v>
      </x:c>
      <x:c r="F1975" s="321">
        <x:v>2800</x:v>
      </x:c>
      <x:c r="G1975" s="321">
        <x:v>1200</x:v>
      </x:c>
      <x:c r="H1975" s="312" t="s">
        <x:v>62</x:v>
      </x:c>
      <x:c r="I1975" s="312" t="s">
        <x:v>54</x:v>
      </x:c>
      <x:c r="J1975" s="316" t="n">
        <x:f>IFERROR(G1975/F1975,0)</x:f>
        <x:v>0.42857142857142855</x:v>
      </x:c>
      <x:c r="K1975" s="312" t="str">
        <x:f>IF(B1975="Bilinmeyen Personel","Kontrol","OK")</x:f>
        <x:v>OK</x:v>
      </x:c>
    </x:row>
    <x:row r="1976" hidden="1">
      <x:c r="A1976" s="312" t="n">
        <x:f>ROW()-ROW($A$2)+1</x:f>
        <x:v>1975</x:v>
      </x:c>
      <x:c r="B1976" s="312" t="s">
        <x:v>16</x:v>
      </x:c>
      <x:c r="C1976" s="312" t="s">
        <x:v>17</x:v>
      </x:c>
      <x:c r="D1976" s="317">
        <x:v>4</x:v>
      </x:c>
      <x:c r="E1976" s="321">
        <x:v>8450</x:v>
      </x:c>
      <x:c r="F1976" s="321">
        <x:v>33800</x:v>
      </x:c>
      <x:c r="G1976" s="321">
        <x:v>9800</x:v>
      </x:c>
      <x:c r="H1976" s="312" t="s">
        <x:v>62</x:v>
      </x:c>
      <x:c r="I1976" s="312" t="s">
        <x:v>12</x:v>
      </x:c>
      <x:c r="J1976" s="316" t="n">
        <x:f>IFERROR(G1976/F1976,0)</x:f>
        <x:v>0.28994082840236685</x:v>
      </x:c>
      <x:c r="K1976" s="312" t="str">
        <x:f>IF(B1976="Bilinmeyen Personel","Kontrol","OK")</x:f>
        <x:v>OK</x:v>
      </x:c>
    </x:row>
    <x:row r="1977" hidden="1">
      <x:c r="A1977" s="312" t="n">
        <x:f>ROW()-ROW($A$2)+1</x:f>
        <x:v>1976</x:v>
      </x:c>
      <x:c r="B1977" s="312" t="s">
        <x:v>19</x:v>
      </x:c>
      <x:c r="C1977" s="312" t="s">
        <x:v>20</x:v>
      </x:c>
      <x:c r="D1977" s="317">
        <x:v>4</x:v>
      </x:c>
      <x:c r="E1977" s="321">
        <x:v>1350</x:v>
      </x:c>
      <x:c r="F1977" s="321">
        <x:v>5400</x:v>
      </x:c>
      <x:c r="G1977" s="321">
        <x:v>2200</x:v>
      </x:c>
      <x:c r="H1977" s="312" t="s">
        <x:v>62</x:v>
      </x:c>
      <x:c r="I1977" s="312" t="s">
        <x:v>15</x:v>
      </x:c>
      <x:c r="J1977" s="316" t="n">
        <x:f>IFERROR(G1977/F1977,0)</x:f>
        <x:v>0.4074074074074074</x:v>
      </x:c>
      <x:c r="K1977" s="312" t="str">
        <x:f>IF(B1977="Bilinmeyen Personel","Kontrol","OK")</x:f>
        <x:v>OK</x:v>
      </x:c>
    </x:row>
    <x:row r="1978" hidden="1">
      <x:c r="A1978" s="312" t="n">
        <x:f>ROW()-ROW($A$2)+1</x:f>
        <x:v>1977</x:v>
      </x:c>
      <x:c r="B1978" s="312" t="s">
        <x:v>9</x:v>
      </x:c>
      <x:c r="C1978" s="312" t="s">
        <x:v>22</x:v>
      </x:c>
      <x:c r="D1978" s="317">
        <x:v>4</x:v>
      </x:c>
      <x:c r="E1978" s="321">
        <x:v>2180</x:v>
      </x:c>
      <x:c r="F1978" s="321">
        <x:v>8720</x:v>
      </x:c>
      <x:c r="G1978" s="321">
        <x:v>2720</x:v>
      </x:c>
      <x:c r="H1978" s="312" t="s">
        <x:v>62</x:v>
      </x:c>
      <x:c r="I1978" s="312" t="s">
        <x:v>15</x:v>
      </x:c>
      <x:c r="J1978" s="316" t="n">
        <x:f>IFERROR(G1978/F1978,0)</x:f>
        <x:v>0.3119266055045872</x:v>
      </x:c>
      <x:c r="K1978" s="312" t="str">
        <x:f>IF(B1978="Bilinmeyen Personel","Kontrol","OK")</x:f>
        <x:v>OK</x:v>
      </x:c>
    </x:row>
    <x:row r="1979" hidden="1">
      <x:c r="A1979" s="312" t="n">
        <x:f>ROW()-ROW($A$2)+1</x:f>
        <x:v>1978</x:v>
      </x:c>
      <x:c r="B1979" s="312" t="s">
        <x:v>23</x:v>
      </x:c>
      <x:c r="C1979" s="312" t="s">
        <x:v>24</x:v>
      </x:c>
      <x:c r="D1979" s="317">
        <x:v>5</x:v>
      </x:c>
      <x:c r="E1979" s="321">
        <x:v>7600</x:v>
      </x:c>
      <x:c r="F1979" s="321">
        <x:v>38000</x:v>
      </x:c>
      <x:c r="G1979" s="321">
        <x:v>8000</x:v>
      </x:c>
      <x:c r="H1979" s="312" t="s">
        <x:v>62</x:v>
      </x:c>
      <x:c r="I1979" s="312" t="s">
        <x:v>31</x:v>
      </x:c>
      <x:c r="J1979" s="316" t="n">
        <x:f>IFERROR(G1979/F1979,0)</x:f>
        <x:v>0.21052631578947367</x:v>
      </x:c>
      <x:c r="K1979" s="312" t="str">
        <x:f>IF(B1979="Bilinmeyen Personel","Kontrol","OK")</x:f>
        <x:v>OK</x:v>
      </x:c>
    </x:row>
    <x:row r="1980" hidden="1">
      <x:c r="A1980" s="312" t="n">
        <x:f>ROW()-ROW($A$2)+1</x:f>
        <x:v>1979</x:v>
      </x:c>
      <x:c r="B1980" s="312" t="s">
        <x:v>13</x:v>
      </x:c>
      <x:c r="C1980" s="312" t="s">
        <x:v>26</x:v>
      </x:c>
      <x:c r="D1980" s="317">
        <x:v>2</x:v>
      </x:c>
      <x:c r="E1980" s="321">
        <x:v>7250</x:v>
      </x:c>
      <x:c r="F1980" s="321">
        <x:v>14500</x:v>
      </x:c>
      <x:c r="G1980" s="321">
        <x:v>4500</x:v>
      </x:c>
      <x:c r="H1980" s="312" t="s">
        <x:v>62</x:v>
      </x:c>
      <x:c r="I1980" s="312" t="s">
        <x:v>18</x:v>
      </x:c>
      <x:c r="J1980" s="316" t="n">
        <x:f>IFERROR(G1980/F1980,0)</x:f>
        <x:v>0.3103448275862069</x:v>
      </x:c>
      <x:c r="K1980" s="312" t="str">
        <x:f>IF(B1980="Bilinmeyen Personel","Kontrol","OK")</x:f>
        <x:v>OK</x:v>
      </x:c>
    </x:row>
    <x:row r="1981" hidden="1">
      <x:c r="A1981" s="312" t="n">
        <x:f>ROW()-ROW($A$2)+1</x:f>
        <x:v>1980</x:v>
      </x:c>
      <x:c r="B1981" s="312" t="s">
        <x:v>19</x:v>
      </x:c>
      <x:c r="C1981" s="312" t="s">
        <x:v>27</x:v>
      </x:c>
      <x:c r="D1981" s="317">
        <x:v>3</x:v>
      </x:c>
      <x:c r="E1981" s="321">
        <x:v>1100</x:v>
      </x:c>
      <x:c r="F1981" s="321">
        <x:v>3300</x:v>
      </x:c>
      <x:c r="G1981" s="321">
        <x:v>900</x:v>
      </x:c>
      <x:c r="H1981" s="312" t="s">
        <x:v>62</x:v>
      </x:c>
      <x:c r="I1981" s="312" t="s">
        <x:v>31</x:v>
      </x:c>
      <x:c r="J1981" s="316" t="n">
        <x:f>IFERROR(G1981/F1981,0)</x:f>
        <x:v>0.2727272727272727</x:v>
      </x:c>
      <x:c r="K1981" s="312" t="str">
        <x:f>IF(B1981="Bilinmeyen Personel","Kontrol","OK")</x:f>
        <x:v>OK</x:v>
      </x:c>
    </x:row>
    <x:row r="1982" hidden="1">
      <x:c r="A1982" s="312" t="n">
        <x:f>ROW()-ROW($A$2)+1</x:f>
        <x:v>1981</x:v>
      </x:c>
      <x:c r="B1982" s="312" t="s">
        <x:v>29</x:v>
      </x:c>
      <x:c r="C1982" s="312" t="s">
        <x:v>10</x:v>
      </x:c>
      <x:c r="D1982" s="317">
        <x:v>3</x:v>
      </x:c>
      <x:c r="E1982" s="321">
        <x:v>6000</x:v>
      </x:c>
      <x:c r="F1982" s="321">
        <x:v>18000</x:v>
      </x:c>
      <x:c r="G1982" s="321">
        <x:v>6000</x:v>
      </x:c>
      <x:c r="H1982" s="312" t="s">
        <x:v>62</x:v>
      </x:c>
      <x:c r="I1982" s="312" t="s">
        <x:v>42</x:v>
      </x:c>
      <x:c r="J1982" s="316" t="n">
        <x:f>IFERROR(G1982/F1982,0)</x:f>
        <x:v>0.3333333333333333</x:v>
      </x:c>
      <x:c r="K1982" s="312" t="str">
        <x:f>IF(B1982="Bilinmeyen Personel","Kontrol","OK")</x:f>
        <x:v>OK</x:v>
      </x:c>
    </x:row>
    <x:row r="1983" hidden="1">
      <x:c r="A1983" s="312" t="n">
        <x:f>ROW()-ROW($A$2)+1</x:f>
        <x:v>1982</x:v>
      </x:c>
      <x:c r="B1983" s="312" t="s">
        <x:v>9</x:v>
      </x:c>
      <x:c r="C1983" s="312" t="s">
        <x:v>30</x:v>
      </x:c>
      <x:c r="D1983" s="317">
        <x:v>4</x:v>
      </x:c>
      <x:c r="E1983" s="321">
        <x:v>1200</x:v>
      </x:c>
      <x:c r="F1983" s="321">
        <x:v>4800</x:v>
      </x:c>
      <x:c r="G1983" s="321">
        <x:v>1600</x:v>
      </x:c>
      <x:c r="H1983" s="312" t="s">
        <x:v>62</x:v>
      </x:c>
      <x:c r="I1983" s="312" t="s">
        <x:v>37</x:v>
      </x:c>
      <x:c r="J1983" s="316" t="n">
        <x:f>IFERROR(G1983/F1983,0)</x:f>
        <x:v>0.3333333333333333</x:v>
      </x:c>
      <x:c r="K1983" s="312" t="str">
        <x:f>IF(B1983="Bilinmeyen Personel","Kontrol","OK")</x:f>
        <x:v>OK</x:v>
      </x:c>
    </x:row>
    <x:row r="1984" hidden="1">
      <x:c r="A1984" s="312" t="n">
        <x:f>ROW()-ROW($A$2)+1</x:f>
        <x:v>1983</x:v>
      </x:c>
      <x:c r="B1984" s="312" t="s">
        <x:v>32</x:v>
      </x:c>
      <x:c r="C1984" s="312" t="s">
        <x:v>33</x:v>
      </x:c>
      <x:c r="D1984" s="317">
        <x:v>5</x:v>
      </x:c>
      <x:c r="E1984" s="321">
        <x:v>1800</x:v>
      </x:c>
      <x:c r="F1984" s="321">
        <x:v>9000</x:v>
      </x:c>
      <x:c r="G1984" s="321">
        <x:v>5000</x:v>
      </x:c>
      <x:c r="H1984" s="312" t="s">
        <x:v>62</x:v>
      </x:c>
      <x:c r="I1984" s="312" t="s">
        <x:v>21</x:v>
      </x:c>
      <x:c r="J1984" s="316" t="n">
        <x:f>IFERROR(G1984/F1984,0)</x:f>
        <x:v>0.5555555555555556</x:v>
      </x:c>
      <x:c r="K1984" s="312" t="str">
        <x:f>IF(B1984="Bilinmeyen Personel","Kontrol","OK")</x:f>
        <x:v>OK</x:v>
      </x:c>
    </x:row>
    <x:row r="1985" hidden="1">
      <x:c r="A1985" s="312" t="n">
        <x:f>ROW()-ROW($A$2)+1</x:f>
        <x:v>1984</x:v>
      </x:c>
      <x:c r="B1985" s="312" t="s">
        <x:v>32</x:v>
      </x:c>
      <x:c r="C1985" s="312" t="s">
        <x:v>34</x:v>
      </x:c>
      <x:c r="D1985" s="317">
        <x:v>2</x:v>
      </x:c>
      <x:c r="E1985" s="321">
        <x:v>1090</x:v>
      </x:c>
      <x:c r="F1985" s="321">
        <x:v>2180</x:v>
      </x:c>
      <x:c r="G1985" s="321">
        <x:v>580</x:v>
      </x:c>
      <x:c r="H1985" s="312" t="s">
        <x:v>62</x:v>
      </x:c>
      <x:c r="I1985" s="312" t="s">
        <x:v>37</x:v>
      </x:c>
      <x:c r="J1985" s="316" t="n">
        <x:f>IFERROR(G1985/F1985,0)</x:f>
        <x:v>0.26605504587155965</x:v>
      </x:c>
      <x:c r="K1985" s="312" t="str">
        <x:f>IF(B1985="Bilinmeyen Personel","Kontrol","OK")</x:f>
        <x:v>OK</x:v>
      </x:c>
    </x:row>
    <x:row r="1986" hidden="1">
      <x:c r="A1986" s="312" t="n">
        <x:f>ROW()-ROW($A$2)+1</x:f>
        <x:v>1985</x:v>
      </x:c>
      <x:c r="B1986" s="312" t="s">
        <x:v>29</x:v>
      </x:c>
      <x:c r="C1986" s="312" t="s">
        <x:v>22</x:v>
      </x:c>
      <x:c r="D1986" s="317">
        <x:v>5</x:v>
      </x:c>
      <x:c r="E1986" s="321">
        <x:v>2180</x:v>
      </x:c>
      <x:c r="F1986" s="321">
        <x:v>10900</x:v>
      </x:c>
      <x:c r="G1986" s="321">
        <x:v>3400</x:v>
      </x:c>
      <x:c r="H1986" s="312" t="s">
        <x:v>62</x:v>
      </x:c>
      <x:c r="I1986" s="312" t="s">
        <x:v>46</x:v>
      </x:c>
      <x:c r="J1986" s="316" t="n">
        <x:f>IFERROR(G1986/F1986,0)</x:f>
        <x:v>0.3119266055045872</x:v>
      </x:c>
      <x:c r="K1986" s="312" t="str">
        <x:f>IF(B1986="Bilinmeyen Personel","Kontrol","OK")</x:f>
        <x:v>OK</x:v>
      </x:c>
    </x:row>
    <x:row r="1987" hidden="1">
      <x:c r="A1987" s="312" t="n">
        <x:f>ROW()-ROW($A$2)+1</x:f>
        <x:v>1986</x:v>
      </x:c>
      <x:c r="B1987" s="312" t="s">
        <x:v>35</x:v>
      </x:c>
      <x:c r="C1987" s="312" t="s">
        <x:v>33</x:v>
      </x:c>
      <x:c r="D1987" s="317">
        <x:v>3</x:v>
      </x:c>
      <x:c r="E1987" s="321">
        <x:v>1800</x:v>
      </x:c>
      <x:c r="F1987" s="321">
        <x:v>5400</x:v>
      </x:c>
      <x:c r="G1987" s="321">
        <x:v>3000</x:v>
      </x:c>
      <x:c r="H1987" s="312" t="s">
        <x:v>62</x:v>
      </x:c>
      <x:c r="I1987" s="312" t="s">
        <x:v>18</x:v>
      </x:c>
      <x:c r="J1987" s="316" t="n">
        <x:f>IFERROR(G1987/F1987,0)</x:f>
        <x:v>0.5555555555555556</x:v>
      </x:c>
      <x:c r="K1987" s="312" t="str">
        <x:f>IF(B1987="Bilinmeyen Personel","Kontrol","OK")</x:f>
        <x:v>OK</x:v>
      </x:c>
    </x:row>
    <x:row r="1988" hidden="1">
      <x:c r="A1988" s="312" t="n">
        <x:f>ROW()-ROW($A$2)+1</x:f>
        <x:v>1987</x:v>
      </x:c>
      <x:c r="B1988" s="312" t="s">
        <x:v>23</x:v>
      </x:c>
      <x:c r="C1988" s="312" t="s">
        <x:v>36</x:v>
      </x:c>
      <x:c r="D1988" s="317">
        <x:v>3</x:v>
      </x:c>
      <x:c r="E1988" s="321">
        <x:v>8000</x:v>
      </x:c>
      <x:c r="F1988" s="321">
        <x:v>24000</x:v>
      </x:c>
      <x:c r="G1988" s="321">
        <x:v>6000</x:v>
      </x:c>
      <x:c r="H1988" s="312" t="s">
        <x:v>62</x:v>
      </x:c>
      <x:c r="I1988" s="312" t="s">
        <x:v>31</x:v>
      </x:c>
      <x:c r="J1988" s="316" t="n">
        <x:f>IFERROR(G1988/F1988,0)</x:f>
        <x:v>0.25</x:v>
      </x:c>
      <x:c r="K1988" s="312" t="str">
        <x:f>IF(B1988="Bilinmeyen Personel","Kontrol","OK")</x:f>
        <x:v>OK</x:v>
      </x:c>
    </x:row>
    <x:row r="1989" hidden="1">
      <x:c r="A1989" s="312" t="n">
        <x:f>ROW()-ROW($A$2)+1</x:f>
        <x:v>1988</x:v>
      </x:c>
      <x:c r="B1989" s="312" t="s">
        <x:v>29</x:v>
      </x:c>
      <x:c r="C1989" s="312" t="s">
        <x:v>14</x:v>
      </x:c>
      <x:c r="D1989" s="317">
        <x:v>3</x:v>
      </x:c>
      <x:c r="E1989" s="321">
        <x:v>1400</x:v>
      </x:c>
      <x:c r="F1989" s="321">
        <x:v>4200</x:v>
      </x:c>
      <x:c r="G1989" s="321">
        <x:v>1800</x:v>
      </x:c>
      <x:c r="H1989" s="312" t="s">
        <x:v>62</x:v>
      </x:c>
      <x:c r="I1989" s="312" t="s">
        <x:v>15</x:v>
      </x:c>
      <x:c r="J1989" s="316" t="n">
        <x:f>IFERROR(G1989/F1989,0)</x:f>
        <x:v>0.42857142857142855</x:v>
      </x:c>
      <x:c r="K1989" s="312" t="str">
        <x:f>IF(B1989="Bilinmeyen Personel","Kontrol","OK")</x:f>
        <x:v>OK</x:v>
      </x:c>
    </x:row>
    <x:row r="1990" hidden="1">
      <x:c r="A1990" s="312" t="n">
        <x:f>ROW()-ROW($A$2)+1</x:f>
        <x:v>1989</x:v>
      </x:c>
      <x:c r="B1990" s="312" t="s">
        <x:v>38</x:v>
      </x:c>
      <x:c r="C1990" s="312" t="s">
        <x:v>39</x:v>
      </x:c>
      <x:c r="D1990" s="317">
        <x:v>4</x:v>
      </x:c>
      <x:c r="E1990" s="321">
        <x:v>10590</x:v>
      </x:c>
      <x:c r="F1990" s="321">
        <x:v>42360</x:v>
      </x:c>
      <x:c r="G1990" s="321">
        <x:v>18360</x:v>
      </x:c>
      <x:c r="H1990" s="312" t="s">
        <x:v>62</x:v>
      </x:c>
      <x:c r="I1990" s="312" t="s">
        <x:v>42</x:v>
      </x:c>
      <x:c r="J1990" s="316" t="n">
        <x:f>IFERROR(G1990/F1990,0)</x:f>
        <x:v>0.43342776203966005</x:v>
      </x:c>
      <x:c r="K1990" s="312" t="str">
        <x:f>IF(B1990="Bilinmeyen Personel","Kontrol","OK")</x:f>
        <x:v>OK</x:v>
      </x:c>
    </x:row>
    <x:row r="1991" hidden="1">
      <x:c r="A1991" s="312" t="n">
        <x:f>ROW()-ROW($A$2)+1</x:f>
        <x:v>1990</x:v>
      </x:c>
      <x:c r="B1991" s="312" t="s">
        <x:v>40</x:v>
      </x:c>
      <x:c r="C1991" s="312" t="s">
        <x:v>20</x:v>
      </x:c>
      <x:c r="D1991" s="317">
        <x:v>3</x:v>
      </x:c>
      <x:c r="E1991" s="321">
        <x:v>1350</x:v>
      </x:c>
      <x:c r="F1991" s="321">
        <x:v>4050</x:v>
      </x:c>
      <x:c r="G1991" s="321">
        <x:v>1650</x:v>
      </x:c>
      <x:c r="H1991" s="312" t="s">
        <x:v>62</x:v>
      </x:c>
      <x:c r="I1991" s="312" t="s">
        <x:v>41</x:v>
      </x:c>
      <x:c r="J1991" s="316" t="n">
        <x:f>IFERROR(G1991/F1991,0)</x:f>
        <x:v>0.4074074074074074</x:v>
      </x:c>
      <x:c r="K1991" s="312" t="str">
        <x:f>IF(B1991="Bilinmeyen Personel","Kontrol","OK")</x:f>
        <x:v>OK</x:v>
      </x:c>
    </x:row>
    <x:row r="1992" hidden="1">
      <x:c r="A1992" s="312" t="n">
        <x:f>ROW()-ROW($A$2)+1</x:f>
        <x:v>1991</x:v>
      </x:c>
      <x:c r="B1992" s="312" t="s">
        <x:v>32</x:v>
      </x:c>
      <x:c r="C1992" s="312" t="s">
        <x:v>14</x:v>
      </x:c>
      <x:c r="D1992" s="317">
        <x:v>2</x:v>
      </x:c>
      <x:c r="E1992" s="321">
        <x:v>1400</x:v>
      </x:c>
      <x:c r="F1992" s="321">
        <x:v>2800</x:v>
      </x:c>
      <x:c r="G1992" s="321">
        <x:v>1200</x:v>
      </x:c>
      <x:c r="H1992" s="312" t="s">
        <x:v>62</x:v>
      </x:c>
      <x:c r="I1992" s="312" t="s">
        <x:v>46</x:v>
      </x:c>
      <x:c r="J1992" s="316" t="n">
        <x:f>IFERROR(G1992/F1992,0)</x:f>
        <x:v>0.42857142857142855</x:v>
      </x:c>
      <x:c r="K1992" s="312" t="str">
        <x:f>IF(B1992="Bilinmeyen Personel","Kontrol","OK")</x:f>
        <x:v>OK</x:v>
      </x:c>
    </x:row>
    <x:row r="1993" hidden="1">
      <x:c r="A1993" s="312" t="n">
        <x:f>ROW()-ROW($A$2)+1</x:f>
        <x:v>1992</x:v>
      </x:c>
      <x:c r="B1993" s="312" t="s">
        <x:v>19</x:v>
      </x:c>
      <x:c r="C1993" s="312" t="s">
        <x:v>10</x:v>
      </x:c>
      <x:c r="D1993" s="317">
        <x:v>2</x:v>
      </x:c>
      <x:c r="E1993" s="321">
        <x:v>6000</x:v>
      </x:c>
      <x:c r="F1993" s="321">
        <x:v>12000</x:v>
      </x:c>
      <x:c r="G1993" s="321">
        <x:v>4000</x:v>
      </x:c>
      <x:c r="H1993" s="312" t="s">
        <x:v>62</x:v>
      </x:c>
      <x:c r="I1993" s="312" t="s">
        <x:v>21</x:v>
      </x:c>
      <x:c r="J1993" s="316" t="n">
        <x:f>IFERROR(G1993/F1993,0)</x:f>
        <x:v>0.3333333333333333</x:v>
      </x:c>
      <x:c r="K1993" s="312" t="str">
        <x:f>IF(B1993="Bilinmeyen Personel","Kontrol","OK")</x:f>
        <x:v>OK</x:v>
      </x:c>
    </x:row>
    <x:row r="1994" hidden="1">
      <x:c r="A1994" s="312" t="n">
        <x:f>ROW()-ROW($A$2)+1</x:f>
        <x:v>1993</x:v>
      </x:c>
      <x:c r="B1994" s="312" t="s">
        <x:v>38</x:v>
      </x:c>
      <x:c r="C1994" s="312" t="s">
        <x:v>27</x:v>
      </x:c>
      <x:c r="D1994" s="317">
        <x:v>4</x:v>
      </x:c>
      <x:c r="E1994" s="321">
        <x:v>1100</x:v>
      </x:c>
      <x:c r="F1994" s="321">
        <x:v>4400</x:v>
      </x:c>
      <x:c r="G1994" s="321">
        <x:v>1200</x:v>
      </x:c>
      <x:c r="H1994" s="312" t="s">
        <x:v>62</x:v>
      </x:c>
      <x:c r="I1994" s="312" t="s">
        <x:v>46</x:v>
      </x:c>
      <x:c r="J1994" s="316" t="n">
        <x:f>IFERROR(G1994/F1994,0)</x:f>
        <x:v>0.2727272727272727</x:v>
      </x:c>
      <x:c r="K1994" s="312" t="str">
        <x:f>IF(B1994="Bilinmeyen Personel","Kontrol","OK")</x:f>
        <x:v>OK</x:v>
      </x:c>
    </x:row>
    <x:row r="1995" hidden="1">
      <x:c r="A1995" s="312" t="n">
        <x:f>ROW()-ROW($A$2)+1</x:f>
        <x:v>1994</x:v>
      </x:c>
      <x:c r="B1995" s="312" t="s">
        <x:v>16</x:v>
      </x:c>
      <x:c r="C1995" s="312" t="s">
        <x:v>10</x:v>
      </x:c>
      <x:c r="D1995" s="317">
        <x:v>5</x:v>
      </x:c>
      <x:c r="E1995" s="321">
        <x:v>6000</x:v>
      </x:c>
      <x:c r="F1995" s="321">
        <x:v>30000</x:v>
      </x:c>
      <x:c r="G1995" s="321">
        <x:v>10000</x:v>
      </x:c>
      <x:c r="H1995" s="312" t="s">
        <x:v>62</x:v>
      </x:c>
      <x:c r="I1995" s="312" t="s">
        <x:v>25</x:v>
      </x:c>
      <x:c r="J1995" s="316" t="n">
        <x:f>IFERROR(G1995/F1995,0)</x:f>
        <x:v>0.3333333333333333</x:v>
      </x:c>
      <x:c r="K1995" s="312" t="str">
        <x:f>IF(B1995="Bilinmeyen Personel","Kontrol","OK")</x:f>
        <x:v>OK</x:v>
      </x:c>
    </x:row>
    <x:row r="1996" hidden="1">
      <x:c r="A1996" s="312" t="n">
        <x:f>ROW()-ROW($A$2)+1</x:f>
        <x:v>1995</x:v>
      </x:c>
      <x:c r="B1996" s="312" t="s">
        <x:v>40</x:v>
      </x:c>
      <x:c r="C1996" s="312" t="s">
        <x:v>43</x:v>
      </x:c>
      <x:c r="D1996" s="317">
        <x:v>4</x:v>
      </x:c>
      <x:c r="E1996" s="321">
        <x:v>1490</x:v>
      </x:c>
      <x:c r="F1996" s="321">
        <x:v>5960</x:v>
      </x:c>
      <x:c r="G1996" s="321">
        <x:v>2760</x:v>
      </x:c>
      <x:c r="H1996" s="312" t="s">
        <x:v>62</x:v>
      </x:c>
      <x:c r="I1996" s="312" t="s">
        <x:v>28</x:v>
      </x:c>
      <x:c r="J1996" s="316" t="n">
        <x:f>IFERROR(G1996/F1996,0)</x:f>
        <x:v>0.46308724832214765</x:v>
      </x:c>
      <x:c r="K1996" s="312" t="str">
        <x:f>IF(B1996="Bilinmeyen Personel","Kontrol","OK")</x:f>
        <x:v>OK</x:v>
      </x:c>
    </x:row>
    <x:row r="1997" hidden="1">
      <x:c r="A1997" s="312" t="n">
        <x:f>ROW()-ROW($A$2)+1</x:f>
        <x:v>1996</x:v>
      </x:c>
      <x:c r="B1997" s="312" t="s">
        <x:v>38</x:v>
      </x:c>
      <x:c r="C1997" s="312" t="s">
        <x:v>39</x:v>
      </x:c>
      <x:c r="D1997" s="317">
        <x:v>2</x:v>
      </x:c>
      <x:c r="E1997" s="321">
        <x:v>10590</x:v>
      </x:c>
      <x:c r="F1997" s="321">
        <x:v>21180</x:v>
      </x:c>
      <x:c r="G1997" s="321">
        <x:v>9180</x:v>
      </x:c>
      <x:c r="H1997" s="312" t="s">
        <x:v>62</x:v>
      </x:c>
      <x:c r="I1997" s="312" t="s">
        <x:v>25</x:v>
      </x:c>
      <x:c r="J1997" s="316" t="n">
        <x:f>IFERROR(G1997/F1997,0)</x:f>
        <x:v>0.43342776203966005</x:v>
      </x:c>
      <x:c r="K1997" s="312" t="str">
        <x:f>IF(B1997="Bilinmeyen Personel","Kontrol","OK")</x:f>
        <x:v>OK</x:v>
      </x:c>
    </x:row>
    <x:row r="1998" hidden="1">
      <x:c r="A1998" s="312" t="n">
        <x:f>ROW()-ROW($A$2)+1</x:f>
        <x:v>1997</x:v>
      </x:c>
      <x:c r="B1998" s="312" t="s">
        <x:v>16</x:v>
      </x:c>
      <x:c r="C1998" s="312" t="s">
        <x:v>36</x:v>
      </x:c>
      <x:c r="D1998" s="317">
        <x:v>4</x:v>
      </x:c>
      <x:c r="E1998" s="321">
        <x:v>8000</x:v>
      </x:c>
      <x:c r="F1998" s="321">
        <x:v>32000</x:v>
      </x:c>
      <x:c r="G1998" s="321">
        <x:v>8000</x:v>
      </x:c>
      <x:c r="H1998" s="312" t="s">
        <x:v>62</x:v>
      </x:c>
      <x:c r="I1998" s="312" t="s">
        <x:v>21</x:v>
      </x:c>
      <x:c r="J1998" s="316" t="n">
        <x:f>IFERROR(G1998/F1998,0)</x:f>
        <x:v>0.25</x:v>
      </x:c>
      <x:c r="K1998" s="312" t="str">
        <x:f>IF(B1998="Bilinmeyen Personel","Kontrol","OK")</x:f>
        <x:v>OK</x:v>
      </x:c>
    </x:row>
    <x:row r="1999" hidden="1">
      <x:c r="A1999" s="312" t="n">
        <x:f>ROW()-ROW($A$2)+1</x:f>
        <x:v>1998</x:v>
      </x:c>
      <x:c r="B1999" s="312" t="s">
        <x:v>32</x:v>
      </x:c>
      <x:c r="C1999" s="312" t="s">
        <x:v>27</x:v>
      </x:c>
      <x:c r="D1999" s="317">
        <x:v>3</x:v>
      </x:c>
      <x:c r="E1999" s="321">
        <x:v>1100</x:v>
      </x:c>
      <x:c r="F1999" s="321">
        <x:v>3300</x:v>
      </x:c>
      <x:c r="G1999" s="321">
        <x:v>900</x:v>
      </x:c>
      <x:c r="H1999" s="312" t="s">
        <x:v>62</x:v>
      </x:c>
      <x:c r="I1999" s="312" t="s">
        <x:v>28</x:v>
      </x:c>
      <x:c r="J1999" s="316" t="n">
        <x:f>IFERROR(G1999/F1999,0)</x:f>
        <x:v>0.2727272727272727</x:v>
      </x:c>
      <x:c r="K1999" s="312" t="str">
        <x:f>IF(B1999="Bilinmeyen Personel","Kontrol","OK")</x:f>
        <x:v>OK</x:v>
      </x:c>
    </x:row>
    <x:row r="2000" hidden="1">
      <x:c r="A2000" s="312" t="n">
        <x:f>ROW()-ROW($A$2)+1</x:f>
        <x:v>1999</x:v>
      </x:c>
      <x:c r="B2000" s="312" t="s">
        <x:v>40</x:v>
      </x:c>
      <x:c r="C2000" s="312" t="s">
        <x:v>30</x:v>
      </x:c>
      <x:c r="D2000" s="317">
        <x:v>3</x:v>
      </x:c>
      <x:c r="E2000" s="321">
        <x:v>1200</x:v>
      </x:c>
      <x:c r="F2000" s="321">
        <x:v>3600</x:v>
      </x:c>
      <x:c r="G2000" s="321">
        <x:v>1200</x:v>
      </x:c>
      <x:c r="H2000" s="312" t="s">
        <x:v>62</x:v>
      </x:c>
      <x:c r="I2000" s="312" t="s">
        <x:v>25</x:v>
      </x:c>
      <x:c r="J2000" s="316" t="n">
        <x:f>IFERROR(G2000/F2000,0)</x:f>
        <x:v>0.3333333333333333</x:v>
      </x:c>
      <x:c r="K2000" s="312" t="str">
        <x:f>IF(B2000="Bilinmeyen Personel","Kontrol","OK")</x:f>
        <x:v>OK</x:v>
      </x:c>
    </x:row>
    <x:row r="2001" hidden="1">
      <x:c r="A2001" s="312" t="n">
        <x:f>ROW()-ROW($A$2)+1</x:f>
        <x:v>2000</x:v>
      </x:c>
      <x:c r="B2001" s="312" t="s">
        <x:v>23</x:v>
      </x:c>
      <x:c r="C2001" s="312" t="s">
        <x:v>45</x:v>
      </x:c>
      <x:c r="D2001" s="317">
        <x:v>2</x:v>
      </x:c>
      <x:c r="E2001" s="321">
        <x:v>4200</x:v>
      </x:c>
      <x:c r="F2001" s="321">
        <x:v>8400</x:v>
      </x:c>
      <x:c r="G2001" s="321">
        <x:v>2400</x:v>
      </x:c>
      <x:c r="H2001" s="312" t="s">
        <x:v>62</x:v>
      </x:c>
      <x:c r="I2001" s="312" t="s">
        <x:v>31</x:v>
      </x:c>
      <x:c r="J2001" s="316" t="n">
        <x:f>IFERROR(G2001/F2001,0)</x:f>
        <x:v>0.2857142857142857</x:v>
      </x:c>
      <x:c r="K2001" s="312" t="str">
        <x:f>IF(B2001="Bilinmeyen Personel","Kontrol","OK")</x:f>
        <x:v>OK</x:v>
      </x:c>
    </x:row>
    <x:row r="2002" hidden="1">
      <x:c r="A2002" s="312" t="n">
        <x:f>ROW()-ROW($A$2)+1</x:f>
        <x:v>2001</x:v>
      </x:c>
      <x:c r="B2002" s="312" t="s">
        <x:v>13</x:v>
      </x:c>
      <x:c r="C2002" s="312" t="s">
        <x:v>47</x:v>
      </x:c>
      <x:c r="D2002" s="317">
        <x:v>4</x:v>
      </x:c>
      <x:c r="E2002" s="321">
        <x:v>5775</x:v>
      </x:c>
      <x:c r="F2002" s="321">
        <x:v>23100</x:v>
      </x:c>
      <x:c r="G2002" s="321">
        <x:v>7100</x:v>
      </x:c>
      <x:c r="H2002" s="312" t="s">
        <x:v>62</x:v>
      </x:c>
      <x:c r="I2002" s="312" t="s">
        <x:v>46</x:v>
      </x:c>
      <x:c r="J2002" s="316" t="n">
        <x:f>IFERROR(G2002/F2002,0)</x:f>
        <x:v>0.30735930735930733</x:v>
      </x:c>
      <x:c r="K2002" s="312" t="str">
        <x:f>IF(B2002="Bilinmeyen Personel","Kontrol","OK")</x:f>
        <x:v>OK</x:v>
      </x:c>
    </x:row>
    <x:row r="2003" hidden="1">
      <x:c r="A2003" s="312" t="n">
        <x:f>ROW()-ROW($A$2)+1</x:f>
        <x:v>2002</x:v>
      </x:c>
      <x:c r="B2003" s="312" t="s">
        <x:v>48</x:v>
      </x:c>
      <x:c r="C2003" s="312" t="s">
        <x:v>24</x:v>
      </x:c>
      <x:c r="D2003" s="317">
        <x:v>3</x:v>
      </x:c>
      <x:c r="E2003" s="321">
        <x:v>7600</x:v>
      </x:c>
      <x:c r="F2003" s="321">
        <x:v>22800</x:v>
      </x:c>
      <x:c r="G2003" s="321">
        <x:v>4800</x:v>
      </x:c>
      <x:c r="H2003" s="312" t="s">
        <x:v>62</x:v>
      </x:c>
      <x:c r="I2003" s="312" t="s">
        <x:v>46</x:v>
      </x:c>
      <x:c r="J2003" s="316" t="n">
        <x:f>IFERROR(G2003/F2003,0)</x:f>
        <x:v>0.21052631578947367</x:v>
      </x:c>
      <x:c r="K2003" s="312" t="str">
        <x:f>IF(B2003="Bilinmeyen Personel","Kontrol","OK")</x:f>
        <x:v>OK</x:v>
      </x:c>
    </x:row>
    <x:row r="2004" hidden="1">
      <x:c r="A2004" s="312" t="n">
        <x:f>ROW()-ROW($A$2)+1</x:f>
        <x:v>2003</x:v>
      </x:c>
      <x:c r="B2004" s="312" t="s">
        <x:v>13</x:v>
      </x:c>
      <x:c r="C2004" s="312" t="s">
        <x:v>26</x:v>
      </x:c>
      <x:c r="D2004" s="317">
        <x:v>3</x:v>
      </x:c>
      <x:c r="E2004" s="321">
        <x:v>7250</x:v>
      </x:c>
      <x:c r="F2004" s="321">
        <x:v>21750</x:v>
      </x:c>
      <x:c r="G2004" s="321">
        <x:v>6750</x:v>
      </x:c>
      <x:c r="H2004" s="312" t="s">
        <x:v>62</x:v>
      </x:c>
      <x:c r="I2004" s="312" t="s">
        <x:v>46</x:v>
      </x:c>
      <x:c r="J2004" s="316" t="n">
        <x:f>IFERROR(G2004/F2004,0)</x:f>
        <x:v>0.3103448275862069</x:v>
      </x:c>
      <x:c r="K2004" s="312" t="str">
        <x:f>IF(B2004="Bilinmeyen Personel","Kontrol","OK")</x:f>
        <x:v>OK</x:v>
      </x:c>
    </x:row>
    <x:row r="2005" hidden="1">
      <x:c r="A2005" s="312" t="n">
        <x:f>ROW()-ROW($A$2)+1</x:f>
        <x:v>2004</x:v>
      </x:c>
      <x:c r="B2005" s="312" t="s">
        <x:v>9</x:v>
      </x:c>
      <x:c r="C2005" s="312" t="s">
        <x:v>26</x:v>
      </x:c>
      <x:c r="D2005" s="317">
        <x:v>5</x:v>
      </x:c>
      <x:c r="E2005" s="321">
        <x:v>7250</x:v>
      </x:c>
      <x:c r="F2005" s="321">
        <x:v>36250</x:v>
      </x:c>
      <x:c r="G2005" s="321">
        <x:v>11250</x:v>
      </x:c>
      <x:c r="H2005" s="312" t="s">
        <x:v>62</x:v>
      </x:c>
      <x:c r="I2005" s="312" t="s">
        <x:v>15</x:v>
      </x:c>
      <x:c r="J2005" s="316" t="n">
        <x:f>IFERROR(G2005/F2005,0)</x:f>
        <x:v>0.3103448275862069</x:v>
      </x:c>
      <x:c r="K2005" s="312" t="str">
        <x:f>IF(B2005="Bilinmeyen Personel","Kontrol","OK")</x:f>
        <x:v>OK</x:v>
      </x:c>
    </x:row>
    <x:row r="2006" hidden="1">
      <x:c r="A2006" s="312" t="n">
        <x:f>ROW()-ROW($A$2)+1</x:f>
        <x:v>2005</x:v>
      </x:c>
      <x:c r="B2006" s="312" t="s">
        <x:v>38</x:v>
      </x:c>
      <x:c r="C2006" s="312" t="s">
        <x:v>26</x:v>
      </x:c>
      <x:c r="D2006" s="317">
        <x:v>2</x:v>
      </x:c>
      <x:c r="E2006" s="321">
        <x:v>7250</x:v>
      </x:c>
      <x:c r="F2006" s="321">
        <x:v>14500</x:v>
      </x:c>
      <x:c r="G2006" s="321">
        <x:v>4500</x:v>
      </x:c>
      <x:c r="H2006" s="312" t="s">
        <x:v>62</x:v>
      </x:c>
      <x:c r="I2006" s="312" t="s">
        <x:v>15</x:v>
      </x:c>
      <x:c r="J2006" s="316" t="n">
        <x:f>IFERROR(G2006/F2006,0)</x:f>
        <x:v>0.3103448275862069</x:v>
      </x:c>
      <x:c r="K2006" s="312" t="str">
        <x:f>IF(B2006="Bilinmeyen Personel","Kontrol","OK")</x:f>
        <x:v>OK</x:v>
      </x:c>
    </x:row>
    <x:row r="2007" hidden="1">
      <x:c r="A2007" s="312" t="n">
        <x:f>ROW()-ROW($A$2)+1</x:f>
        <x:v>2006</x:v>
      </x:c>
      <x:c r="B2007" s="312" t="s">
        <x:v>29</x:v>
      </x:c>
      <x:c r="C2007" s="312" t="s">
        <x:v>20</x:v>
      </x:c>
      <x:c r="D2007" s="317">
        <x:v>2</x:v>
      </x:c>
      <x:c r="E2007" s="321">
        <x:v>1350</x:v>
      </x:c>
      <x:c r="F2007" s="321">
        <x:v>2700</x:v>
      </x:c>
      <x:c r="G2007" s="321">
        <x:v>1100</x:v>
      </x:c>
      <x:c r="H2007" s="312" t="s">
        <x:v>62</x:v>
      </x:c>
      <x:c r="I2007" s="312" t="s">
        <x:v>12</x:v>
      </x:c>
      <x:c r="J2007" s="316" t="n">
        <x:f>IFERROR(G2007/F2007,0)</x:f>
        <x:v>0.4074074074074074</x:v>
      </x:c>
      <x:c r="K2007" s="312" t="str">
        <x:f>IF(B2007="Bilinmeyen Personel","Kontrol","OK")</x:f>
        <x:v>OK</x:v>
      </x:c>
    </x:row>
    <x:row r="2008" hidden="1">
      <x:c r="A2008" s="312" t="n">
        <x:f>ROW()-ROW($A$2)+1</x:f>
        <x:v>2007</x:v>
      </x:c>
      <x:c r="B2008" s="312" t="s">
        <x:v>13</x:v>
      </x:c>
      <x:c r="C2008" s="312" t="s">
        <x:v>26</x:v>
      </x:c>
      <x:c r="D2008" s="317">
        <x:v>5</x:v>
      </x:c>
      <x:c r="E2008" s="321">
        <x:v>7250</x:v>
      </x:c>
      <x:c r="F2008" s="321">
        <x:v>36250</x:v>
      </x:c>
      <x:c r="G2008" s="321">
        <x:v>11250</x:v>
      </x:c>
      <x:c r="H2008" s="312" t="s">
        <x:v>62</x:v>
      </x:c>
      <x:c r="I2008" s="312" t="s">
        <x:v>41</x:v>
      </x:c>
      <x:c r="J2008" s="316" t="n">
        <x:f>IFERROR(G2008/F2008,0)</x:f>
        <x:v>0.3103448275862069</x:v>
      </x:c>
      <x:c r="K2008" s="312" t="str">
        <x:f>IF(B2008="Bilinmeyen Personel","Kontrol","OK")</x:f>
        <x:v>OK</x:v>
      </x:c>
    </x:row>
    <x:row r="2009" hidden="1">
      <x:c r="A2009" s="312" t="n">
        <x:f>ROW()-ROW($A$2)+1</x:f>
        <x:v>2008</x:v>
      </x:c>
      <x:c r="B2009" s="312" t="s">
        <x:v>32</x:v>
      </x:c>
      <x:c r="C2009" s="312" t="s">
        <x:v>24</x:v>
      </x:c>
      <x:c r="D2009" s="317">
        <x:v>3</x:v>
      </x:c>
      <x:c r="E2009" s="321">
        <x:v>7600</x:v>
      </x:c>
      <x:c r="F2009" s="321">
        <x:v>22800</x:v>
      </x:c>
      <x:c r="G2009" s="321">
        <x:v>4800</x:v>
      </x:c>
      <x:c r="H2009" s="312" t="s">
        <x:v>62</x:v>
      </x:c>
      <x:c r="I2009" s="312" t="s">
        <x:v>31</x:v>
      </x:c>
      <x:c r="J2009" s="316" t="n">
        <x:f>IFERROR(G2009/F2009,0)</x:f>
        <x:v>0.21052631578947367</x:v>
      </x:c>
      <x:c r="K2009" s="312" t="str">
        <x:f>IF(B2009="Bilinmeyen Personel","Kontrol","OK")</x:f>
        <x:v>OK</x:v>
      </x:c>
    </x:row>
    <x:row r="2010" hidden="1">
      <x:c r="A2010" s="312" t="n">
        <x:f>ROW()-ROW($A$2)+1</x:f>
        <x:v>2009</x:v>
      </x:c>
      <x:c r="B2010" s="312" t="s">
        <x:v>50</x:v>
      </x:c>
      <x:c r="C2010" s="312" t="s">
        <x:v>24</x:v>
      </x:c>
      <x:c r="D2010" s="317">
        <x:v>5</x:v>
      </x:c>
      <x:c r="E2010" s="321">
        <x:v>7600</x:v>
      </x:c>
      <x:c r="F2010" s="321">
        <x:v>38000</x:v>
      </x:c>
      <x:c r="G2010" s="321">
        <x:v>8000</x:v>
      </x:c>
      <x:c r="H2010" s="312" t="s">
        <x:v>62</x:v>
      </x:c>
      <x:c r="I2010" s="312" t="s">
        <x:v>25</x:v>
      </x:c>
      <x:c r="J2010" s="316" t="n">
        <x:f>IFERROR(G2010/F2010,0)</x:f>
        <x:v>0.21052631578947367</x:v>
      </x:c>
      <x:c r="K2010" s="312" t="str">
        <x:f>IF(B2010="Bilinmeyen Personel","Kontrol","OK")</x:f>
        <x:v>OK</x:v>
      </x:c>
    </x:row>
    <x:row r="2011" hidden="1">
      <x:c r="A2011" s="312" t="n">
        <x:f>ROW()-ROW($A$2)+1</x:f>
        <x:v>2010</x:v>
      </x:c>
      <x:c r="B2011" s="312" t="s">
        <x:v>13</x:v>
      </x:c>
      <x:c r="C2011" s="312" t="s">
        <x:v>43</x:v>
      </x:c>
      <x:c r="D2011" s="317">
        <x:v>3</x:v>
      </x:c>
      <x:c r="E2011" s="321">
        <x:v>1490</x:v>
      </x:c>
      <x:c r="F2011" s="321">
        <x:v>4470</x:v>
      </x:c>
      <x:c r="G2011" s="321">
        <x:v>2070</x:v>
      </x:c>
      <x:c r="H2011" s="312" t="s">
        <x:v>62</x:v>
      </x:c>
      <x:c r="I2011" s="312" t="s">
        <x:v>54</x:v>
      </x:c>
      <x:c r="J2011" s="316" t="n">
        <x:f>IFERROR(G2011/F2011,0)</x:f>
        <x:v>0.46308724832214765</x:v>
      </x:c>
      <x:c r="K2011" s="312" t="str">
        <x:f>IF(B2011="Bilinmeyen Personel","Kontrol","OK")</x:f>
        <x:v>OK</x:v>
      </x:c>
    </x:row>
    <x:row r="2012" hidden="1">
      <x:c r="A2012" s="312" t="n">
        <x:f>ROW()-ROW($A$2)+1</x:f>
        <x:v>2011</x:v>
      </x:c>
      <x:c r="B2012" s="312" t="s">
        <x:v>29</x:v>
      </x:c>
      <x:c r="C2012" s="312" t="s">
        <x:v>51</x:v>
      </x:c>
      <x:c r="D2012" s="317">
        <x:v>5</x:v>
      </x:c>
      <x:c r="E2012" s="321">
        <x:v>2900</x:v>
      </x:c>
      <x:c r="F2012" s="321">
        <x:v>14500</x:v>
      </x:c>
      <x:c r="G2012" s="321">
        <x:v>4500</x:v>
      </x:c>
      <x:c r="H2012" s="312" t="s">
        <x:v>62</x:v>
      </x:c>
      <x:c r="I2012" s="312" t="s">
        <x:v>12</x:v>
      </x:c>
      <x:c r="J2012" s="316" t="n">
        <x:f>IFERROR(G2012/F2012,0)</x:f>
        <x:v>0.3103448275862069</x:v>
      </x:c>
      <x:c r="K2012" s="312" t="str">
        <x:f>IF(B2012="Bilinmeyen Personel","Kontrol","OK")</x:f>
        <x:v>OK</x:v>
      </x:c>
    </x:row>
    <x:row r="2013" hidden="1">
      <x:c r="A2013" s="312" t="n">
        <x:f>ROW()-ROW($A$2)+1</x:f>
        <x:v>2012</x:v>
      </x:c>
      <x:c r="B2013" s="312" t="s">
        <x:v>40</x:v>
      </x:c>
      <x:c r="C2013" s="312" t="s">
        <x:v>43</x:v>
      </x:c>
      <x:c r="D2013" s="317">
        <x:v>4</x:v>
      </x:c>
      <x:c r="E2013" s="321">
        <x:v>1490</x:v>
      </x:c>
      <x:c r="F2013" s="321">
        <x:v>5960</x:v>
      </x:c>
      <x:c r="G2013" s="321">
        <x:v>2760</x:v>
      </x:c>
      <x:c r="H2013" s="312" t="s">
        <x:v>62</x:v>
      </x:c>
      <x:c r="I2013" s="312" t="s">
        <x:v>28</x:v>
      </x:c>
      <x:c r="J2013" s="316" t="n">
        <x:f>IFERROR(G2013/F2013,0)</x:f>
        <x:v>0.46308724832214765</x:v>
      </x:c>
      <x:c r="K2013" s="312" t="str">
        <x:f>IF(B2013="Bilinmeyen Personel","Kontrol","OK")</x:f>
        <x:v>OK</x:v>
      </x:c>
    </x:row>
    <x:row r="2014" hidden="1">
      <x:c r="A2014" s="312" t="n">
        <x:f>ROW()-ROW($A$2)+1</x:f>
        <x:v>2013</x:v>
      </x:c>
      <x:c r="B2014" s="312" t="s">
        <x:v>40</x:v>
      </x:c>
      <x:c r="C2014" s="312" t="s">
        <x:v>34</x:v>
      </x:c>
      <x:c r="D2014" s="317">
        <x:v>2</x:v>
      </x:c>
      <x:c r="E2014" s="321">
        <x:v>1090</x:v>
      </x:c>
      <x:c r="F2014" s="321">
        <x:v>2180</x:v>
      </x:c>
      <x:c r="G2014" s="321">
        <x:v>580</x:v>
      </x:c>
      <x:c r="H2014" s="312" t="s">
        <x:v>62</x:v>
      </x:c>
      <x:c r="I2014" s="312" t="s">
        <x:v>42</x:v>
      </x:c>
      <x:c r="J2014" s="316" t="n">
        <x:f>IFERROR(G2014/F2014,0)</x:f>
        <x:v>0.26605504587155965</x:v>
      </x:c>
      <x:c r="K2014" s="312" t="str">
        <x:f>IF(B2014="Bilinmeyen Personel","Kontrol","OK")</x:f>
        <x:v>OK</x:v>
      </x:c>
    </x:row>
    <x:row r="2015" hidden="1">
      <x:c r="A2015" s="312" t="n">
        <x:f>ROW()-ROW($A$2)+1</x:f>
        <x:v>2014</x:v>
      </x:c>
      <x:c r="B2015" s="312" t="s">
        <x:v>29</x:v>
      </x:c>
      <x:c r="C2015" s="312" t="s">
        <x:v>30</x:v>
      </x:c>
      <x:c r="D2015" s="317">
        <x:v>2</x:v>
      </x:c>
      <x:c r="E2015" s="321">
        <x:v>1200</x:v>
      </x:c>
      <x:c r="F2015" s="321">
        <x:v>2400</x:v>
      </x:c>
      <x:c r="G2015" s="321">
        <x:v>800</x:v>
      </x:c>
      <x:c r="H2015" s="312" t="s">
        <x:v>62</x:v>
      </x:c>
      <x:c r="I2015" s="312" t="s">
        <x:v>44</x:v>
      </x:c>
      <x:c r="J2015" s="316" t="n">
        <x:f>IFERROR(G2015/F2015,0)</x:f>
        <x:v>0.3333333333333333</x:v>
      </x:c>
      <x:c r="K2015" s="312" t="str">
        <x:f>IF(B2015="Bilinmeyen Personel","Kontrol","OK")</x:f>
        <x:v>OK</x:v>
      </x:c>
    </x:row>
    <x:row r="2016" hidden="1">
      <x:c r="A2016" s="312" t="n">
        <x:f>ROW()-ROW($A$2)+1</x:f>
        <x:v>2015</x:v>
      </x:c>
      <x:c r="B2016" s="312" t="s">
        <x:v>38</x:v>
      </x:c>
      <x:c r="C2016" s="312" t="s">
        <x:v>39</x:v>
      </x:c>
      <x:c r="D2016" s="317">
        <x:v>4</x:v>
      </x:c>
      <x:c r="E2016" s="321">
        <x:v>10590</x:v>
      </x:c>
      <x:c r="F2016" s="321">
        <x:v>42360</x:v>
      </x:c>
      <x:c r="G2016" s="321">
        <x:v>18360</x:v>
      </x:c>
      <x:c r="H2016" s="312" t="s">
        <x:v>62</x:v>
      </x:c>
      <x:c r="I2016" s="312" t="s">
        <x:v>42</x:v>
      </x:c>
      <x:c r="J2016" s="316" t="n">
        <x:f>IFERROR(G2016/F2016,0)</x:f>
        <x:v>0.43342776203966005</x:v>
      </x:c>
      <x:c r="K2016" s="312" t="str">
        <x:f>IF(B2016="Bilinmeyen Personel","Kontrol","OK")</x:f>
        <x:v>OK</x:v>
      </x:c>
    </x:row>
    <x:row r="2017" hidden="1">
      <x:c r="A2017" s="312" t="n">
        <x:f>ROW()-ROW($A$2)+1</x:f>
        <x:v>2016</x:v>
      </x:c>
      <x:c r="B2017" s="312" t="s">
        <x:v>32</x:v>
      </x:c>
      <x:c r="C2017" s="312" t="s">
        <x:v>45</x:v>
      </x:c>
      <x:c r="D2017" s="317">
        <x:v>2</x:v>
      </x:c>
      <x:c r="E2017" s="321">
        <x:v>4200</x:v>
      </x:c>
      <x:c r="F2017" s="321">
        <x:v>8400</x:v>
      </x:c>
      <x:c r="G2017" s="321">
        <x:v>2400</x:v>
      </x:c>
      <x:c r="H2017" s="312" t="s">
        <x:v>62</x:v>
      </x:c>
      <x:c r="I2017" s="312" t="s">
        <x:v>44</x:v>
      </x:c>
      <x:c r="J2017" s="316" t="n">
        <x:f>IFERROR(G2017/F2017,0)</x:f>
        <x:v>0.2857142857142857</x:v>
      </x:c>
      <x:c r="K2017" s="312" t="str">
        <x:f>IF(B2017="Bilinmeyen Personel","Kontrol","OK")</x:f>
        <x:v>OK</x:v>
      </x:c>
    </x:row>
    <x:row r="2018" hidden="1">
      <x:c r="A2018" s="312" t="n">
        <x:f>ROW()-ROW($A$2)+1</x:f>
        <x:v>2017</x:v>
      </x:c>
      <x:c r="B2018" s="312" t="s">
        <x:v>19</x:v>
      </x:c>
      <x:c r="C2018" s="312" t="s">
        <x:v>45</x:v>
      </x:c>
      <x:c r="D2018" s="317">
        <x:v>3</x:v>
      </x:c>
      <x:c r="E2018" s="321">
        <x:v>4200</x:v>
      </x:c>
      <x:c r="F2018" s="321">
        <x:v>12600</x:v>
      </x:c>
      <x:c r="G2018" s="321">
        <x:v>3600</x:v>
      </x:c>
      <x:c r="H2018" s="312" t="s">
        <x:v>62</x:v>
      </x:c>
      <x:c r="I2018" s="312" t="s">
        <x:v>28</x:v>
      </x:c>
      <x:c r="J2018" s="316" t="n">
        <x:f>IFERROR(G2018/F2018,0)</x:f>
        <x:v>0.2857142857142857</x:v>
      </x:c>
      <x:c r="K2018" s="312" t="str">
        <x:f>IF(B2018="Bilinmeyen Personel","Kontrol","OK")</x:f>
        <x:v>OK</x:v>
      </x:c>
    </x:row>
    <x:row r="2019" hidden="1">
      <x:c r="A2019" s="312" t="n">
        <x:f>ROW()-ROW($A$2)+1</x:f>
        <x:v>2018</x:v>
      </x:c>
      <x:c r="B2019" s="312" t="s">
        <x:v>35</x:v>
      </x:c>
      <x:c r="C2019" s="312" t="s">
        <x:v>39</x:v>
      </x:c>
      <x:c r="D2019" s="317">
        <x:v>3</x:v>
      </x:c>
      <x:c r="E2019" s="321">
        <x:v>10590</x:v>
      </x:c>
      <x:c r="F2019" s="321">
        <x:v>31770</x:v>
      </x:c>
      <x:c r="G2019" s="321">
        <x:v>13770</x:v>
      </x:c>
      <x:c r="H2019" s="312" t="s">
        <x:v>62</x:v>
      </x:c>
      <x:c r="I2019" s="312" t="s">
        <x:v>37</x:v>
      </x:c>
      <x:c r="J2019" s="316" t="n">
        <x:f>IFERROR(G2019/F2019,0)</x:f>
        <x:v>0.43342776203966005</x:v>
      </x:c>
      <x:c r="K2019" s="312" t="str">
        <x:f>IF(B2019="Bilinmeyen Personel","Kontrol","OK")</x:f>
        <x:v>OK</x:v>
      </x:c>
    </x:row>
    <x:row r="2020" hidden="1">
      <x:c r="A2020" s="312" t="n">
        <x:f>ROW()-ROW($A$2)+1</x:f>
        <x:v>2019</x:v>
      </x:c>
      <x:c r="B2020" s="312" t="s">
        <x:v>50</x:v>
      </x:c>
      <x:c r="C2020" s="312" t="s">
        <x:v>52</x:v>
      </x:c>
      <x:c r="D2020" s="317">
        <x:v>5</x:v>
      </x:c>
      <x:c r="E2020" s="321">
        <x:v>1250</x:v>
      </x:c>
      <x:c r="F2020" s="321">
        <x:v>6250</x:v>
      </x:c>
      <x:c r="G2020" s="321">
        <x:v>2250</x:v>
      </x:c>
      <x:c r="H2020" s="312" t="s">
        <x:v>62</x:v>
      </x:c>
      <x:c r="I2020" s="312" t="s">
        <x:v>41</x:v>
      </x:c>
      <x:c r="J2020" s="316" t="n">
        <x:f>IFERROR(G2020/F2020,0)</x:f>
        <x:v>0.36</x:v>
      </x:c>
      <x:c r="K2020" s="312" t="str">
        <x:f>IF(B2020="Bilinmeyen Personel","Kontrol","OK")</x:f>
        <x:v>OK</x:v>
      </x:c>
    </x:row>
    <x:row r="2021" hidden="1">
      <x:c r="A2021" s="312" t="n">
        <x:f>ROW()-ROW($A$2)+1</x:f>
        <x:v>2020</x:v>
      </x:c>
      <x:c r="B2021" s="312" t="s">
        <x:v>9</x:v>
      </x:c>
      <x:c r="C2021" s="312" t="s">
        <x:v>43</x:v>
      </x:c>
      <x:c r="D2021" s="317">
        <x:v>2</x:v>
      </x:c>
      <x:c r="E2021" s="321">
        <x:v>1490</x:v>
      </x:c>
      <x:c r="F2021" s="321">
        <x:v>2980</x:v>
      </x:c>
      <x:c r="G2021" s="321">
        <x:v>1380</x:v>
      </x:c>
      <x:c r="H2021" s="312" t="s">
        <x:v>62</x:v>
      </x:c>
      <x:c r="I2021" s="312" t="s">
        <x:v>25</x:v>
      </x:c>
      <x:c r="J2021" s="316" t="n">
        <x:f>IFERROR(G2021/F2021,0)</x:f>
        <x:v>0.46308724832214765</x:v>
      </x:c>
      <x:c r="K2021" s="312" t="str">
        <x:f>IF(B2021="Bilinmeyen Personel","Kontrol","OK")</x:f>
        <x:v>OK</x:v>
      </x:c>
    </x:row>
    <x:row r="2022" hidden="1">
      <x:c r="A2022" s="312" t="n">
        <x:f>ROW()-ROW($A$2)+1</x:f>
        <x:v>2021</x:v>
      </x:c>
      <x:c r="B2022" s="312" t="s">
        <x:v>32</x:v>
      </x:c>
      <x:c r="C2022" s="312" t="s">
        <x:v>30</x:v>
      </x:c>
      <x:c r="D2022" s="317">
        <x:v>4</x:v>
      </x:c>
      <x:c r="E2022" s="321">
        <x:v>1200</x:v>
      </x:c>
      <x:c r="F2022" s="321">
        <x:v>4800</x:v>
      </x:c>
      <x:c r="G2022" s="321">
        <x:v>1600</x:v>
      </x:c>
      <x:c r="H2022" s="312" t="s">
        <x:v>62</x:v>
      </x:c>
      <x:c r="I2022" s="312" t="s">
        <x:v>25</x:v>
      </x:c>
      <x:c r="J2022" s="316" t="n">
        <x:f>IFERROR(G2022/F2022,0)</x:f>
        <x:v>0.3333333333333333</x:v>
      </x:c>
      <x:c r="K2022" s="312" t="str">
        <x:f>IF(B2022="Bilinmeyen Personel","Kontrol","OK")</x:f>
        <x:v>OK</x:v>
      </x:c>
    </x:row>
    <x:row r="2023" hidden="1">
      <x:c r="A2023" s="312" t="n">
        <x:f>ROW()-ROW($A$2)+1</x:f>
        <x:v>2022</x:v>
      </x:c>
      <x:c r="B2023" s="312" t="s">
        <x:v>16</x:v>
      </x:c>
      <x:c r="C2023" s="312" t="s">
        <x:v>22</x:v>
      </x:c>
      <x:c r="D2023" s="317">
        <x:v>3</x:v>
      </x:c>
      <x:c r="E2023" s="321">
        <x:v>2180</x:v>
      </x:c>
      <x:c r="F2023" s="321">
        <x:v>6540</x:v>
      </x:c>
      <x:c r="G2023" s="321">
        <x:v>2040</x:v>
      </x:c>
      <x:c r="H2023" s="312" t="s">
        <x:v>62</x:v>
      </x:c>
      <x:c r="I2023" s="312" t="s">
        <x:v>44</x:v>
      </x:c>
      <x:c r="J2023" s="316" t="n">
        <x:f>IFERROR(G2023/F2023,0)</x:f>
        <x:v>0.3119266055045872</x:v>
      </x:c>
      <x:c r="K2023" s="312" t="str">
        <x:f>IF(B2023="Bilinmeyen Personel","Kontrol","OK")</x:f>
        <x:v>OK</x:v>
      </x:c>
    </x:row>
    <x:row r="2024" hidden="1">
      <x:c r="A2024" s="312" t="n">
        <x:f>ROW()-ROW($A$2)+1</x:f>
        <x:v>2023</x:v>
      </x:c>
      <x:c r="B2024" s="312" t="s">
        <x:v>40</x:v>
      </x:c>
      <x:c r="C2024" s="312" t="s">
        <x:v>53</x:v>
      </x:c>
      <x:c r="D2024" s="317">
        <x:v>5</x:v>
      </x:c>
      <x:c r="E2024" s="321">
        <x:v>1200</x:v>
      </x:c>
      <x:c r="F2024" s="321">
        <x:v>6000</x:v>
      </x:c>
      <x:c r="G2024" s="321">
        <x:v>2000</x:v>
      </x:c>
      <x:c r="H2024" s="312" t="s">
        <x:v>62</x:v>
      </x:c>
      <x:c r="I2024" s="312" t="s">
        <x:v>12</x:v>
      </x:c>
      <x:c r="J2024" s="316" t="n">
        <x:f>IFERROR(G2024/F2024,0)</x:f>
        <x:v>0.3333333333333333</x:v>
      </x:c>
      <x:c r="K2024" s="312" t="str">
        <x:f>IF(B2024="Bilinmeyen Personel","Kontrol","OK")</x:f>
        <x:v>OK</x:v>
      </x:c>
    </x:row>
    <x:row r="2025" hidden="1">
      <x:c r="A2025" s="312" t="n">
        <x:f>ROW()-ROW($A$2)+1</x:f>
        <x:v>2024</x:v>
      </x:c>
      <x:c r="B2025" s="312" t="s">
        <x:v>9</x:v>
      </x:c>
      <x:c r="C2025" s="312" t="s">
        <x:v>33</x:v>
      </x:c>
      <x:c r="D2025" s="317">
        <x:v>3</x:v>
      </x:c>
      <x:c r="E2025" s="321">
        <x:v>1800</x:v>
      </x:c>
      <x:c r="F2025" s="321">
        <x:v>5400</x:v>
      </x:c>
      <x:c r="G2025" s="321">
        <x:v>3000</x:v>
      </x:c>
      <x:c r="H2025" s="312" t="s">
        <x:v>62</x:v>
      </x:c>
      <x:c r="I2025" s="312" t="s">
        <x:v>44</x:v>
      </x:c>
      <x:c r="J2025" s="316" t="n">
        <x:f>IFERROR(G2025/F2025,0)</x:f>
        <x:v>0.5555555555555556</x:v>
      </x:c>
      <x:c r="K2025" s="312" t="str">
        <x:f>IF(B2025="Bilinmeyen Personel","Kontrol","OK")</x:f>
        <x:v>OK</x:v>
      </x:c>
    </x:row>
    <x:row r="2026" hidden="1">
      <x:c r="A2026" s="312" t="n">
        <x:f>ROW()-ROW($A$2)+1</x:f>
        <x:v>2025</x:v>
      </x:c>
      <x:c r="B2026" s="312" t="s">
        <x:v>16</x:v>
      </x:c>
      <x:c r="C2026" s="312" t="s">
        <x:v>24</x:v>
      </x:c>
      <x:c r="D2026" s="317">
        <x:v>5</x:v>
      </x:c>
      <x:c r="E2026" s="321">
        <x:v>7600</x:v>
      </x:c>
      <x:c r="F2026" s="321">
        <x:v>38000</x:v>
      </x:c>
      <x:c r="G2026" s="321">
        <x:v>8000</x:v>
      </x:c>
      <x:c r="H2026" s="312" t="s">
        <x:v>63</x:v>
      </x:c>
      <x:c r="I2026" s="312" t="s">
        <x:v>28</x:v>
      </x:c>
      <x:c r="J2026" s="316" t="n">
        <x:f>IFERROR(G2026/F2026,0)</x:f>
        <x:v>0.21052631578947367</x:v>
      </x:c>
      <x:c r="K2026" s="312" t="str">
        <x:f>IF(B2026="Bilinmeyen Personel","Kontrol","OK")</x:f>
        <x:v>OK</x:v>
      </x:c>
    </x:row>
    <x:row r="2027" hidden="1">
      <x:c r="A2027" s="312" t="n">
        <x:f>ROW()-ROW($A$2)+1</x:f>
        <x:v>2026</x:v>
      </x:c>
      <x:c r="B2027" s="312" t="s">
        <x:v>35</x:v>
      </x:c>
      <x:c r="C2027" s="312" t="s">
        <x:v>55</x:v>
      </x:c>
      <x:c r="D2027" s="317">
        <x:v>2</x:v>
      </x:c>
      <x:c r="E2027" s="321">
        <x:v>7530</x:v>
      </x:c>
      <x:c r="F2027" s="321">
        <x:v>15060</x:v>
      </x:c>
      <x:c r="G2027" s="321">
        <x:v>3060</x:v>
      </x:c>
      <x:c r="H2027" s="312" t="s">
        <x:v>63</x:v>
      </x:c>
      <x:c r="I2027" s="312" t="s">
        <x:v>46</x:v>
      </x:c>
      <x:c r="J2027" s="316" t="n">
        <x:f>IFERROR(G2027/F2027,0)</x:f>
        <x:v>0.20318725099601595</x:v>
      </x:c>
      <x:c r="K2027" s="312" t="str">
        <x:f>IF(B2027="Bilinmeyen Personel","Kontrol","OK")</x:f>
        <x:v>OK</x:v>
      </x:c>
    </x:row>
    <x:row r="2028" hidden="1">
      <x:c r="A2028" s="312" t="n">
        <x:f>ROW()-ROW($A$2)+1</x:f>
        <x:v>2027</x:v>
      </x:c>
      <x:c r="B2028" s="312" t="s">
        <x:v>50</x:v>
      </x:c>
      <x:c r="C2028" s="312" t="s">
        <x:v>43</x:v>
      </x:c>
      <x:c r="D2028" s="317">
        <x:v>5</x:v>
      </x:c>
      <x:c r="E2028" s="321">
        <x:v>1490</x:v>
      </x:c>
      <x:c r="F2028" s="321">
        <x:v>7450</x:v>
      </x:c>
      <x:c r="G2028" s="321">
        <x:v>3450</x:v>
      </x:c>
      <x:c r="H2028" s="312" t="s">
        <x:v>63</x:v>
      </x:c>
      <x:c r="I2028" s="312" t="s">
        <x:v>28</x:v>
      </x:c>
      <x:c r="J2028" s="316" t="n">
        <x:f>IFERROR(G2028/F2028,0)</x:f>
        <x:v>0.46308724832214765</x:v>
      </x:c>
      <x:c r="K2028" s="312" t="str">
        <x:f>IF(B2028="Bilinmeyen Personel","Kontrol","OK")</x:f>
        <x:v>OK</x:v>
      </x:c>
    </x:row>
    <x:row r="2029" hidden="1">
      <x:c r="A2029" s="312" t="n">
        <x:f>ROW()-ROW($A$2)+1</x:f>
        <x:v>2028</x:v>
      </x:c>
      <x:c r="B2029" s="312" t="s">
        <x:v>9</x:v>
      </x:c>
      <x:c r="C2029" s="312" t="s">
        <x:v>56</x:v>
      </x:c>
      <x:c r="D2029" s="317">
        <x:v>2</x:v>
      </x:c>
      <x:c r="E2029" s="321">
        <x:v>5300</x:v>
      </x:c>
      <x:c r="F2029" s="321">
        <x:v>10600</x:v>
      </x:c>
      <x:c r="G2029" s="321">
        <x:v>2600</x:v>
      </x:c>
      <x:c r="H2029" s="312" t="s">
        <x:v>63</x:v>
      </x:c>
      <x:c r="I2029" s="312" t="s">
        <x:v>46</x:v>
      </x:c>
      <x:c r="J2029" s="316" t="n">
        <x:f>IFERROR(G2029/F2029,0)</x:f>
        <x:v>0.24528301886792453</x:v>
      </x:c>
      <x:c r="K2029" s="312" t="str">
        <x:f>IF(B2029="Bilinmeyen Personel","Kontrol","OK")</x:f>
        <x:v>OK</x:v>
      </x:c>
    </x:row>
    <x:row r="2030" hidden="1">
      <x:c r="A2030" s="312" t="n">
        <x:f>ROW()-ROW($A$2)+1</x:f>
        <x:v>2029</x:v>
      </x:c>
      <x:c r="B2030" s="312" t="s">
        <x:v>23</x:v>
      </x:c>
      <x:c r="C2030" s="312" t="s">
        <x:v>30</x:v>
      </x:c>
      <x:c r="D2030" s="317">
        <x:v>4</x:v>
      </x:c>
      <x:c r="E2030" s="321">
        <x:v>1200</x:v>
      </x:c>
      <x:c r="F2030" s="321">
        <x:v>4800</x:v>
      </x:c>
      <x:c r="G2030" s="321">
        <x:v>1600</x:v>
      </x:c>
      <x:c r="H2030" s="312" t="s">
        <x:v>63</x:v>
      </x:c>
      <x:c r="I2030" s="312" t="s">
        <x:v>15</x:v>
      </x:c>
      <x:c r="J2030" s="316" t="n">
        <x:f>IFERROR(G2030/F2030,0)</x:f>
        <x:v>0.3333333333333333</x:v>
      </x:c>
      <x:c r="K2030" s="312" t="str">
        <x:f>IF(B2030="Bilinmeyen Personel","Kontrol","OK")</x:f>
        <x:v>OK</x:v>
      </x:c>
    </x:row>
    <x:row r="2031" hidden="1">
      <x:c r="A2031" s="312" t="n">
        <x:f>ROW()-ROW($A$2)+1</x:f>
        <x:v>2030</x:v>
      </x:c>
      <x:c r="B2031" s="312" t="s">
        <x:v>40</x:v>
      </x:c>
      <x:c r="C2031" s="312" t="s">
        <x:v>34</x:v>
      </x:c>
      <x:c r="D2031" s="317">
        <x:v>4</x:v>
      </x:c>
      <x:c r="E2031" s="321">
        <x:v>1090</x:v>
      </x:c>
      <x:c r="F2031" s="321">
        <x:v>4360</x:v>
      </x:c>
      <x:c r="G2031" s="321">
        <x:v>1160</x:v>
      </x:c>
      <x:c r="H2031" s="312" t="s">
        <x:v>63</x:v>
      </x:c>
      <x:c r="I2031" s="312" t="s">
        <x:v>21</x:v>
      </x:c>
      <x:c r="J2031" s="316" t="n">
        <x:f>IFERROR(G2031/F2031,0)</x:f>
        <x:v>0.26605504587155965</x:v>
      </x:c>
      <x:c r="K2031" s="312" t="str">
        <x:f>IF(B2031="Bilinmeyen Personel","Kontrol","OK")</x:f>
        <x:v>OK</x:v>
      </x:c>
    </x:row>
    <x:row r="2032" hidden="1">
      <x:c r="A2032" s="312" t="n">
        <x:f>ROW()-ROW($A$2)+1</x:f>
        <x:v>2031</x:v>
      </x:c>
      <x:c r="B2032" s="312" t="s">
        <x:v>23</x:v>
      </x:c>
      <x:c r="C2032" s="312" t="s">
        <x:v>26</x:v>
      </x:c>
      <x:c r="D2032" s="317">
        <x:v>5</x:v>
      </x:c>
      <x:c r="E2032" s="321">
        <x:v>7250</x:v>
      </x:c>
      <x:c r="F2032" s="321">
        <x:v>36250</x:v>
      </x:c>
      <x:c r="G2032" s="321">
        <x:v>11250</x:v>
      </x:c>
      <x:c r="H2032" s="312" t="s">
        <x:v>63</x:v>
      </x:c>
      <x:c r="I2032" s="312" t="s">
        <x:v>12</x:v>
      </x:c>
      <x:c r="J2032" s="316" t="n">
        <x:f>IFERROR(G2032/F2032,0)</x:f>
        <x:v>0.3103448275862069</x:v>
      </x:c>
      <x:c r="K2032" s="312" t="str">
        <x:f>IF(B2032="Bilinmeyen Personel","Kontrol","OK")</x:f>
        <x:v>OK</x:v>
      </x:c>
    </x:row>
    <x:row r="2033" hidden="1">
      <x:c r="A2033" s="312" t="n">
        <x:f>ROW()-ROW($A$2)+1</x:f>
        <x:v>2032</x:v>
      </x:c>
      <x:c r="B2033" s="312" t="s">
        <x:v>48</x:v>
      </x:c>
      <x:c r="C2033" s="312" t="s">
        <x:v>14</x:v>
      </x:c>
      <x:c r="D2033" s="317">
        <x:v>5</x:v>
      </x:c>
      <x:c r="E2033" s="321">
        <x:v>1400</x:v>
      </x:c>
      <x:c r="F2033" s="321">
        <x:v>7000</x:v>
      </x:c>
      <x:c r="G2033" s="321">
        <x:v>3000</x:v>
      </x:c>
      <x:c r="H2033" s="312" t="s">
        <x:v>63</x:v>
      </x:c>
      <x:c r="I2033" s="312" t="s">
        <x:v>15</x:v>
      </x:c>
      <x:c r="J2033" s="316" t="n">
        <x:f>IFERROR(G2033/F2033,0)</x:f>
        <x:v>0.42857142857142855</x:v>
      </x:c>
      <x:c r="K2033" s="312" t="str">
        <x:f>IF(B2033="Bilinmeyen Personel","Kontrol","OK")</x:f>
        <x:v>OK</x:v>
      </x:c>
    </x:row>
    <x:row r="2034" hidden="1">
      <x:c r="A2034" s="312" t="n">
        <x:f>ROW()-ROW($A$2)+1</x:f>
        <x:v>2033</x:v>
      </x:c>
      <x:c r="B2034" s="312" t="s">
        <x:v>16</x:v>
      </x:c>
      <x:c r="C2034" s="312" t="s">
        <x:v>57</x:v>
      </x:c>
      <x:c r="D2034" s="317">
        <x:v>5</x:v>
      </x:c>
      <x:c r="E2034" s="321">
        <x:v>1500</x:v>
      </x:c>
      <x:c r="F2034" s="321">
        <x:v>7500</x:v>
      </x:c>
      <x:c r="G2034" s="321">
        <x:v>3500</x:v>
      </x:c>
      <x:c r="H2034" s="312" t="s">
        <x:v>63</x:v>
      </x:c>
      <x:c r="I2034" s="312" t="s">
        <x:v>31</x:v>
      </x:c>
      <x:c r="J2034" s="316" t="n">
        <x:f>IFERROR(G2034/F2034,0)</x:f>
        <x:v>0.4666666666666667</x:v>
      </x:c>
      <x:c r="K2034" s="312" t="str">
        <x:f>IF(B2034="Bilinmeyen Personel","Kontrol","OK")</x:f>
        <x:v>OK</x:v>
      </x:c>
    </x:row>
    <x:row r="2035" hidden="1">
      <x:c r="A2035" s="312" t="n">
        <x:f>ROW()-ROW($A$2)+1</x:f>
        <x:v>2034</x:v>
      </x:c>
      <x:c r="B2035" s="312" t="s">
        <x:v>35</x:v>
      </x:c>
      <x:c r="C2035" s="312" t="s">
        <x:v>20</x:v>
      </x:c>
      <x:c r="D2035" s="317">
        <x:v>3</x:v>
      </x:c>
      <x:c r="E2035" s="321">
        <x:v>1350</x:v>
      </x:c>
      <x:c r="F2035" s="321">
        <x:v>4050</x:v>
      </x:c>
      <x:c r="G2035" s="321">
        <x:v>1650</x:v>
      </x:c>
      <x:c r="H2035" s="312" t="s">
        <x:v>63</x:v>
      </x:c>
      <x:c r="I2035" s="312" t="s">
        <x:v>41</x:v>
      </x:c>
      <x:c r="J2035" s="316" t="n">
        <x:f>IFERROR(G2035/F2035,0)</x:f>
        <x:v>0.4074074074074074</x:v>
      </x:c>
      <x:c r="K2035" s="312" t="str">
        <x:f>IF(B2035="Bilinmeyen Personel","Kontrol","OK")</x:f>
        <x:v>OK</x:v>
      </x:c>
    </x:row>
    <x:row r="2036" hidden="1">
      <x:c r="A2036" s="312" t="n">
        <x:f>ROW()-ROW($A$2)+1</x:f>
        <x:v>2035</x:v>
      </x:c>
      <x:c r="B2036" s="312" t="s">
        <x:v>35</x:v>
      </x:c>
      <x:c r="C2036" s="312" t="s">
        <x:v>30</x:v>
      </x:c>
      <x:c r="D2036" s="317">
        <x:v>2</x:v>
      </x:c>
      <x:c r="E2036" s="321">
        <x:v>1200</x:v>
      </x:c>
      <x:c r="F2036" s="321">
        <x:v>2400</x:v>
      </x:c>
      <x:c r="G2036" s="321">
        <x:v>800</x:v>
      </x:c>
      <x:c r="H2036" s="312" t="s">
        <x:v>63</x:v>
      </x:c>
      <x:c r="I2036" s="312" t="s">
        <x:v>41</x:v>
      </x:c>
      <x:c r="J2036" s="316" t="n">
        <x:f>IFERROR(G2036/F2036,0)</x:f>
        <x:v>0.3333333333333333</x:v>
      </x:c>
      <x:c r="K2036" s="312" t="str">
        <x:f>IF(B2036="Bilinmeyen Personel","Kontrol","OK")</x:f>
        <x:v>OK</x:v>
      </x:c>
    </x:row>
    <x:row r="2037" hidden="1">
      <x:c r="A2037" s="312" t="n">
        <x:f>ROW()-ROW($A$2)+1</x:f>
        <x:v>2036</x:v>
      </x:c>
      <x:c r="B2037" s="312" t="s">
        <x:v>13</x:v>
      </x:c>
      <x:c r="C2037" s="312" t="s">
        <x:v>55</x:v>
      </x:c>
      <x:c r="D2037" s="317">
        <x:v>5</x:v>
      </x:c>
      <x:c r="E2037" s="321">
        <x:v>7530</x:v>
      </x:c>
      <x:c r="F2037" s="321">
        <x:v>37650</x:v>
      </x:c>
      <x:c r="G2037" s="321">
        <x:v>7650</x:v>
      </x:c>
      <x:c r="H2037" s="312" t="s">
        <x:v>63</x:v>
      </x:c>
      <x:c r="I2037" s="312" t="s">
        <x:v>15</x:v>
      </x:c>
      <x:c r="J2037" s="316" t="n">
        <x:f>IFERROR(G2037/F2037,0)</x:f>
        <x:v>0.20318725099601595</x:v>
      </x:c>
      <x:c r="K2037" s="312" t="str">
        <x:f>IF(B2037="Bilinmeyen Personel","Kontrol","OK")</x:f>
        <x:v>OK</x:v>
      </x:c>
    </x:row>
    <x:row r="2038" hidden="1">
      <x:c r="A2038" s="312" t="n">
        <x:f>ROW()-ROW($A$2)+1</x:f>
        <x:v>2037</x:v>
      </x:c>
      <x:c r="B2038" s="312" t="s">
        <x:v>48</x:v>
      </x:c>
      <x:c r="C2038" s="312" t="s">
        <x:v>30</x:v>
      </x:c>
      <x:c r="D2038" s="317">
        <x:v>3</x:v>
      </x:c>
      <x:c r="E2038" s="321">
        <x:v>1200</x:v>
      </x:c>
      <x:c r="F2038" s="321">
        <x:v>3600</x:v>
      </x:c>
      <x:c r="G2038" s="321">
        <x:v>1200</x:v>
      </x:c>
      <x:c r="H2038" s="312" t="s">
        <x:v>63</x:v>
      </x:c>
      <x:c r="I2038" s="312" t="s">
        <x:v>46</x:v>
      </x:c>
      <x:c r="J2038" s="316" t="n">
        <x:f>IFERROR(G2038/F2038,0)</x:f>
        <x:v>0.3333333333333333</x:v>
      </x:c>
      <x:c r="K2038" s="312" t="str">
        <x:f>IF(B2038="Bilinmeyen Personel","Kontrol","OK")</x:f>
        <x:v>OK</x:v>
      </x:c>
    </x:row>
    <x:row r="2039" hidden="1">
      <x:c r="A2039" s="312" t="n">
        <x:f>ROW()-ROW($A$2)+1</x:f>
        <x:v>2038</x:v>
      </x:c>
      <x:c r="B2039" s="312" t="s">
        <x:v>38</x:v>
      </x:c>
      <x:c r="C2039" s="312" t="s">
        <x:v>33</x:v>
      </x:c>
      <x:c r="D2039" s="317">
        <x:v>4</x:v>
      </x:c>
      <x:c r="E2039" s="321">
        <x:v>1800</x:v>
      </x:c>
      <x:c r="F2039" s="321">
        <x:v>7200</x:v>
      </x:c>
      <x:c r="G2039" s="321">
        <x:v>4000</x:v>
      </x:c>
      <x:c r="H2039" s="312" t="s">
        <x:v>63</x:v>
      </x:c>
      <x:c r="I2039" s="312" t="s">
        <x:v>42</x:v>
      </x:c>
      <x:c r="J2039" s="316" t="n">
        <x:f>IFERROR(G2039/F2039,0)</x:f>
        <x:v>0.5555555555555556</x:v>
      </x:c>
      <x:c r="K2039" s="312" t="str">
        <x:f>IF(B2039="Bilinmeyen Personel","Kontrol","OK")</x:f>
        <x:v>OK</x:v>
      </x:c>
    </x:row>
    <x:row r="2040" hidden="1">
      <x:c r="A2040" s="312" t="n">
        <x:f>ROW()-ROW($A$2)+1</x:f>
        <x:v>2039</x:v>
      </x:c>
      <x:c r="B2040" s="312" t="s">
        <x:v>9</x:v>
      </x:c>
      <x:c r="C2040" s="312" t="s">
        <x:v>26</x:v>
      </x:c>
      <x:c r="D2040" s="317">
        <x:v>4</x:v>
      </x:c>
      <x:c r="E2040" s="321">
        <x:v>7250</x:v>
      </x:c>
      <x:c r="F2040" s="321">
        <x:v>29000</x:v>
      </x:c>
      <x:c r="G2040" s="321">
        <x:v>9000</x:v>
      </x:c>
      <x:c r="H2040" s="312" t="s">
        <x:v>63</x:v>
      </x:c>
      <x:c r="I2040" s="312" t="s">
        <x:v>25</x:v>
      </x:c>
      <x:c r="J2040" s="316" t="n">
        <x:f>IFERROR(G2040/F2040,0)</x:f>
        <x:v>0.3103448275862069</x:v>
      </x:c>
      <x:c r="K2040" s="312" t="str">
        <x:f>IF(B2040="Bilinmeyen Personel","Kontrol","OK")</x:f>
        <x:v>OK</x:v>
      </x:c>
    </x:row>
    <x:row r="2041" hidden="1">
      <x:c r="A2041" s="312" t="n">
        <x:f>ROW()-ROW($A$2)+1</x:f>
        <x:v>2040</x:v>
      </x:c>
      <x:c r="B2041" s="312" t="s">
        <x:v>40</x:v>
      </x:c>
      <x:c r="C2041" s="312" t="s">
        <x:v>43</x:v>
      </x:c>
      <x:c r="D2041" s="317">
        <x:v>3</x:v>
      </x:c>
      <x:c r="E2041" s="321">
        <x:v>1490</x:v>
      </x:c>
      <x:c r="F2041" s="321">
        <x:v>4470</x:v>
      </x:c>
      <x:c r="G2041" s="321">
        <x:v>2070</x:v>
      </x:c>
      <x:c r="H2041" s="312" t="s">
        <x:v>63</x:v>
      </x:c>
      <x:c r="I2041" s="312" t="s">
        <x:v>46</x:v>
      </x:c>
      <x:c r="J2041" s="316" t="n">
        <x:f>IFERROR(G2041/F2041,0)</x:f>
        <x:v>0.46308724832214765</x:v>
      </x:c>
      <x:c r="K2041" s="312" t="str">
        <x:f>IF(B2041="Bilinmeyen Personel","Kontrol","OK")</x:f>
        <x:v>OK</x:v>
      </x:c>
    </x:row>
    <x:row r="2042" hidden="1">
      <x:c r="A2042" s="312" t="n">
        <x:f>ROW()-ROW($A$2)+1</x:f>
        <x:v>2041</x:v>
      </x:c>
      <x:c r="B2042" s="312" t="s">
        <x:v>40</x:v>
      </x:c>
      <x:c r="C2042" s="312" t="s">
        <x:v>53</x:v>
      </x:c>
      <x:c r="D2042" s="317">
        <x:v>5</x:v>
      </x:c>
      <x:c r="E2042" s="321">
        <x:v>1200</x:v>
      </x:c>
      <x:c r="F2042" s="321">
        <x:v>6000</x:v>
      </x:c>
      <x:c r="G2042" s="321">
        <x:v>2000</x:v>
      </x:c>
      <x:c r="H2042" s="312" t="s">
        <x:v>63</x:v>
      </x:c>
      <x:c r="I2042" s="312" t="s">
        <x:v>42</x:v>
      </x:c>
      <x:c r="J2042" s="316" t="n">
        <x:f>IFERROR(G2042/F2042,0)</x:f>
        <x:v>0.3333333333333333</x:v>
      </x:c>
      <x:c r="K2042" s="312" t="str">
        <x:f>IF(B2042="Bilinmeyen Personel","Kontrol","OK")</x:f>
        <x:v>OK</x:v>
      </x:c>
    </x:row>
    <x:row r="2043" hidden="1">
      <x:c r="A2043" s="312" t="n">
        <x:f>ROW()-ROW($A$2)+1</x:f>
        <x:v>2042</x:v>
      </x:c>
      <x:c r="B2043" s="312" t="s">
        <x:v>13</x:v>
      </x:c>
      <x:c r="C2043" s="312" t="s">
        <x:v>36</x:v>
      </x:c>
      <x:c r="D2043" s="317">
        <x:v>4</x:v>
      </x:c>
      <x:c r="E2043" s="321">
        <x:v>8000</x:v>
      </x:c>
      <x:c r="F2043" s="321">
        <x:v>32000</x:v>
      </x:c>
      <x:c r="G2043" s="321">
        <x:v>8000</x:v>
      </x:c>
      <x:c r="H2043" s="312" t="s">
        <x:v>63</x:v>
      </x:c>
      <x:c r="I2043" s="312" t="s">
        <x:v>46</x:v>
      </x:c>
      <x:c r="J2043" s="316" t="n">
        <x:f>IFERROR(G2043/F2043,0)</x:f>
        <x:v>0.25</x:v>
      </x:c>
      <x:c r="K2043" s="312" t="str">
        <x:f>IF(B2043="Bilinmeyen Personel","Kontrol","OK")</x:f>
        <x:v>OK</x:v>
      </x:c>
    </x:row>
    <x:row r="2044" hidden="1">
      <x:c r="A2044" s="312" t="n">
        <x:f>ROW()-ROW($A$2)+1</x:f>
        <x:v>2043</x:v>
      </x:c>
      <x:c r="B2044" s="312" t="s">
        <x:v>32</x:v>
      </x:c>
      <x:c r="C2044" s="312" t="s">
        <x:v>14</x:v>
      </x:c>
      <x:c r="D2044" s="317">
        <x:v>3</x:v>
      </x:c>
      <x:c r="E2044" s="321">
        <x:v>1400</x:v>
      </x:c>
      <x:c r="F2044" s="321">
        <x:v>4200</x:v>
      </x:c>
      <x:c r="G2044" s="321">
        <x:v>1800</x:v>
      </x:c>
      <x:c r="H2044" s="312" t="s">
        <x:v>63</x:v>
      </x:c>
      <x:c r="I2044" s="312" t="s">
        <x:v>21</x:v>
      </x:c>
      <x:c r="J2044" s="316" t="n">
        <x:f>IFERROR(G2044/F2044,0)</x:f>
        <x:v>0.42857142857142855</x:v>
      </x:c>
      <x:c r="K2044" s="312" t="str">
        <x:f>IF(B2044="Bilinmeyen Personel","Kontrol","OK")</x:f>
        <x:v>OK</x:v>
      </x:c>
    </x:row>
    <x:row r="2045" hidden="1">
      <x:c r="A2045" s="312" t="n">
        <x:f>ROW()-ROW($A$2)+1</x:f>
        <x:v>2044</x:v>
      </x:c>
      <x:c r="B2045" s="312" t="s">
        <x:v>29</x:v>
      </x:c>
      <x:c r="C2045" s="312" t="s">
        <x:v>20</x:v>
      </x:c>
      <x:c r="D2045" s="317">
        <x:v>3</x:v>
      </x:c>
      <x:c r="E2045" s="321">
        <x:v>1350</x:v>
      </x:c>
      <x:c r="F2045" s="321">
        <x:v>4050</x:v>
      </x:c>
      <x:c r="G2045" s="321">
        <x:v>1650</x:v>
      </x:c>
      <x:c r="H2045" s="312" t="s">
        <x:v>63</x:v>
      </x:c>
      <x:c r="I2045" s="312" t="s">
        <x:v>37</x:v>
      </x:c>
      <x:c r="J2045" s="316" t="n">
        <x:f>IFERROR(G2045/F2045,0)</x:f>
        <x:v>0.4074074074074074</x:v>
      </x:c>
      <x:c r="K2045" s="312" t="str">
        <x:f>IF(B2045="Bilinmeyen Personel","Kontrol","OK")</x:f>
        <x:v>OK</x:v>
      </x:c>
    </x:row>
    <x:row r="2046" hidden="1">
      <x:c r="A2046" s="312" t="n">
        <x:f>ROW()-ROW($A$2)+1</x:f>
        <x:v>2045</x:v>
      </x:c>
      <x:c r="B2046" s="312" t="s">
        <x:v>38</x:v>
      </x:c>
      <x:c r="C2046" s="312" t="s">
        <x:v>53</x:v>
      </x:c>
      <x:c r="D2046" s="317">
        <x:v>4</x:v>
      </x:c>
      <x:c r="E2046" s="321">
        <x:v>1200</x:v>
      </x:c>
      <x:c r="F2046" s="321">
        <x:v>4800</x:v>
      </x:c>
      <x:c r="G2046" s="321">
        <x:v>1600</x:v>
      </x:c>
      <x:c r="H2046" s="312" t="s">
        <x:v>63</x:v>
      </x:c>
      <x:c r="I2046" s="312" t="s">
        <x:v>15</x:v>
      </x:c>
      <x:c r="J2046" s="316" t="n">
        <x:f>IFERROR(G2046/F2046,0)</x:f>
        <x:v>0.3333333333333333</x:v>
      </x:c>
      <x:c r="K2046" s="312" t="str">
        <x:f>IF(B2046="Bilinmeyen Personel","Kontrol","OK")</x:f>
        <x:v>OK</x:v>
      </x:c>
    </x:row>
    <x:row r="2047" hidden="1">
      <x:c r="A2047" s="312" t="n">
        <x:f>ROW()-ROW($A$2)+1</x:f>
        <x:v>2046</x:v>
      </x:c>
      <x:c r="B2047" s="312" t="s">
        <x:v>32</x:v>
      </x:c>
      <x:c r="C2047" s="312" t="s">
        <x:v>56</x:v>
      </x:c>
      <x:c r="D2047" s="317">
        <x:v>5</x:v>
      </x:c>
      <x:c r="E2047" s="321">
        <x:v>5300</x:v>
      </x:c>
      <x:c r="F2047" s="321">
        <x:v>26500</x:v>
      </x:c>
      <x:c r="G2047" s="321">
        <x:v>6500</x:v>
      </x:c>
      <x:c r="H2047" s="312" t="s">
        <x:v>63</x:v>
      </x:c>
      <x:c r="I2047" s="312" t="s">
        <x:v>12</x:v>
      </x:c>
      <x:c r="J2047" s="316" t="n">
        <x:f>IFERROR(G2047/F2047,0)</x:f>
        <x:v>0.24528301886792453</x:v>
      </x:c>
      <x:c r="K2047" s="312" t="str">
        <x:f>IF(B2047="Bilinmeyen Personel","Kontrol","OK")</x:f>
        <x:v>OK</x:v>
      </x:c>
    </x:row>
    <x:row r="2048" hidden="1">
      <x:c r="A2048" s="312" t="n">
        <x:f>ROW()-ROW($A$2)+1</x:f>
        <x:v>2047</x:v>
      </x:c>
      <x:c r="B2048" s="312" t="s">
        <x:v>40</x:v>
      </x:c>
      <x:c r="C2048" s="312" t="s">
        <x:v>39</x:v>
      </x:c>
      <x:c r="D2048" s="317">
        <x:v>5</x:v>
      </x:c>
      <x:c r="E2048" s="321">
        <x:v>10590</x:v>
      </x:c>
      <x:c r="F2048" s="321">
        <x:v>52950</x:v>
      </x:c>
      <x:c r="G2048" s="321">
        <x:v>22950</x:v>
      </x:c>
      <x:c r="H2048" s="312" t="s">
        <x:v>63</x:v>
      </x:c>
      <x:c r="I2048" s="312" t="s">
        <x:v>15</x:v>
      </x:c>
      <x:c r="J2048" s="316" t="n">
        <x:f>IFERROR(G2048/F2048,0)</x:f>
        <x:v>0.43342776203966005</x:v>
      </x:c>
      <x:c r="K2048" s="312" t="str">
        <x:f>IF(B2048="Bilinmeyen Personel","Kontrol","OK")</x:f>
        <x:v>OK</x:v>
      </x:c>
    </x:row>
    <x:row r="2049" hidden="1">
      <x:c r="A2049" s="312" t="n">
        <x:f>ROW()-ROW($A$2)+1</x:f>
        <x:v>2048</x:v>
      </x:c>
      <x:c r="B2049" s="312" t="s">
        <x:v>23</x:v>
      </x:c>
      <x:c r="C2049" s="312" t="s">
        <x:v>52</x:v>
      </x:c>
      <x:c r="D2049" s="317">
        <x:v>3</x:v>
      </x:c>
      <x:c r="E2049" s="321">
        <x:v>1250</x:v>
      </x:c>
      <x:c r="F2049" s="321">
        <x:v>3750</x:v>
      </x:c>
      <x:c r="G2049" s="321">
        <x:v>1350</x:v>
      </x:c>
      <x:c r="H2049" s="312" t="s">
        <x:v>63</x:v>
      </x:c>
      <x:c r="I2049" s="312" t="s">
        <x:v>18</x:v>
      </x:c>
      <x:c r="J2049" s="316" t="n">
        <x:f>IFERROR(G2049/F2049,0)</x:f>
        <x:v>0.36</x:v>
      </x:c>
      <x:c r="K2049" s="312" t="str">
        <x:f>IF(B2049="Bilinmeyen Personel","Kontrol","OK")</x:f>
        <x:v>OK</x:v>
      </x:c>
    </x:row>
    <x:row r="2050" hidden="1">
      <x:c r="A2050" s="312" t="n">
        <x:f>ROW()-ROW($A$2)+1</x:f>
        <x:v>2049</x:v>
      </x:c>
      <x:c r="B2050" s="312" t="s">
        <x:v>50</x:v>
      </x:c>
      <x:c r="C2050" s="312" t="s">
        <x:v>53</x:v>
      </x:c>
      <x:c r="D2050" s="317">
        <x:v>4</x:v>
      </x:c>
      <x:c r="E2050" s="321">
        <x:v>1200</x:v>
      </x:c>
      <x:c r="F2050" s="321">
        <x:v>4800</x:v>
      </x:c>
      <x:c r="G2050" s="321">
        <x:v>1600</x:v>
      </x:c>
      <x:c r="H2050" s="312" t="s">
        <x:v>63</x:v>
      </x:c>
      <x:c r="I2050" s="312" t="s">
        <x:v>21</x:v>
      </x:c>
      <x:c r="J2050" s="316" t="n">
        <x:f>IFERROR(G2050/F2050,0)</x:f>
        <x:v>0.3333333333333333</x:v>
      </x:c>
      <x:c r="K2050" s="312" t="str">
        <x:f>IF(B2050="Bilinmeyen Personel","Kontrol","OK")</x:f>
        <x:v>OK</x:v>
      </x:c>
    </x:row>
    <x:row r="2051" hidden="1">
      <x:c r="A2051" s="312" t="n">
        <x:f>ROW()-ROW($A$2)+1</x:f>
        <x:v>2050</x:v>
      </x:c>
      <x:c r="B2051" s="312" t="s">
        <x:v>23</x:v>
      </x:c>
      <x:c r="C2051" s="312" t="s">
        <x:v>14</x:v>
      </x:c>
      <x:c r="D2051" s="317">
        <x:v>5</x:v>
      </x:c>
      <x:c r="E2051" s="321">
        <x:v>1400</x:v>
      </x:c>
      <x:c r="F2051" s="321">
        <x:v>7000</x:v>
      </x:c>
      <x:c r="G2051" s="321">
        <x:v>3000</x:v>
      </x:c>
      <x:c r="H2051" s="312" t="s">
        <x:v>63</x:v>
      </x:c>
      <x:c r="I2051" s="312" t="s">
        <x:v>42</x:v>
      </x:c>
      <x:c r="J2051" s="316" t="n">
        <x:f>IFERROR(G2051/F2051,0)</x:f>
        <x:v>0.42857142857142855</x:v>
      </x:c>
      <x:c r="K2051" s="312" t="str">
        <x:f>IF(B2051="Bilinmeyen Personel","Kontrol","OK")</x:f>
        <x:v>OK</x:v>
      </x:c>
    </x:row>
    <x:row r="2052" hidden="1">
      <x:c r="A2052" s="312" t="n">
        <x:f>ROW()-ROW($A$2)+1</x:f>
        <x:v>2051</x:v>
      </x:c>
      <x:c r="B2052" s="312" t="s">
        <x:v>50</x:v>
      </x:c>
      <x:c r="C2052" s="312" t="s">
        <x:v>55</x:v>
      </x:c>
      <x:c r="D2052" s="317">
        <x:v>3</x:v>
      </x:c>
      <x:c r="E2052" s="321">
        <x:v>7530</x:v>
      </x:c>
      <x:c r="F2052" s="321">
        <x:v>22590</x:v>
      </x:c>
      <x:c r="G2052" s="321">
        <x:v>4590</x:v>
      </x:c>
      <x:c r="H2052" s="312" t="s">
        <x:v>63</x:v>
      </x:c>
      <x:c r="I2052" s="312" t="s">
        <x:v>31</x:v>
      </x:c>
      <x:c r="J2052" s="316" t="n">
        <x:f>IFERROR(G2052/F2052,0)</x:f>
        <x:v>0.20318725099601595</x:v>
      </x:c>
      <x:c r="K2052" s="312" t="str">
        <x:f>IF(B2052="Bilinmeyen Personel","Kontrol","OK")</x:f>
        <x:v>OK</x:v>
      </x:c>
    </x:row>
    <x:row r="2053" hidden="1">
      <x:c r="A2053" s="312" t="n">
        <x:f>ROW()-ROW($A$2)+1</x:f>
        <x:v>2052</x:v>
      </x:c>
      <x:c r="B2053" s="312" t="s">
        <x:v>32</x:v>
      </x:c>
      <x:c r="C2053" s="312" t="s">
        <x:v>24</x:v>
      </x:c>
      <x:c r="D2053" s="317">
        <x:v>3</x:v>
      </x:c>
      <x:c r="E2053" s="321">
        <x:v>7600</x:v>
      </x:c>
      <x:c r="F2053" s="321">
        <x:v>22800</x:v>
      </x:c>
      <x:c r="G2053" s="321">
        <x:v>4800</x:v>
      </x:c>
      <x:c r="H2053" s="312" t="s">
        <x:v>63</x:v>
      </x:c>
      <x:c r="I2053" s="312" t="s">
        <x:v>12</x:v>
      </x:c>
      <x:c r="J2053" s="316" t="n">
        <x:f>IFERROR(G2053/F2053,0)</x:f>
        <x:v>0.21052631578947367</x:v>
      </x:c>
      <x:c r="K2053" s="312" t="str">
        <x:f>IF(B2053="Bilinmeyen Personel","Kontrol","OK")</x:f>
        <x:v>OK</x:v>
      </x:c>
    </x:row>
    <x:row r="2054" hidden="1">
      <x:c r="A2054" s="312" t="n">
        <x:f>ROW()-ROW($A$2)+1</x:f>
        <x:v>2053</x:v>
      </x:c>
      <x:c r="B2054" s="312" t="s">
        <x:v>50</x:v>
      </x:c>
      <x:c r="C2054" s="312" t="s">
        <x:v>57</x:v>
      </x:c>
      <x:c r="D2054" s="317">
        <x:v>3</x:v>
      </x:c>
      <x:c r="E2054" s="321">
        <x:v>1500</x:v>
      </x:c>
      <x:c r="F2054" s="321">
        <x:v>4500</x:v>
      </x:c>
      <x:c r="G2054" s="321">
        <x:v>2100</x:v>
      </x:c>
      <x:c r="H2054" s="312" t="s">
        <x:v>63</x:v>
      </x:c>
      <x:c r="I2054" s="312" t="s">
        <x:v>25</x:v>
      </x:c>
      <x:c r="J2054" s="316" t="n">
        <x:f>IFERROR(G2054/F2054,0)</x:f>
        <x:v>0.4666666666666667</x:v>
      </x:c>
      <x:c r="K2054" s="312" t="str">
        <x:f>IF(B2054="Bilinmeyen Personel","Kontrol","OK")</x:f>
        <x:v>OK</x:v>
      </x:c>
    </x:row>
    <x:row r="2055" hidden="1">
      <x:c r="A2055" s="312" t="n">
        <x:f>ROW()-ROW($A$2)+1</x:f>
        <x:v>2054</x:v>
      </x:c>
      <x:c r="B2055" s="312" t="s">
        <x:v>40</x:v>
      </x:c>
      <x:c r="C2055" s="312" t="s">
        <x:v>22</x:v>
      </x:c>
      <x:c r="D2055" s="317">
        <x:v>4</x:v>
      </x:c>
      <x:c r="E2055" s="321">
        <x:v>2180</x:v>
      </x:c>
      <x:c r="F2055" s="321">
        <x:v>8720</x:v>
      </x:c>
      <x:c r="G2055" s="321">
        <x:v>2720</x:v>
      </x:c>
      <x:c r="H2055" s="312" t="s">
        <x:v>63</x:v>
      </x:c>
      <x:c r="I2055" s="312" t="s">
        <x:v>25</x:v>
      </x:c>
      <x:c r="J2055" s="316" t="n">
        <x:f>IFERROR(G2055/F2055,0)</x:f>
        <x:v>0.3119266055045872</x:v>
      </x:c>
      <x:c r="K2055" s="312" t="str">
        <x:f>IF(B2055="Bilinmeyen Personel","Kontrol","OK")</x:f>
        <x:v>OK</x:v>
      </x:c>
    </x:row>
    <x:row r="2056" hidden="1">
      <x:c r="A2056" s="312" t="n">
        <x:f>ROW()-ROW($A$2)+1</x:f>
        <x:v>2055</x:v>
      </x:c>
      <x:c r="B2056" s="312" t="s">
        <x:v>19</x:v>
      </x:c>
      <x:c r="C2056" s="312" t="s">
        <x:v>22</x:v>
      </x:c>
      <x:c r="D2056" s="317">
        <x:v>3</x:v>
      </x:c>
      <x:c r="E2056" s="321">
        <x:v>2180</x:v>
      </x:c>
      <x:c r="F2056" s="321">
        <x:v>6540</x:v>
      </x:c>
      <x:c r="G2056" s="321">
        <x:v>2040</x:v>
      </x:c>
      <x:c r="H2056" s="312" t="s">
        <x:v>63</x:v>
      </x:c>
      <x:c r="I2056" s="312" t="s">
        <x:v>37</x:v>
      </x:c>
      <x:c r="J2056" s="316" t="n">
        <x:f>IFERROR(G2056/F2056,0)</x:f>
        <x:v>0.3119266055045872</x:v>
      </x:c>
      <x:c r="K2056" s="312" t="str">
        <x:f>IF(B2056="Bilinmeyen Personel","Kontrol","OK")</x:f>
        <x:v>OK</x:v>
      </x:c>
    </x:row>
    <x:row r="2057" hidden="1">
      <x:c r="A2057" s="312" t="n">
        <x:f>ROW()-ROW($A$2)+1</x:f>
        <x:v>2056</x:v>
      </x:c>
      <x:c r="B2057" s="312" t="s">
        <x:v>40</x:v>
      </x:c>
      <x:c r="C2057" s="312" t="s">
        <x:v>47</x:v>
      </x:c>
      <x:c r="D2057" s="317">
        <x:v>4</x:v>
      </x:c>
      <x:c r="E2057" s="321">
        <x:v>5775</x:v>
      </x:c>
      <x:c r="F2057" s="321">
        <x:v>23100</x:v>
      </x:c>
      <x:c r="G2057" s="321">
        <x:v>7100</x:v>
      </x:c>
      <x:c r="H2057" s="312" t="s">
        <x:v>63</x:v>
      </x:c>
      <x:c r="I2057" s="312" t="s">
        <x:v>25</x:v>
      </x:c>
      <x:c r="J2057" s="316" t="n">
        <x:f>IFERROR(G2057/F2057,0)</x:f>
        <x:v>0.30735930735930733</x:v>
      </x:c>
      <x:c r="K2057" s="312" t="str">
        <x:f>IF(B2057="Bilinmeyen Personel","Kontrol","OK")</x:f>
        <x:v>OK</x:v>
      </x:c>
    </x:row>
    <x:row r="2058" hidden="1">
      <x:c r="A2058" s="312" t="n">
        <x:f>ROW()-ROW($A$2)+1</x:f>
        <x:v>2057</x:v>
      </x:c>
      <x:c r="B2058" s="312" t="s">
        <x:v>40</x:v>
      </x:c>
      <x:c r="C2058" s="312" t="s">
        <x:v>27</x:v>
      </x:c>
      <x:c r="D2058" s="317">
        <x:v>3</x:v>
      </x:c>
      <x:c r="E2058" s="321">
        <x:v>1100</x:v>
      </x:c>
      <x:c r="F2058" s="321">
        <x:v>3300</x:v>
      </x:c>
      <x:c r="G2058" s="321">
        <x:v>900</x:v>
      </x:c>
      <x:c r="H2058" s="312" t="s">
        <x:v>63</x:v>
      </x:c>
      <x:c r="I2058" s="312" t="s">
        <x:v>46</x:v>
      </x:c>
      <x:c r="J2058" s="316" t="n">
        <x:f>IFERROR(G2058/F2058,0)</x:f>
        <x:v>0.2727272727272727</x:v>
      </x:c>
      <x:c r="K2058" s="312" t="str">
        <x:f>IF(B2058="Bilinmeyen Personel","Kontrol","OK")</x:f>
        <x:v>OK</x:v>
      </x:c>
    </x:row>
    <x:row r="2059" hidden="1">
      <x:c r="A2059" s="312" t="n">
        <x:f>ROW()-ROW($A$2)+1</x:f>
        <x:v>2058</x:v>
      </x:c>
      <x:c r="B2059" s="312" t="s">
        <x:v>48</x:v>
      </x:c>
      <x:c r="C2059" s="312" t="s">
        <x:v>47</x:v>
      </x:c>
      <x:c r="D2059" s="317">
        <x:v>4</x:v>
      </x:c>
      <x:c r="E2059" s="321">
        <x:v>5775</x:v>
      </x:c>
      <x:c r="F2059" s="321">
        <x:v>23100</x:v>
      </x:c>
      <x:c r="G2059" s="321">
        <x:v>7100</x:v>
      </x:c>
      <x:c r="H2059" s="312" t="s">
        <x:v>63</x:v>
      </x:c>
      <x:c r="I2059" s="312" t="s">
        <x:v>37</x:v>
      </x:c>
      <x:c r="J2059" s="316" t="n">
        <x:f>IFERROR(G2059/F2059,0)</x:f>
        <x:v>0.30735930735930733</x:v>
      </x:c>
      <x:c r="K2059" s="312" t="str">
        <x:f>IF(B2059="Bilinmeyen Personel","Kontrol","OK")</x:f>
        <x:v>OK</x:v>
      </x:c>
    </x:row>
    <x:row r="2060" hidden="1">
      <x:c r="A2060" s="312" t="n">
        <x:f>ROW()-ROW($A$2)+1</x:f>
        <x:v>2059</x:v>
      </x:c>
      <x:c r="B2060" s="312" t="s">
        <x:v>35</x:v>
      </x:c>
      <x:c r="C2060" s="312" t="s">
        <x:v>20</x:v>
      </x:c>
      <x:c r="D2060" s="317">
        <x:v>3</x:v>
      </x:c>
      <x:c r="E2060" s="321">
        <x:v>1350</x:v>
      </x:c>
      <x:c r="F2060" s="321">
        <x:v>4050</x:v>
      </x:c>
      <x:c r="G2060" s="321">
        <x:v>1650</x:v>
      </x:c>
      <x:c r="H2060" s="312" t="s">
        <x:v>63</x:v>
      </x:c>
      <x:c r="I2060" s="312" t="s">
        <x:v>42</x:v>
      </x:c>
      <x:c r="J2060" s="316" t="n">
        <x:f>IFERROR(G2060/F2060,0)</x:f>
        <x:v>0.4074074074074074</x:v>
      </x:c>
      <x:c r="K2060" s="312" t="str">
        <x:f>IF(B2060="Bilinmeyen Personel","Kontrol","OK")</x:f>
        <x:v>OK</x:v>
      </x:c>
    </x:row>
    <x:row r="2061" hidden="1">
      <x:c r="A2061" s="312" t="n">
        <x:f>ROW()-ROW($A$2)+1</x:f>
        <x:v>2060</x:v>
      </x:c>
      <x:c r="B2061" s="312" t="s">
        <x:v>9</x:v>
      </x:c>
      <x:c r="C2061" s="312" t="s">
        <x:v>24</x:v>
      </x:c>
      <x:c r="D2061" s="317">
        <x:v>5</x:v>
      </x:c>
      <x:c r="E2061" s="321">
        <x:v>7600</x:v>
      </x:c>
      <x:c r="F2061" s="321">
        <x:v>38000</x:v>
      </x:c>
      <x:c r="G2061" s="321">
        <x:v>8000</x:v>
      </x:c>
      <x:c r="H2061" s="312" t="s">
        <x:v>63</x:v>
      </x:c>
      <x:c r="I2061" s="312" t="s">
        <x:v>46</x:v>
      </x:c>
      <x:c r="J2061" s="316" t="n">
        <x:f>IFERROR(G2061/F2061,0)</x:f>
        <x:v>0.21052631578947367</x:v>
      </x:c>
      <x:c r="K2061" s="312" t="str">
        <x:f>IF(B2061="Bilinmeyen Personel","Kontrol","OK")</x:f>
        <x:v>OK</x:v>
      </x:c>
    </x:row>
    <x:row r="2062" hidden="1">
      <x:c r="A2062" s="312" t="n">
        <x:f>ROW()-ROW($A$2)+1</x:f>
        <x:v>2061</x:v>
      </x:c>
      <x:c r="B2062" s="312" t="s">
        <x:v>16</x:v>
      </x:c>
      <x:c r="C2062" s="312" t="s">
        <x:v>26</x:v>
      </x:c>
      <x:c r="D2062" s="317">
        <x:v>2</x:v>
      </x:c>
      <x:c r="E2062" s="321">
        <x:v>7250</x:v>
      </x:c>
      <x:c r="F2062" s="321">
        <x:v>14500</x:v>
      </x:c>
      <x:c r="G2062" s="321">
        <x:v>4500</x:v>
      </x:c>
      <x:c r="H2062" s="312" t="s">
        <x:v>63</x:v>
      </x:c>
      <x:c r="I2062" s="312" t="s">
        <x:v>46</x:v>
      </x:c>
      <x:c r="J2062" s="316" t="n">
        <x:f>IFERROR(G2062/F2062,0)</x:f>
        <x:v>0.3103448275862069</x:v>
      </x:c>
      <x:c r="K2062" s="312" t="str">
        <x:f>IF(B2062="Bilinmeyen Personel","Kontrol","OK")</x:f>
        <x:v>OK</x:v>
      </x:c>
    </x:row>
    <x:row r="2063" hidden="1">
      <x:c r="A2063" s="312" t="n">
        <x:f>ROW()-ROW($A$2)+1</x:f>
        <x:v>2062</x:v>
      </x:c>
      <x:c r="B2063" s="312" t="s">
        <x:v>50</x:v>
      </x:c>
      <x:c r="C2063" s="312" t="s">
        <x:v>43</x:v>
      </x:c>
      <x:c r="D2063" s="317">
        <x:v>5</x:v>
      </x:c>
      <x:c r="E2063" s="321">
        <x:v>1490</x:v>
      </x:c>
      <x:c r="F2063" s="321">
        <x:v>7450</x:v>
      </x:c>
      <x:c r="G2063" s="321">
        <x:v>3450</x:v>
      </x:c>
      <x:c r="H2063" s="312" t="s">
        <x:v>63</x:v>
      </x:c>
      <x:c r="I2063" s="312" t="s">
        <x:v>54</x:v>
      </x:c>
      <x:c r="J2063" s="316" t="n">
        <x:f>IFERROR(G2063/F2063,0)</x:f>
        <x:v>0.46308724832214765</x:v>
      </x:c>
      <x:c r="K2063" s="312" t="str">
        <x:f>IF(B2063="Bilinmeyen Personel","Kontrol","OK")</x:f>
        <x:v>OK</x:v>
      </x:c>
    </x:row>
    <x:row r="2064" hidden="1">
      <x:c r="A2064" s="312" t="n">
        <x:f>ROW()-ROW($A$2)+1</x:f>
        <x:v>2063</x:v>
      </x:c>
      <x:c r="B2064" s="312" t="s">
        <x:v>19</x:v>
      </x:c>
      <x:c r="C2064" s="312" t="s">
        <x:v>43</x:v>
      </x:c>
      <x:c r="D2064" s="317">
        <x:v>4</x:v>
      </x:c>
      <x:c r="E2064" s="321">
        <x:v>1490</x:v>
      </x:c>
      <x:c r="F2064" s="321">
        <x:v>5960</x:v>
      </x:c>
      <x:c r="G2064" s="321">
        <x:v>2760</x:v>
      </x:c>
      <x:c r="H2064" s="312" t="s">
        <x:v>63</x:v>
      </x:c>
      <x:c r="I2064" s="312" t="s">
        <x:v>46</x:v>
      </x:c>
      <x:c r="J2064" s="316" t="n">
        <x:f>IFERROR(G2064/F2064,0)</x:f>
        <x:v>0.46308724832214765</x:v>
      </x:c>
      <x:c r="K2064" s="312" t="str">
        <x:f>IF(B2064="Bilinmeyen Personel","Kontrol","OK")</x:f>
        <x:v>OK</x:v>
      </x:c>
    </x:row>
    <x:row r="2065" hidden="1">
      <x:c r="A2065" s="312" t="n">
        <x:f>ROW()-ROW($A$2)+1</x:f>
        <x:v>2064</x:v>
      </x:c>
      <x:c r="B2065" s="312" t="s">
        <x:v>38</x:v>
      </x:c>
      <x:c r="C2065" s="312" t="s">
        <x:v>34</x:v>
      </x:c>
      <x:c r="D2065" s="317">
        <x:v>3</x:v>
      </x:c>
      <x:c r="E2065" s="321">
        <x:v>1090</x:v>
      </x:c>
      <x:c r="F2065" s="321">
        <x:v>3270</x:v>
      </x:c>
      <x:c r="G2065" s="321">
        <x:v>870</x:v>
      </x:c>
      <x:c r="H2065" s="312" t="s">
        <x:v>63</x:v>
      </x:c>
      <x:c r="I2065" s="312" t="s">
        <x:v>15</x:v>
      </x:c>
      <x:c r="J2065" s="316" t="n">
        <x:f>IFERROR(G2065/F2065,0)</x:f>
        <x:v>0.26605504587155965</x:v>
      </x:c>
      <x:c r="K2065" s="312" t="str">
        <x:f>IF(B2065="Bilinmeyen Personel","Kontrol","OK")</x:f>
        <x:v>OK</x:v>
      </x:c>
    </x:row>
    <x:row r="2066" hidden="1">
      <x:c r="A2066" s="312" t="n">
        <x:f>ROW()-ROW($A$2)+1</x:f>
        <x:v>2065</x:v>
      </x:c>
      <x:c r="B2066" s="312" t="s">
        <x:v>38</x:v>
      </x:c>
      <x:c r="C2066" s="312" t="s">
        <x:v>30</x:v>
      </x:c>
      <x:c r="D2066" s="317">
        <x:v>4</x:v>
      </x:c>
      <x:c r="E2066" s="321">
        <x:v>1200</x:v>
      </x:c>
      <x:c r="F2066" s="321">
        <x:v>4800</x:v>
      </x:c>
      <x:c r="G2066" s="321">
        <x:v>1600</x:v>
      </x:c>
      <x:c r="H2066" s="312" t="s">
        <x:v>63</x:v>
      </x:c>
      <x:c r="I2066" s="312" t="s">
        <x:v>15</x:v>
      </x:c>
      <x:c r="J2066" s="316" t="n">
        <x:f>IFERROR(G2066/F2066,0)</x:f>
        <x:v>0.3333333333333333</x:v>
      </x:c>
      <x:c r="K2066" s="312" t="str">
        <x:f>IF(B2066="Bilinmeyen Personel","Kontrol","OK")</x:f>
        <x:v>OK</x:v>
      </x:c>
    </x:row>
    <x:row r="2067" hidden="1">
      <x:c r="A2067" s="312" t="n">
        <x:f>ROW()-ROW($A$2)+1</x:f>
        <x:v>2066</x:v>
      </x:c>
      <x:c r="B2067" s="312" t="s">
        <x:v>50</x:v>
      </x:c>
      <x:c r="C2067" s="312" t="s">
        <x:v>34</x:v>
      </x:c>
      <x:c r="D2067" s="317">
        <x:v>3</x:v>
      </x:c>
      <x:c r="E2067" s="321">
        <x:v>1090</x:v>
      </x:c>
      <x:c r="F2067" s="321">
        <x:v>3270</x:v>
      </x:c>
      <x:c r="G2067" s="321">
        <x:v>870</x:v>
      </x:c>
      <x:c r="H2067" s="312" t="s">
        <x:v>63</x:v>
      </x:c>
      <x:c r="I2067" s="312" t="s">
        <x:v>41</x:v>
      </x:c>
      <x:c r="J2067" s="316" t="n">
        <x:f>IFERROR(G2067/F2067,0)</x:f>
        <x:v>0.26605504587155965</x:v>
      </x:c>
      <x:c r="K2067" s="312" t="str">
        <x:f>IF(B2067="Bilinmeyen Personel","Kontrol","OK")</x:f>
        <x:v>OK</x:v>
      </x:c>
    </x:row>
    <x:row r="2068" hidden="1">
      <x:c r="A2068" s="312" t="n">
        <x:f>ROW()-ROW($A$2)+1</x:f>
        <x:v>2067</x:v>
      </x:c>
      <x:c r="B2068" s="312" t="s">
        <x:v>50</x:v>
      </x:c>
      <x:c r="C2068" s="312" t="s">
        <x:v>22</x:v>
      </x:c>
      <x:c r="D2068" s="317">
        <x:v>4</x:v>
      </x:c>
      <x:c r="E2068" s="321">
        <x:v>2180</x:v>
      </x:c>
      <x:c r="F2068" s="321">
        <x:v>8720</x:v>
      </x:c>
      <x:c r="G2068" s="321">
        <x:v>2720</x:v>
      </x:c>
      <x:c r="H2068" s="312" t="s">
        <x:v>63</x:v>
      </x:c>
      <x:c r="I2068" s="312" t="s">
        <x:v>37</x:v>
      </x:c>
      <x:c r="J2068" s="316" t="n">
        <x:f>IFERROR(G2068/F2068,0)</x:f>
        <x:v>0.3119266055045872</x:v>
      </x:c>
      <x:c r="K2068" s="312" t="str">
        <x:f>IF(B2068="Bilinmeyen Personel","Kontrol","OK")</x:f>
        <x:v>OK</x:v>
      </x:c>
    </x:row>
    <x:row r="2069" hidden="1">
      <x:c r="A2069" s="312" t="n">
        <x:f>ROW()-ROW($A$2)+1</x:f>
        <x:v>2068</x:v>
      </x:c>
      <x:c r="B2069" s="312" t="s">
        <x:v>16</x:v>
      </x:c>
      <x:c r="C2069" s="312" t="s">
        <x:v>56</x:v>
      </x:c>
      <x:c r="D2069" s="317">
        <x:v>5</x:v>
      </x:c>
      <x:c r="E2069" s="321">
        <x:v>5300</x:v>
      </x:c>
      <x:c r="F2069" s="321">
        <x:v>26500</x:v>
      </x:c>
      <x:c r="G2069" s="321">
        <x:v>6500</x:v>
      </x:c>
      <x:c r="H2069" s="312" t="s">
        <x:v>63</x:v>
      </x:c>
      <x:c r="I2069" s="312" t="s">
        <x:v>46</x:v>
      </x:c>
      <x:c r="J2069" s="316" t="n">
        <x:f>IFERROR(G2069/F2069,0)</x:f>
        <x:v>0.24528301886792453</x:v>
      </x:c>
      <x:c r="K2069" s="312" t="str">
        <x:f>IF(B2069="Bilinmeyen Personel","Kontrol","OK")</x:f>
        <x:v>OK</x:v>
      </x:c>
    </x:row>
    <x:row r="2070" hidden="1">
      <x:c r="A2070" s="312" t="n">
        <x:f>ROW()-ROW($A$2)+1</x:f>
        <x:v>2069</x:v>
      </x:c>
      <x:c r="B2070" s="312" t="s">
        <x:v>50</x:v>
      </x:c>
      <x:c r="C2070" s="312" t="s">
        <x:v>56</x:v>
      </x:c>
      <x:c r="D2070" s="317">
        <x:v>4</x:v>
      </x:c>
      <x:c r="E2070" s="321">
        <x:v>5300</x:v>
      </x:c>
      <x:c r="F2070" s="321">
        <x:v>21200</x:v>
      </x:c>
      <x:c r="G2070" s="321">
        <x:v>5200</x:v>
      </x:c>
      <x:c r="H2070" s="312" t="s">
        <x:v>63</x:v>
      </x:c>
      <x:c r="I2070" s="312" t="s">
        <x:v>44</x:v>
      </x:c>
      <x:c r="J2070" s="316" t="n">
        <x:f>IFERROR(G2070/F2070,0)</x:f>
        <x:v>0.24528301886792453</x:v>
      </x:c>
      <x:c r="K2070" s="312" t="str">
        <x:f>IF(B2070="Bilinmeyen Personel","Kontrol","OK")</x:f>
        <x:v>OK</x:v>
      </x:c>
    </x:row>
    <x:row r="2071" hidden="1">
      <x:c r="A2071" s="312" t="n">
        <x:f>ROW()-ROW($A$2)+1</x:f>
        <x:v>2070</x:v>
      </x:c>
      <x:c r="B2071" s="312" t="s">
        <x:v>29</x:v>
      </x:c>
      <x:c r="C2071" s="312" t="s">
        <x:v>26</x:v>
      </x:c>
      <x:c r="D2071" s="317">
        <x:v>5</x:v>
      </x:c>
      <x:c r="E2071" s="321">
        <x:v>7250</x:v>
      </x:c>
      <x:c r="F2071" s="321">
        <x:v>36250</x:v>
      </x:c>
      <x:c r="G2071" s="321">
        <x:v>11250</x:v>
      </x:c>
      <x:c r="H2071" s="312" t="s">
        <x:v>63</x:v>
      </x:c>
      <x:c r="I2071" s="312" t="s">
        <x:v>21</x:v>
      </x:c>
      <x:c r="J2071" s="316" t="n">
        <x:f>IFERROR(G2071/F2071,0)</x:f>
        <x:v>0.3103448275862069</x:v>
      </x:c>
      <x:c r="K2071" s="312" t="str">
        <x:f>IF(B2071="Bilinmeyen Personel","Kontrol","OK")</x:f>
        <x:v>OK</x:v>
      </x:c>
    </x:row>
    <x:row r="2072" hidden="1">
      <x:c r="A2072" s="312" t="n">
        <x:f>ROW()-ROW($A$2)+1</x:f>
        <x:v>2071</x:v>
      </x:c>
      <x:c r="B2072" s="312" t="s">
        <x:v>29</x:v>
      </x:c>
      <x:c r="C2072" s="312" t="s">
        <x:v>53</x:v>
      </x:c>
      <x:c r="D2072" s="317">
        <x:v>4</x:v>
      </x:c>
      <x:c r="E2072" s="321">
        <x:v>1200</x:v>
      </x:c>
      <x:c r="F2072" s="321">
        <x:v>4800</x:v>
      </x:c>
      <x:c r="G2072" s="321">
        <x:v>1600</x:v>
      </x:c>
      <x:c r="H2072" s="312" t="s">
        <x:v>63</x:v>
      </x:c>
      <x:c r="I2072" s="312" t="s">
        <x:v>12</x:v>
      </x:c>
      <x:c r="J2072" s="316" t="n">
        <x:f>IFERROR(G2072/F2072,0)</x:f>
        <x:v>0.3333333333333333</x:v>
      </x:c>
      <x:c r="K2072" s="312" t="str">
        <x:f>IF(B2072="Bilinmeyen Personel","Kontrol","OK")</x:f>
        <x:v>OK</x:v>
      </x:c>
    </x:row>
    <x:row r="2073" hidden="1">
      <x:c r="A2073" s="312" t="n">
        <x:f>ROW()-ROW($A$2)+1</x:f>
        <x:v>2072</x:v>
      </x:c>
      <x:c r="B2073" s="312" t="s">
        <x:v>19</x:v>
      </x:c>
      <x:c r="C2073" s="312" t="s">
        <x:v>10</x:v>
      </x:c>
      <x:c r="D2073" s="317">
        <x:v>3</x:v>
      </x:c>
      <x:c r="E2073" s="321">
        <x:v>6000</x:v>
      </x:c>
      <x:c r="F2073" s="321">
        <x:v>18000</x:v>
      </x:c>
      <x:c r="G2073" s="321">
        <x:v>6000</x:v>
      </x:c>
      <x:c r="H2073" s="312" t="s">
        <x:v>63</x:v>
      </x:c>
      <x:c r="I2073" s="312" t="s">
        <x:v>12</x:v>
      </x:c>
      <x:c r="J2073" s="316" t="n">
        <x:f>IFERROR(G2073/F2073,0)</x:f>
        <x:v>0.3333333333333333</x:v>
      </x:c>
      <x:c r="K2073" s="312" t="str">
        <x:f>IF(B2073="Bilinmeyen Personel","Kontrol","OK")</x:f>
        <x:v>OK</x:v>
      </x:c>
    </x:row>
    <x:row r="2074" hidden="1">
      <x:c r="A2074" s="312" t="n">
        <x:f>ROW()-ROW($A$2)+1</x:f>
        <x:v>2073</x:v>
      </x:c>
      <x:c r="B2074" s="312" t="s">
        <x:v>16</x:v>
      </x:c>
      <x:c r="C2074" s="312" t="s">
        <x:v>17</x:v>
      </x:c>
      <x:c r="D2074" s="317">
        <x:v>5</x:v>
      </x:c>
      <x:c r="E2074" s="321">
        <x:v>8450</x:v>
      </x:c>
      <x:c r="F2074" s="321">
        <x:v>42250</x:v>
      </x:c>
      <x:c r="G2074" s="321">
        <x:v>12250</x:v>
      </x:c>
      <x:c r="H2074" s="312" t="s">
        <x:v>63</x:v>
      </x:c>
      <x:c r="I2074" s="312" t="s">
        <x:v>42</x:v>
      </x:c>
      <x:c r="J2074" s="316" t="n">
        <x:f>IFERROR(G2074/F2074,0)</x:f>
        <x:v>0.28994082840236685</x:v>
      </x:c>
      <x:c r="K2074" s="312" t="str">
        <x:f>IF(B2074="Bilinmeyen Personel","Kontrol","OK")</x:f>
        <x:v>OK</x:v>
      </x:c>
    </x:row>
    <x:row r="2075" hidden="1">
      <x:c r="A2075" s="312" t="n">
        <x:f>ROW()-ROW($A$2)+1</x:f>
        <x:v>2074</x:v>
      </x:c>
      <x:c r="B2075" s="312" t="s">
        <x:v>32</x:v>
      </x:c>
      <x:c r="C2075" s="312" t="s">
        <x:v>45</x:v>
      </x:c>
      <x:c r="D2075" s="317">
        <x:v>4</x:v>
      </x:c>
      <x:c r="E2075" s="321">
        <x:v>4200</x:v>
      </x:c>
      <x:c r="F2075" s="321">
        <x:v>16800</x:v>
      </x:c>
      <x:c r="G2075" s="321">
        <x:v>4800</x:v>
      </x:c>
      <x:c r="H2075" s="312" t="s">
        <x:v>63</x:v>
      </x:c>
      <x:c r="I2075" s="312" t="s">
        <x:v>15</x:v>
      </x:c>
      <x:c r="J2075" s="316" t="n">
        <x:f>IFERROR(G2075/F2075,0)</x:f>
        <x:v>0.2857142857142857</x:v>
      </x:c>
      <x:c r="K2075" s="312" t="str">
        <x:f>IF(B2075="Bilinmeyen Personel","Kontrol","OK")</x:f>
        <x:v>OK</x:v>
      </x:c>
    </x:row>
    <x:row r="2076" hidden="1">
      <x:c r="A2076" s="312" t="n">
        <x:f>ROW()-ROW($A$2)+1</x:f>
        <x:v>2075</x:v>
      </x:c>
      <x:c r="B2076" s="312" t="s">
        <x:v>32</x:v>
      </x:c>
      <x:c r="C2076" s="312" t="s">
        <x:v>39</x:v>
      </x:c>
      <x:c r="D2076" s="317">
        <x:v>4</x:v>
      </x:c>
      <x:c r="E2076" s="321">
        <x:v>10590</x:v>
      </x:c>
      <x:c r="F2076" s="321">
        <x:v>42360</x:v>
      </x:c>
      <x:c r="G2076" s="321">
        <x:v>18360</x:v>
      </x:c>
      <x:c r="H2076" s="312" t="s">
        <x:v>63</x:v>
      </x:c>
      <x:c r="I2076" s="312" t="s">
        <x:v>41</x:v>
      </x:c>
      <x:c r="J2076" s="316" t="n">
        <x:f>IFERROR(G2076/F2076,0)</x:f>
        <x:v>0.43342776203966005</x:v>
      </x:c>
      <x:c r="K2076" s="312" t="str">
        <x:f>IF(B2076="Bilinmeyen Personel","Kontrol","OK")</x:f>
        <x:v>OK</x:v>
      </x:c>
    </x:row>
    <x:row r="2077" hidden="1">
      <x:c r="A2077" s="312" t="n">
        <x:f>ROW()-ROW($A$2)+1</x:f>
        <x:v>2076</x:v>
      </x:c>
      <x:c r="B2077" s="312" t="s">
        <x:v>29</x:v>
      </x:c>
      <x:c r="C2077" s="312" t="s">
        <x:v>53</x:v>
      </x:c>
      <x:c r="D2077" s="317">
        <x:v>3</x:v>
      </x:c>
      <x:c r="E2077" s="321">
        <x:v>1200</x:v>
      </x:c>
      <x:c r="F2077" s="321">
        <x:v>3600</x:v>
      </x:c>
      <x:c r="G2077" s="321">
        <x:v>1200</x:v>
      </x:c>
      <x:c r="H2077" s="312" t="s">
        <x:v>63</x:v>
      </x:c>
      <x:c r="I2077" s="312" t="s">
        <x:v>37</x:v>
      </x:c>
      <x:c r="J2077" s="316" t="n">
        <x:f>IFERROR(G2077/F2077,0)</x:f>
        <x:v>0.3333333333333333</x:v>
      </x:c>
      <x:c r="K2077" s="312" t="str">
        <x:f>IF(B2077="Bilinmeyen Personel","Kontrol","OK")</x:f>
        <x:v>OK</x:v>
      </x:c>
    </x:row>
    <x:row r="2078" hidden="1">
      <x:c r="A2078" s="312" t="n">
        <x:f>ROW()-ROW($A$2)+1</x:f>
        <x:v>2077</x:v>
      </x:c>
      <x:c r="B2078" s="312" t="s">
        <x:v>48</x:v>
      </x:c>
      <x:c r="C2078" s="312" t="s">
        <x:v>27</x:v>
      </x:c>
      <x:c r="D2078" s="317">
        <x:v>4</x:v>
      </x:c>
      <x:c r="E2078" s="321">
        <x:v>1100</x:v>
      </x:c>
      <x:c r="F2078" s="321">
        <x:v>4400</x:v>
      </x:c>
      <x:c r="G2078" s="321">
        <x:v>1200</x:v>
      </x:c>
      <x:c r="H2078" s="312" t="s">
        <x:v>63</x:v>
      </x:c>
      <x:c r="I2078" s="312" t="s">
        <x:v>54</x:v>
      </x:c>
      <x:c r="J2078" s="316" t="n">
        <x:f>IFERROR(G2078/F2078,0)</x:f>
        <x:v>0.2727272727272727</x:v>
      </x:c>
      <x:c r="K2078" s="312" t="str">
        <x:f>IF(B2078="Bilinmeyen Personel","Kontrol","OK")</x:f>
        <x:v>OK</x:v>
      </x:c>
    </x:row>
    <x:row r="2079" hidden="1">
      <x:c r="A2079" s="312" t="n">
        <x:f>ROW()-ROW($A$2)+1</x:f>
        <x:v>2078</x:v>
      </x:c>
      <x:c r="B2079" s="312" t="s">
        <x:v>40</x:v>
      </x:c>
      <x:c r="C2079" s="312" t="s">
        <x:v>58</x:v>
      </x:c>
      <x:c r="D2079" s="317">
        <x:v>4</x:v>
      </x:c>
      <x:c r="E2079" s="321">
        <x:v>3700</x:v>
      </x:c>
      <x:c r="F2079" s="321">
        <x:v>14800</x:v>
      </x:c>
      <x:c r="G2079" s="321">
        <x:v>2800</x:v>
      </x:c>
      <x:c r="H2079" s="312" t="s">
        <x:v>63</x:v>
      </x:c>
      <x:c r="I2079" s="312" t="s">
        <x:v>31</x:v>
      </x:c>
      <x:c r="J2079" s="316" t="n">
        <x:f>IFERROR(G2079/F2079,0)</x:f>
        <x:v>0.1891891891891892</x:v>
      </x:c>
      <x:c r="K2079" s="312" t="str">
        <x:f>IF(B2079="Bilinmeyen Personel","Kontrol","OK")</x:f>
        <x:v>OK</x:v>
      </x:c>
    </x:row>
    <x:row r="2080" hidden="1">
      <x:c r="A2080" s="312" t="n">
        <x:f>ROW()-ROW($A$2)+1</x:f>
        <x:v>2079</x:v>
      </x:c>
      <x:c r="B2080" s="312" t="s">
        <x:v>13</x:v>
      </x:c>
      <x:c r="C2080" s="312" t="s">
        <x:v>58</x:v>
      </x:c>
      <x:c r="D2080" s="317">
        <x:v>3</x:v>
      </x:c>
      <x:c r="E2080" s="321">
        <x:v>3700</x:v>
      </x:c>
      <x:c r="F2080" s="321">
        <x:v>11100</x:v>
      </x:c>
      <x:c r="G2080" s="321">
        <x:v>2100</x:v>
      </x:c>
      <x:c r="H2080" s="312" t="s">
        <x:v>63</x:v>
      </x:c>
      <x:c r="I2080" s="312" t="s">
        <x:v>46</x:v>
      </x:c>
      <x:c r="J2080" s="316" t="n">
        <x:f>IFERROR(G2080/F2080,0)</x:f>
        <x:v>0.1891891891891892</x:v>
      </x:c>
      <x:c r="K2080" s="312" t="str">
        <x:f>IF(B2080="Bilinmeyen Personel","Kontrol","OK")</x:f>
        <x:v>OK</x:v>
      </x:c>
    </x:row>
    <x:row r="2081" hidden="1">
      <x:c r="A2081" s="312" t="n">
        <x:f>ROW()-ROW($A$2)+1</x:f>
        <x:v>2080</x:v>
      </x:c>
      <x:c r="B2081" s="312" t="s">
        <x:v>32</x:v>
      </x:c>
      <x:c r="C2081" s="312" t="s">
        <x:v>27</x:v>
      </x:c>
      <x:c r="D2081" s="317">
        <x:v>2</x:v>
      </x:c>
      <x:c r="E2081" s="321">
        <x:v>1100</x:v>
      </x:c>
      <x:c r="F2081" s="321">
        <x:v>2200</x:v>
      </x:c>
      <x:c r="G2081" s="321">
        <x:v>600</x:v>
      </x:c>
      <x:c r="H2081" s="312" t="s">
        <x:v>63</x:v>
      </x:c>
      <x:c r="I2081" s="312" t="s">
        <x:v>12</x:v>
      </x:c>
      <x:c r="J2081" s="316" t="n">
        <x:f>IFERROR(G2081/F2081,0)</x:f>
        <x:v>0.2727272727272727</x:v>
      </x:c>
      <x:c r="K2081" s="312" t="str">
        <x:f>IF(B2081="Bilinmeyen Personel","Kontrol","OK")</x:f>
        <x:v>OK</x:v>
      </x:c>
    </x:row>
    <x:row r="2082" hidden="1">
      <x:c r="A2082" s="312" t="n">
        <x:f>ROW()-ROW($A$2)+1</x:f>
        <x:v>2081</x:v>
      </x:c>
      <x:c r="B2082" s="312" t="s">
        <x:v>29</x:v>
      </x:c>
      <x:c r="C2082" s="312" t="s">
        <x:v>58</x:v>
      </x:c>
      <x:c r="D2082" s="317">
        <x:v>4</x:v>
      </x:c>
      <x:c r="E2082" s="321">
        <x:v>3700</x:v>
      </x:c>
      <x:c r="F2082" s="321">
        <x:v>14800</x:v>
      </x:c>
      <x:c r="G2082" s="321">
        <x:v>2800</x:v>
      </x:c>
      <x:c r="H2082" s="312" t="s">
        <x:v>63</x:v>
      </x:c>
      <x:c r="I2082" s="312" t="s">
        <x:v>21</x:v>
      </x:c>
      <x:c r="J2082" s="316" t="n">
        <x:f>IFERROR(G2082/F2082,0)</x:f>
        <x:v>0.1891891891891892</x:v>
      </x:c>
      <x:c r="K2082" s="312" t="str">
        <x:f>IF(B2082="Bilinmeyen Personel","Kontrol","OK")</x:f>
        <x:v>OK</x:v>
      </x:c>
    </x:row>
    <x:row r="2083" hidden="1">
      <x:c r="A2083" s="312" t="n">
        <x:f>ROW()-ROW($A$2)+1</x:f>
        <x:v>2082</x:v>
      </x:c>
      <x:c r="B2083" s="312" t="s">
        <x:v>48</x:v>
      </x:c>
      <x:c r="C2083" s="312" t="s">
        <x:v>43</x:v>
      </x:c>
      <x:c r="D2083" s="317">
        <x:v>2</x:v>
      </x:c>
      <x:c r="E2083" s="321">
        <x:v>1490</x:v>
      </x:c>
      <x:c r="F2083" s="321">
        <x:v>2980</x:v>
      </x:c>
      <x:c r="G2083" s="321">
        <x:v>1380</x:v>
      </x:c>
      <x:c r="H2083" s="312" t="s">
        <x:v>63</x:v>
      </x:c>
      <x:c r="I2083" s="312" t="s">
        <x:v>37</x:v>
      </x:c>
      <x:c r="J2083" s="316" t="n">
        <x:f>IFERROR(G2083/F2083,0)</x:f>
        <x:v>0.46308724832214765</x:v>
      </x:c>
      <x:c r="K2083" s="312" t="str">
        <x:f>IF(B2083="Bilinmeyen Personel","Kontrol","OK")</x:f>
        <x:v>OK</x:v>
      </x:c>
    </x:row>
    <x:row r="2084" hidden="1">
      <x:c r="A2084" s="312" t="n">
        <x:f>ROW()-ROW($A$2)+1</x:f>
        <x:v>2083</x:v>
      </x:c>
      <x:c r="B2084" s="312" t="s">
        <x:v>40</x:v>
      </x:c>
      <x:c r="C2084" s="312" t="s">
        <x:v>57</x:v>
      </x:c>
      <x:c r="D2084" s="317">
        <x:v>5</x:v>
      </x:c>
      <x:c r="E2084" s="321">
        <x:v>1500</x:v>
      </x:c>
      <x:c r="F2084" s="321">
        <x:v>7500</x:v>
      </x:c>
      <x:c r="G2084" s="321">
        <x:v>3500</x:v>
      </x:c>
      <x:c r="H2084" s="312" t="s">
        <x:v>63</x:v>
      </x:c>
      <x:c r="I2084" s="312" t="s">
        <x:v>44</x:v>
      </x:c>
      <x:c r="J2084" s="316" t="n">
        <x:f>IFERROR(G2084/F2084,0)</x:f>
        <x:v>0.4666666666666667</x:v>
      </x:c>
      <x:c r="K2084" s="312" t="str">
        <x:f>IF(B2084="Bilinmeyen Personel","Kontrol","OK")</x:f>
        <x:v>OK</x:v>
      </x:c>
    </x:row>
    <x:row r="2085" hidden="1">
      <x:c r="A2085" s="312" t="n">
        <x:f>ROW()-ROW($A$2)+1</x:f>
        <x:v>2084</x:v>
      </x:c>
      <x:c r="B2085" s="312" t="s">
        <x:v>38</x:v>
      </x:c>
      <x:c r="C2085" s="312" t="s">
        <x:v>34</x:v>
      </x:c>
      <x:c r="D2085" s="317">
        <x:v>5</x:v>
      </x:c>
      <x:c r="E2085" s="321">
        <x:v>1090</x:v>
      </x:c>
      <x:c r="F2085" s="321">
        <x:v>5450</x:v>
      </x:c>
      <x:c r="G2085" s="321">
        <x:v>1450</x:v>
      </x:c>
      <x:c r="H2085" s="312" t="s">
        <x:v>63</x:v>
      </x:c>
      <x:c r="I2085" s="312" t="s">
        <x:v>18</x:v>
      </x:c>
      <x:c r="J2085" s="316" t="n">
        <x:f>IFERROR(G2085/F2085,0)</x:f>
        <x:v>0.26605504587155965</x:v>
      </x:c>
      <x:c r="K2085" s="312" t="str">
        <x:f>IF(B2085="Bilinmeyen Personel","Kontrol","OK")</x:f>
        <x:v>OK</x:v>
      </x:c>
    </x:row>
    <x:row r="2086" hidden="1">
      <x:c r="A2086" s="312" t="n">
        <x:f>ROW()-ROW($A$2)+1</x:f>
        <x:v>2085</x:v>
      </x:c>
      <x:c r="B2086" s="312" t="s">
        <x:v>48</x:v>
      </x:c>
      <x:c r="C2086" s="312" t="s">
        <x:v>33</x:v>
      </x:c>
      <x:c r="D2086" s="317">
        <x:v>4</x:v>
      </x:c>
      <x:c r="E2086" s="321">
        <x:v>1800</x:v>
      </x:c>
      <x:c r="F2086" s="321">
        <x:v>7200</x:v>
      </x:c>
      <x:c r="G2086" s="321">
        <x:v>4000</x:v>
      </x:c>
      <x:c r="H2086" s="312" t="s">
        <x:v>63</x:v>
      </x:c>
      <x:c r="I2086" s="312" t="s">
        <x:v>18</x:v>
      </x:c>
      <x:c r="J2086" s="316" t="n">
        <x:f>IFERROR(G2086/F2086,0)</x:f>
        <x:v>0.5555555555555556</x:v>
      </x:c>
      <x:c r="K2086" s="312" t="str">
        <x:f>IF(B2086="Bilinmeyen Personel","Kontrol","OK")</x:f>
        <x:v>OK</x:v>
      </x:c>
    </x:row>
    <x:row r="2087" hidden="1">
      <x:c r="A2087" s="312" t="n">
        <x:f>ROW()-ROW($A$2)+1</x:f>
        <x:v>2086</x:v>
      </x:c>
      <x:c r="B2087" s="312" t="s">
        <x:v>35</x:v>
      </x:c>
      <x:c r="C2087" s="312" t="s">
        <x:v>55</x:v>
      </x:c>
      <x:c r="D2087" s="317">
        <x:v>3</x:v>
      </x:c>
      <x:c r="E2087" s="321">
        <x:v>7530</x:v>
      </x:c>
      <x:c r="F2087" s="321">
        <x:v>22590</x:v>
      </x:c>
      <x:c r="G2087" s="321">
        <x:v>4590</x:v>
      </x:c>
      <x:c r="H2087" s="312" t="s">
        <x:v>63</x:v>
      </x:c>
      <x:c r="I2087" s="312" t="s">
        <x:v>31</x:v>
      </x:c>
      <x:c r="J2087" s="316" t="n">
        <x:f>IFERROR(G2087/F2087,0)</x:f>
        <x:v>0.20318725099601595</x:v>
      </x:c>
      <x:c r="K2087" s="312" t="str">
        <x:f>IF(B2087="Bilinmeyen Personel","Kontrol","OK")</x:f>
        <x:v>OK</x:v>
      </x:c>
    </x:row>
    <x:row r="2088" hidden="1">
      <x:c r="A2088" s="312" t="n">
        <x:f>ROW()-ROW($A$2)+1</x:f>
        <x:v>2087</x:v>
      </x:c>
      <x:c r="B2088" s="312" t="s">
        <x:v>32</x:v>
      </x:c>
      <x:c r="C2088" s="312" t="s">
        <x:v>27</x:v>
      </x:c>
      <x:c r="D2088" s="317">
        <x:v>2</x:v>
      </x:c>
      <x:c r="E2088" s="321">
        <x:v>1100</x:v>
      </x:c>
      <x:c r="F2088" s="321">
        <x:v>2200</x:v>
      </x:c>
      <x:c r="G2088" s="321">
        <x:v>600</x:v>
      </x:c>
      <x:c r="H2088" s="312" t="s">
        <x:v>63</x:v>
      </x:c>
      <x:c r="I2088" s="312" t="s">
        <x:v>44</x:v>
      </x:c>
      <x:c r="J2088" s="316" t="n">
        <x:f>IFERROR(G2088/F2088,0)</x:f>
        <x:v>0.2727272727272727</x:v>
      </x:c>
      <x:c r="K2088" s="312" t="str">
        <x:f>IF(B2088="Bilinmeyen Personel","Kontrol","OK")</x:f>
        <x:v>OK</x:v>
      </x:c>
    </x:row>
    <x:row r="2089" hidden="1">
      <x:c r="A2089" s="312" t="n">
        <x:f>ROW()-ROW($A$2)+1</x:f>
        <x:v>2088</x:v>
      </x:c>
      <x:c r="B2089" s="312" t="s">
        <x:v>40</x:v>
      </x:c>
      <x:c r="C2089" s="312" t="s">
        <x:v>20</x:v>
      </x:c>
      <x:c r="D2089" s="317">
        <x:v>2</x:v>
      </x:c>
      <x:c r="E2089" s="321">
        <x:v>1350</x:v>
      </x:c>
      <x:c r="F2089" s="321">
        <x:v>2700</x:v>
      </x:c>
      <x:c r="G2089" s="321">
        <x:v>1100</x:v>
      </x:c>
      <x:c r="H2089" s="312" t="s">
        <x:v>63</x:v>
      </x:c>
      <x:c r="I2089" s="312" t="s">
        <x:v>44</x:v>
      </x:c>
      <x:c r="J2089" s="316" t="n">
        <x:f>IFERROR(G2089/F2089,0)</x:f>
        <x:v>0.4074074074074074</x:v>
      </x:c>
      <x:c r="K2089" s="312" t="str">
        <x:f>IF(B2089="Bilinmeyen Personel","Kontrol","OK")</x:f>
        <x:v>OK</x:v>
      </x:c>
    </x:row>
    <x:row r="2090" hidden="1">
      <x:c r="A2090" s="312" t="n">
        <x:f>ROW()-ROW($A$2)+1</x:f>
        <x:v>2089</x:v>
      </x:c>
      <x:c r="B2090" s="312" t="s">
        <x:v>38</x:v>
      </x:c>
      <x:c r="C2090" s="312" t="s">
        <x:v>20</x:v>
      </x:c>
      <x:c r="D2090" s="317">
        <x:v>5</x:v>
      </x:c>
      <x:c r="E2090" s="321">
        <x:v>1350</x:v>
      </x:c>
      <x:c r="F2090" s="321">
        <x:v>6750</x:v>
      </x:c>
      <x:c r="G2090" s="321">
        <x:v>2750</x:v>
      </x:c>
      <x:c r="H2090" s="312" t="s">
        <x:v>63</x:v>
      </x:c>
      <x:c r="I2090" s="312" t="s">
        <x:v>37</x:v>
      </x:c>
      <x:c r="J2090" s="316" t="n">
        <x:f>IFERROR(G2090/F2090,0)</x:f>
        <x:v>0.4074074074074074</x:v>
      </x:c>
      <x:c r="K2090" s="312" t="str">
        <x:f>IF(B2090="Bilinmeyen Personel","Kontrol","OK")</x:f>
        <x:v>OK</x:v>
      </x:c>
    </x:row>
    <x:row r="2091" hidden="1">
      <x:c r="A2091" s="312" t="n">
        <x:f>ROW()-ROW($A$2)+1</x:f>
        <x:v>2090</x:v>
      </x:c>
      <x:c r="B2091" s="312" t="s">
        <x:v>35</x:v>
      </x:c>
      <x:c r="C2091" s="312" t="s">
        <x:v>34</x:v>
      </x:c>
      <x:c r="D2091" s="317">
        <x:v>4</x:v>
      </x:c>
      <x:c r="E2091" s="321">
        <x:v>1090</x:v>
      </x:c>
      <x:c r="F2091" s="321">
        <x:v>4360</x:v>
      </x:c>
      <x:c r="G2091" s="321">
        <x:v>1160</x:v>
      </x:c>
      <x:c r="H2091" s="312" t="s">
        <x:v>63</x:v>
      </x:c>
      <x:c r="I2091" s="312" t="s">
        <x:v>54</x:v>
      </x:c>
      <x:c r="J2091" s="316" t="n">
        <x:f>IFERROR(G2091/F2091,0)</x:f>
        <x:v>0.26605504587155965</x:v>
      </x:c>
      <x:c r="K2091" s="312" t="str">
        <x:f>IF(B2091="Bilinmeyen Personel","Kontrol","OK")</x:f>
        <x:v>OK</x:v>
      </x:c>
    </x:row>
    <x:row r="2092" hidden="1">
      <x:c r="A2092" s="312" t="n">
        <x:f>ROW()-ROW($A$2)+1</x:f>
        <x:v>2091</x:v>
      </x:c>
      <x:c r="B2092" s="312" t="s">
        <x:v>35</x:v>
      </x:c>
      <x:c r="C2092" s="312" t="s">
        <x:v>45</x:v>
      </x:c>
      <x:c r="D2092" s="317">
        <x:v>3</x:v>
      </x:c>
      <x:c r="E2092" s="321">
        <x:v>4200</x:v>
      </x:c>
      <x:c r="F2092" s="321">
        <x:v>12600</x:v>
      </x:c>
      <x:c r="G2092" s="321">
        <x:v>3600</x:v>
      </x:c>
      <x:c r="H2092" s="312" t="s">
        <x:v>63</x:v>
      </x:c>
      <x:c r="I2092" s="312" t="s">
        <x:v>28</x:v>
      </x:c>
      <x:c r="J2092" s="316" t="n">
        <x:f>IFERROR(G2092/F2092,0)</x:f>
        <x:v>0.2857142857142857</x:v>
      </x:c>
      <x:c r="K2092" s="312" t="str">
        <x:f>IF(B2092="Bilinmeyen Personel","Kontrol","OK")</x:f>
        <x:v>OK</x:v>
      </x:c>
    </x:row>
    <x:row r="2093" hidden="1">
      <x:c r="A2093" s="312" t="n">
        <x:f>ROW()-ROW($A$2)+1</x:f>
        <x:v>2092</x:v>
      </x:c>
      <x:c r="B2093" s="312" t="s">
        <x:v>40</x:v>
      </x:c>
      <x:c r="C2093" s="312" t="s">
        <x:v>33</x:v>
      </x:c>
      <x:c r="D2093" s="317">
        <x:v>5</x:v>
      </x:c>
      <x:c r="E2093" s="321">
        <x:v>1800</x:v>
      </x:c>
      <x:c r="F2093" s="321">
        <x:v>9000</x:v>
      </x:c>
      <x:c r="G2093" s="321">
        <x:v>5000</x:v>
      </x:c>
      <x:c r="H2093" s="312" t="s">
        <x:v>63</x:v>
      </x:c>
      <x:c r="I2093" s="312" t="s">
        <x:v>37</x:v>
      </x:c>
      <x:c r="J2093" s="316" t="n">
        <x:f>IFERROR(G2093/F2093,0)</x:f>
        <x:v>0.5555555555555556</x:v>
      </x:c>
      <x:c r="K2093" s="312" t="str">
        <x:f>IF(B2093="Bilinmeyen Personel","Kontrol","OK")</x:f>
        <x:v>OK</x:v>
      </x:c>
    </x:row>
    <x:row r="2094" hidden="1">
      <x:c r="A2094" s="312" t="n">
        <x:f>ROW()-ROW($A$2)+1</x:f>
        <x:v>2093</x:v>
      </x:c>
      <x:c r="B2094" s="312" t="s">
        <x:v>50</x:v>
      </x:c>
      <x:c r="C2094" s="312" t="s">
        <x:v>34</x:v>
      </x:c>
      <x:c r="D2094" s="317">
        <x:v>5</x:v>
      </x:c>
      <x:c r="E2094" s="321">
        <x:v>1090</x:v>
      </x:c>
      <x:c r="F2094" s="321">
        <x:v>5450</x:v>
      </x:c>
      <x:c r="G2094" s="321">
        <x:v>1450</x:v>
      </x:c>
      <x:c r="H2094" s="312" t="s">
        <x:v>63</x:v>
      </x:c>
      <x:c r="I2094" s="312" t="s">
        <x:v>44</x:v>
      </x:c>
      <x:c r="J2094" s="316" t="n">
        <x:f>IFERROR(G2094/F2094,0)</x:f>
        <x:v>0.26605504587155965</x:v>
      </x:c>
      <x:c r="K2094" s="312" t="str">
        <x:f>IF(B2094="Bilinmeyen Personel","Kontrol","OK")</x:f>
        <x:v>OK</x:v>
      </x:c>
    </x:row>
    <x:row r="2095" hidden="1">
      <x:c r="A2095" s="312" t="n">
        <x:f>ROW()-ROW($A$2)+1</x:f>
        <x:v>2094</x:v>
      </x:c>
      <x:c r="B2095" s="312" t="s">
        <x:v>9</x:v>
      </x:c>
      <x:c r="C2095" s="312" t="s">
        <x:v>24</x:v>
      </x:c>
      <x:c r="D2095" s="317">
        <x:v>3</x:v>
      </x:c>
      <x:c r="E2095" s="321">
        <x:v>7600</x:v>
      </x:c>
      <x:c r="F2095" s="321">
        <x:v>22800</x:v>
      </x:c>
      <x:c r="G2095" s="321">
        <x:v>4800</x:v>
      </x:c>
      <x:c r="H2095" s="312" t="s">
        <x:v>63</x:v>
      </x:c>
      <x:c r="I2095" s="312" t="s">
        <x:v>54</x:v>
      </x:c>
      <x:c r="J2095" s="316" t="n">
        <x:f>IFERROR(G2095/F2095,0)</x:f>
        <x:v>0.21052631578947367</x:v>
      </x:c>
      <x:c r="K2095" s="312" t="str">
        <x:f>IF(B2095="Bilinmeyen Personel","Kontrol","OK")</x:f>
        <x:v>OK</x:v>
      </x:c>
    </x:row>
    <x:row r="2096" hidden="1">
      <x:c r="A2096" s="312" t="n">
        <x:f>ROW()-ROW($A$2)+1</x:f>
        <x:v>2095</x:v>
      </x:c>
      <x:c r="B2096" s="312" t="s">
        <x:v>38</x:v>
      </x:c>
      <x:c r="C2096" s="312" t="s">
        <x:v>24</x:v>
      </x:c>
      <x:c r="D2096" s="317">
        <x:v>5</x:v>
      </x:c>
      <x:c r="E2096" s="321">
        <x:v>7600</x:v>
      </x:c>
      <x:c r="F2096" s="321">
        <x:v>38000</x:v>
      </x:c>
      <x:c r="G2096" s="321">
        <x:v>8000</x:v>
      </x:c>
      <x:c r="H2096" s="312" t="s">
        <x:v>63</x:v>
      </x:c>
      <x:c r="I2096" s="312" t="s">
        <x:v>15</x:v>
      </x:c>
      <x:c r="J2096" s="316" t="n">
        <x:f>IFERROR(G2096/F2096,0)</x:f>
        <x:v>0.21052631578947367</x:v>
      </x:c>
      <x:c r="K2096" s="312" t="str">
        <x:f>IF(B2096="Bilinmeyen Personel","Kontrol","OK")</x:f>
        <x:v>OK</x:v>
      </x:c>
    </x:row>
    <x:row r="2097" hidden="1">
      <x:c r="A2097" s="312" t="n">
        <x:f>ROW()-ROW($A$2)+1</x:f>
        <x:v>2096</x:v>
      </x:c>
      <x:c r="B2097" s="312" t="s">
        <x:v>16</x:v>
      </x:c>
      <x:c r="C2097" s="312" t="s">
        <x:v>58</x:v>
      </x:c>
      <x:c r="D2097" s="317">
        <x:v>5</x:v>
      </x:c>
      <x:c r="E2097" s="321">
        <x:v>3700</x:v>
      </x:c>
      <x:c r="F2097" s="321">
        <x:v>18500</x:v>
      </x:c>
      <x:c r="G2097" s="321">
        <x:v>3500</x:v>
      </x:c>
      <x:c r="H2097" s="312" t="s">
        <x:v>63</x:v>
      </x:c>
      <x:c r="I2097" s="312" t="s">
        <x:v>12</x:v>
      </x:c>
      <x:c r="J2097" s="316" t="n">
        <x:f>IFERROR(G2097/F2097,0)</x:f>
        <x:v>0.1891891891891892</x:v>
      </x:c>
      <x:c r="K2097" s="312" t="str">
        <x:f>IF(B2097="Bilinmeyen Personel","Kontrol","OK")</x:f>
        <x:v>OK</x:v>
      </x:c>
    </x:row>
    <x:row r="2098" hidden="1">
      <x:c r="A2098" s="312" t="n">
        <x:f>ROW()-ROW($A$2)+1</x:f>
        <x:v>2097</x:v>
      </x:c>
      <x:c r="B2098" s="312" t="s">
        <x:v>23</x:v>
      </x:c>
      <x:c r="C2098" s="312" t="s">
        <x:v>26</x:v>
      </x:c>
      <x:c r="D2098" s="317">
        <x:v>2</x:v>
      </x:c>
      <x:c r="E2098" s="321">
        <x:v>7250</x:v>
      </x:c>
      <x:c r="F2098" s="321">
        <x:v>14500</x:v>
      </x:c>
      <x:c r="G2098" s="321">
        <x:v>4500</x:v>
      </x:c>
      <x:c r="H2098" s="312" t="s">
        <x:v>63</x:v>
      </x:c>
      <x:c r="I2098" s="312" t="s">
        <x:v>28</x:v>
      </x:c>
      <x:c r="J2098" s="316" t="n">
        <x:f>IFERROR(G2098/F2098,0)</x:f>
        <x:v>0.3103448275862069</x:v>
      </x:c>
      <x:c r="K2098" s="312" t="str">
        <x:f>IF(B2098="Bilinmeyen Personel","Kontrol","OK")</x:f>
        <x:v>OK</x:v>
      </x:c>
    </x:row>
    <x:row r="2099" hidden="1">
      <x:c r="A2099" s="312" t="n">
        <x:f>ROW()-ROW($A$2)+1</x:f>
        <x:v>2098</x:v>
      </x:c>
      <x:c r="B2099" s="312" t="s">
        <x:v>13</x:v>
      </x:c>
      <x:c r="C2099" s="312" t="s">
        <x:v>24</x:v>
      </x:c>
      <x:c r="D2099" s="317">
        <x:v>5</x:v>
      </x:c>
      <x:c r="E2099" s="321">
        <x:v>7600</x:v>
      </x:c>
      <x:c r="F2099" s="321">
        <x:v>38000</x:v>
      </x:c>
      <x:c r="G2099" s="321">
        <x:v>8000</x:v>
      </x:c>
      <x:c r="H2099" s="312" t="s">
        <x:v>63</x:v>
      </x:c>
      <x:c r="I2099" s="312" t="s">
        <x:v>41</x:v>
      </x:c>
      <x:c r="J2099" s="316" t="n">
        <x:f>IFERROR(G2099/F2099,0)</x:f>
        <x:v>0.21052631578947367</x:v>
      </x:c>
      <x:c r="K2099" s="312" t="str">
        <x:f>IF(B2099="Bilinmeyen Personel","Kontrol","OK")</x:f>
        <x:v>OK</x:v>
      </x:c>
    </x:row>
    <x:row r="2100" hidden="1">
      <x:c r="A2100" s="312" t="n">
        <x:f>ROW()-ROW($A$2)+1</x:f>
        <x:v>2099</x:v>
      </x:c>
      <x:c r="B2100" s="312" t="s">
        <x:v>48</x:v>
      </x:c>
      <x:c r="C2100" s="312" t="s">
        <x:v>45</x:v>
      </x:c>
      <x:c r="D2100" s="317">
        <x:v>5</x:v>
      </x:c>
      <x:c r="E2100" s="321">
        <x:v>4200</x:v>
      </x:c>
      <x:c r="F2100" s="321">
        <x:v>21000</x:v>
      </x:c>
      <x:c r="G2100" s="321">
        <x:v>6000</x:v>
      </x:c>
      <x:c r="H2100" s="312" t="s">
        <x:v>63</x:v>
      </x:c>
      <x:c r="I2100" s="312" t="s">
        <x:v>37</x:v>
      </x:c>
      <x:c r="J2100" s="316" t="n">
        <x:f>IFERROR(G2100/F2100,0)</x:f>
        <x:v>0.2857142857142857</x:v>
      </x:c>
      <x:c r="K2100" s="312" t="str">
        <x:f>IF(B2100="Bilinmeyen Personel","Kontrol","OK")</x:f>
        <x:v>OK</x:v>
      </x:c>
    </x:row>
    <x:row r="2101" hidden="1">
      <x:c r="A2101" s="312" t="n">
        <x:f>ROW()-ROW($A$2)+1</x:f>
        <x:v>2100</x:v>
      </x:c>
      <x:c r="B2101" s="312" t="s">
        <x:v>32</x:v>
      </x:c>
      <x:c r="C2101" s="312" t="s">
        <x:v>52</x:v>
      </x:c>
      <x:c r="D2101" s="317">
        <x:v>5</x:v>
      </x:c>
      <x:c r="E2101" s="321">
        <x:v>1250</x:v>
      </x:c>
      <x:c r="F2101" s="321">
        <x:v>6250</x:v>
      </x:c>
      <x:c r="G2101" s="321">
        <x:v>2250</x:v>
      </x:c>
      <x:c r="H2101" s="312" t="s">
        <x:v>63</x:v>
      </x:c>
      <x:c r="I2101" s="312" t="s">
        <x:v>37</x:v>
      </x:c>
      <x:c r="J2101" s="316" t="n">
        <x:f>IFERROR(G2101/F2101,0)</x:f>
        <x:v>0.36</x:v>
      </x:c>
      <x:c r="K2101" s="312" t="str">
        <x:f>IF(B2101="Bilinmeyen Personel","Kontrol","OK")</x:f>
        <x:v>OK</x:v>
      </x:c>
    </x:row>
    <x:row r="2102" hidden="1">
      <x:c r="A2102" s="312" t="n">
        <x:f>ROW()-ROW($A$2)+1</x:f>
        <x:v>2101</x:v>
      </x:c>
      <x:c r="B2102" s="312" t="s">
        <x:v>38</x:v>
      </x:c>
      <x:c r="C2102" s="312" t="s">
        <x:v>34</x:v>
      </x:c>
      <x:c r="D2102" s="317">
        <x:v>2</x:v>
      </x:c>
      <x:c r="E2102" s="321">
        <x:v>1090</x:v>
      </x:c>
      <x:c r="F2102" s="321">
        <x:v>2180</x:v>
      </x:c>
      <x:c r="G2102" s="321">
        <x:v>580</x:v>
      </x:c>
      <x:c r="H2102" s="312" t="s">
        <x:v>63</x:v>
      </x:c>
      <x:c r="I2102" s="312" t="s">
        <x:v>31</x:v>
      </x:c>
      <x:c r="J2102" s="316" t="n">
        <x:f>IFERROR(G2102/F2102,0)</x:f>
        <x:v>0.26605504587155965</x:v>
      </x:c>
      <x:c r="K2102" s="312" t="str">
        <x:f>IF(B2102="Bilinmeyen Personel","Kontrol","OK")</x:f>
        <x:v>OK</x:v>
      </x:c>
    </x:row>
    <x:row r="2103" hidden="1">
      <x:c r="A2103" s="312" t="n">
        <x:f>ROW()-ROW($A$2)+1</x:f>
        <x:v>2102</x:v>
      </x:c>
      <x:c r="B2103" s="312" t="s">
        <x:v>19</x:v>
      </x:c>
      <x:c r="C2103" s="312" t="s">
        <x:v>22</x:v>
      </x:c>
      <x:c r="D2103" s="317">
        <x:v>5</x:v>
      </x:c>
      <x:c r="E2103" s="321">
        <x:v>2180</x:v>
      </x:c>
      <x:c r="F2103" s="321">
        <x:v>10900</x:v>
      </x:c>
      <x:c r="G2103" s="321">
        <x:v>3400</x:v>
      </x:c>
      <x:c r="H2103" s="312" t="s">
        <x:v>63</x:v>
      </x:c>
      <x:c r="I2103" s="312" t="s">
        <x:v>41</x:v>
      </x:c>
      <x:c r="J2103" s="316" t="n">
        <x:f>IFERROR(G2103/F2103,0)</x:f>
        <x:v>0.3119266055045872</x:v>
      </x:c>
      <x:c r="K2103" s="312" t="str">
        <x:f>IF(B2103="Bilinmeyen Personel","Kontrol","OK")</x:f>
        <x:v>OK</x:v>
      </x:c>
    </x:row>
    <x:row r="2104" hidden="1">
      <x:c r="A2104" s="312" t="n">
        <x:f>ROW()-ROW($A$2)+1</x:f>
        <x:v>2103</x:v>
      </x:c>
      <x:c r="B2104" s="312" t="s">
        <x:v>50</x:v>
      </x:c>
      <x:c r="C2104" s="312" t="s">
        <x:v>58</x:v>
      </x:c>
      <x:c r="D2104" s="317">
        <x:v>5</x:v>
      </x:c>
      <x:c r="E2104" s="321">
        <x:v>3700</x:v>
      </x:c>
      <x:c r="F2104" s="321">
        <x:v>18500</x:v>
      </x:c>
      <x:c r="G2104" s="321">
        <x:v>3500</x:v>
      </x:c>
      <x:c r="H2104" s="312" t="s">
        <x:v>63</x:v>
      </x:c>
      <x:c r="I2104" s="312" t="s">
        <x:v>12</x:v>
      </x:c>
      <x:c r="J2104" s="316" t="n">
        <x:f>IFERROR(G2104/F2104,0)</x:f>
        <x:v>0.1891891891891892</x:v>
      </x:c>
      <x:c r="K2104" s="312" t="str">
        <x:f>IF(B2104="Bilinmeyen Personel","Kontrol","OK")</x:f>
        <x:v>OK</x:v>
      </x:c>
    </x:row>
    <x:row r="2105" hidden="1">
      <x:c r="A2105" s="312" t="n">
        <x:f>ROW()-ROW($A$2)+1</x:f>
        <x:v>2104</x:v>
      </x:c>
      <x:c r="B2105" s="312" t="s">
        <x:v>40</x:v>
      </x:c>
      <x:c r="C2105" s="312" t="s">
        <x:v>10</x:v>
      </x:c>
      <x:c r="D2105" s="317">
        <x:v>2</x:v>
      </x:c>
      <x:c r="E2105" s="321">
        <x:v>6000</x:v>
      </x:c>
      <x:c r="F2105" s="321">
        <x:v>12000</x:v>
      </x:c>
      <x:c r="G2105" s="321">
        <x:v>4000</x:v>
      </x:c>
      <x:c r="H2105" s="312" t="s">
        <x:v>63</x:v>
      </x:c>
      <x:c r="I2105" s="312" t="s">
        <x:v>18</x:v>
      </x:c>
      <x:c r="J2105" s="316" t="n">
        <x:f>IFERROR(G2105/F2105,0)</x:f>
        <x:v>0.3333333333333333</x:v>
      </x:c>
      <x:c r="K2105" s="312" t="str">
        <x:f>IF(B2105="Bilinmeyen Personel","Kontrol","OK")</x:f>
        <x:v>OK</x:v>
      </x:c>
    </x:row>
    <x:row r="2106" hidden="1">
      <x:c r="A2106" s="312" t="n">
        <x:f>ROW()-ROW($A$2)+1</x:f>
        <x:v>2105</x:v>
      </x:c>
      <x:c r="B2106" s="312" t="s">
        <x:v>48</x:v>
      </x:c>
      <x:c r="C2106" s="312" t="s">
        <x:v>52</x:v>
      </x:c>
      <x:c r="D2106" s="317">
        <x:v>3</x:v>
      </x:c>
      <x:c r="E2106" s="321">
        <x:v>1250</x:v>
      </x:c>
      <x:c r="F2106" s="321">
        <x:v>3750</x:v>
      </x:c>
      <x:c r="G2106" s="321">
        <x:v>1350</x:v>
      </x:c>
      <x:c r="H2106" s="312" t="s">
        <x:v>63</x:v>
      </x:c>
      <x:c r="I2106" s="312" t="s">
        <x:v>46</x:v>
      </x:c>
      <x:c r="J2106" s="316" t="n">
        <x:f>IFERROR(G2106/F2106,0)</x:f>
        <x:v>0.36</x:v>
      </x:c>
      <x:c r="K2106" s="312" t="str">
        <x:f>IF(B2106="Bilinmeyen Personel","Kontrol","OK")</x:f>
        <x:v>OK</x:v>
      </x:c>
    </x:row>
    <x:row r="2107" hidden="1">
      <x:c r="A2107" s="312" t="n">
        <x:f>ROW()-ROW($A$2)+1</x:f>
        <x:v>2106</x:v>
      </x:c>
      <x:c r="B2107" s="312" t="s">
        <x:v>50</x:v>
      </x:c>
      <x:c r="C2107" s="312" t="s">
        <x:v>24</x:v>
      </x:c>
      <x:c r="D2107" s="317">
        <x:v>3</x:v>
      </x:c>
      <x:c r="E2107" s="321">
        <x:v>7600</x:v>
      </x:c>
      <x:c r="F2107" s="321">
        <x:v>22800</x:v>
      </x:c>
      <x:c r="G2107" s="321">
        <x:v>4800</x:v>
      </x:c>
      <x:c r="H2107" s="312" t="s">
        <x:v>63</x:v>
      </x:c>
      <x:c r="I2107" s="312" t="s">
        <x:v>25</x:v>
      </x:c>
      <x:c r="J2107" s="316" t="n">
        <x:f>IFERROR(G2107/F2107,0)</x:f>
        <x:v>0.21052631578947367</x:v>
      </x:c>
      <x:c r="K2107" s="312" t="str">
        <x:f>IF(B2107="Bilinmeyen Personel","Kontrol","OK")</x:f>
        <x:v>OK</x:v>
      </x:c>
    </x:row>
    <x:row r="2108" hidden="1">
      <x:c r="A2108" s="312" t="n">
        <x:f>ROW()-ROW($A$2)+1</x:f>
        <x:v>2107</x:v>
      </x:c>
      <x:c r="B2108" s="312" t="s">
        <x:v>9</x:v>
      </x:c>
      <x:c r="C2108" s="312" t="s">
        <x:v>14</x:v>
      </x:c>
      <x:c r="D2108" s="317">
        <x:v>5</x:v>
      </x:c>
      <x:c r="E2108" s="321">
        <x:v>1400</x:v>
      </x:c>
      <x:c r="F2108" s="321">
        <x:v>7000</x:v>
      </x:c>
      <x:c r="G2108" s="321">
        <x:v>3000</x:v>
      </x:c>
      <x:c r="H2108" s="312" t="s">
        <x:v>63</x:v>
      </x:c>
      <x:c r="I2108" s="312" t="s">
        <x:v>15</x:v>
      </x:c>
      <x:c r="J2108" s="316" t="n">
        <x:f>IFERROR(G2108/F2108,0)</x:f>
        <x:v>0.42857142857142855</x:v>
      </x:c>
      <x:c r="K2108" s="312" t="str">
        <x:f>IF(B2108="Bilinmeyen Personel","Kontrol","OK")</x:f>
        <x:v>OK</x:v>
      </x:c>
    </x:row>
    <x:row r="2109" hidden="1">
      <x:c r="A2109" s="312" t="n">
        <x:f>ROW()-ROW($A$2)+1</x:f>
        <x:v>2108</x:v>
      </x:c>
      <x:c r="B2109" s="312" t="s">
        <x:v>23</x:v>
      </x:c>
      <x:c r="C2109" s="312" t="s">
        <x:v>22</x:v>
      </x:c>
      <x:c r="D2109" s="317">
        <x:v>2</x:v>
      </x:c>
      <x:c r="E2109" s="321">
        <x:v>2180</x:v>
      </x:c>
      <x:c r="F2109" s="321">
        <x:v>4360</x:v>
      </x:c>
      <x:c r="G2109" s="321">
        <x:v>1360</x:v>
      </x:c>
      <x:c r="H2109" s="312" t="s">
        <x:v>63</x:v>
      </x:c>
      <x:c r="I2109" s="312" t="s">
        <x:v>46</x:v>
      </x:c>
      <x:c r="J2109" s="316" t="n">
        <x:f>IFERROR(G2109/F2109,0)</x:f>
        <x:v>0.3119266055045872</x:v>
      </x:c>
      <x:c r="K2109" s="312" t="str">
        <x:f>IF(B2109="Bilinmeyen Personel","Kontrol","OK")</x:f>
        <x:v>OK</x:v>
      </x:c>
    </x:row>
    <x:row r="2110" hidden="1">
      <x:c r="A2110" s="312" t="n">
        <x:f>ROW()-ROW($A$2)+1</x:f>
        <x:v>2109</x:v>
      </x:c>
      <x:c r="B2110" s="312" t="s">
        <x:v>9</x:v>
      </x:c>
      <x:c r="C2110" s="312" t="s">
        <x:v>33</x:v>
      </x:c>
      <x:c r="D2110" s="317">
        <x:v>4</x:v>
      </x:c>
      <x:c r="E2110" s="321">
        <x:v>1800</x:v>
      </x:c>
      <x:c r="F2110" s="321">
        <x:v>7200</x:v>
      </x:c>
      <x:c r="G2110" s="321">
        <x:v>4000</x:v>
      </x:c>
      <x:c r="H2110" s="312" t="s">
        <x:v>63</x:v>
      </x:c>
      <x:c r="I2110" s="312" t="s">
        <x:v>18</x:v>
      </x:c>
      <x:c r="J2110" s="316" t="n">
        <x:f>IFERROR(G2110/F2110,0)</x:f>
        <x:v>0.5555555555555556</x:v>
      </x:c>
      <x:c r="K2110" s="312" t="str">
        <x:f>IF(B2110="Bilinmeyen Personel","Kontrol","OK")</x:f>
        <x:v>OK</x:v>
      </x:c>
    </x:row>
    <x:row r="2111" hidden="1">
      <x:c r="A2111" s="312" t="n">
        <x:f>ROW()-ROW($A$2)+1</x:f>
        <x:v>2110</x:v>
      </x:c>
      <x:c r="B2111" s="312" t="s">
        <x:v>16</x:v>
      </x:c>
      <x:c r="C2111" s="312" t="s">
        <x:v>57</x:v>
      </x:c>
      <x:c r="D2111" s="317">
        <x:v>4</x:v>
      </x:c>
      <x:c r="E2111" s="321">
        <x:v>1500</x:v>
      </x:c>
      <x:c r="F2111" s="321">
        <x:v>6000</x:v>
      </x:c>
      <x:c r="G2111" s="321">
        <x:v>2800</x:v>
      </x:c>
      <x:c r="H2111" s="312" t="s">
        <x:v>63</x:v>
      </x:c>
      <x:c r="I2111" s="312" t="s">
        <x:v>46</x:v>
      </x:c>
      <x:c r="J2111" s="316" t="n">
        <x:f>IFERROR(G2111/F2111,0)</x:f>
        <x:v>0.4666666666666667</x:v>
      </x:c>
      <x:c r="K2111" s="312" t="str">
        <x:f>IF(B2111="Bilinmeyen Personel","Kontrol","OK")</x:f>
        <x:v>OK</x:v>
      </x:c>
    </x:row>
    <x:row r="2112" hidden="1">
      <x:c r="A2112" s="312" t="n">
        <x:f>ROW()-ROW($A$2)+1</x:f>
        <x:v>2111</x:v>
      </x:c>
      <x:c r="B2112" s="312" t="s">
        <x:v>32</x:v>
      </x:c>
      <x:c r="C2112" s="312" t="s">
        <x:v>17</x:v>
      </x:c>
      <x:c r="D2112" s="317">
        <x:v>2</x:v>
      </x:c>
      <x:c r="E2112" s="321">
        <x:v>8450</x:v>
      </x:c>
      <x:c r="F2112" s="321">
        <x:v>16900</x:v>
      </x:c>
      <x:c r="G2112" s="321">
        <x:v>4900</x:v>
      </x:c>
      <x:c r="H2112" s="312" t="s">
        <x:v>63</x:v>
      </x:c>
      <x:c r="I2112" s="312" t="s">
        <x:v>21</x:v>
      </x:c>
      <x:c r="J2112" s="316" t="n">
        <x:f>IFERROR(G2112/F2112,0)</x:f>
        <x:v>0.28994082840236685</x:v>
      </x:c>
      <x:c r="K2112" s="312" t="str">
        <x:f>IF(B2112="Bilinmeyen Personel","Kontrol","OK")</x:f>
        <x:v>OK</x:v>
      </x:c>
    </x:row>
    <x:row r="2113" hidden="1">
      <x:c r="A2113" s="312" t="n">
        <x:f>ROW()-ROW($A$2)+1</x:f>
        <x:v>2112</x:v>
      </x:c>
      <x:c r="B2113" s="312" t="s">
        <x:v>40</x:v>
      </x:c>
      <x:c r="C2113" s="312" t="s">
        <x:v>57</x:v>
      </x:c>
      <x:c r="D2113" s="317">
        <x:v>2</x:v>
      </x:c>
      <x:c r="E2113" s="321">
        <x:v>1500</x:v>
      </x:c>
      <x:c r="F2113" s="321">
        <x:v>3000</x:v>
      </x:c>
      <x:c r="G2113" s="321">
        <x:v>1400</x:v>
      </x:c>
      <x:c r="H2113" s="312" t="s">
        <x:v>63</x:v>
      </x:c>
      <x:c r="I2113" s="312" t="s">
        <x:v>12</x:v>
      </x:c>
      <x:c r="J2113" s="316" t="n">
        <x:f>IFERROR(G2113/F2113,0)</x:f>
        <x:v>0.4666666666666667</x:v>
      </x:c>
      <x:c r="K2113" s="312" t="str">
        <x:f>IF(B2113="Bilinmeyen Personel","Kontrol","OK")</x:f>
        <x:v>OK</x:v>
      </x:c>
    </x:row>
    <x:row r="2114" hidden="1">
      <x:c r="A2114" s="312" t="n">
        <x:f>ROW()-ROW($A$2)+1</x:f>
        <x:v>2113</x:v>
      </x:c>
      <x:c r="B2114" s="312" t="s">
        <x:v>29</x:v>
      </x:c>
      <x:c r="C2114" s="312" t="s">
        <x:v>10</x:v>
      </x:c>
      <x:c r="D2114" s="317">
        <x:v>5</x:v>
      </x:c>
      <x:c r="E2114" s="321">
        <x:v>6000</x:v>
      </x:c>
      <x:c r="F2114" s="321">
        <x:v>30000</x:v>
      </x:c>
      <x:c r="G2114" s="321">
        <x:v>10000</x:v>
      </x:c>
      <x:c r="H2114" s="312" t="s">
        <x:v>63</x:v>
      </x:c>
      <x:c r="I2114" s="312" t="s">
        <x:v>21</x:v>
      </x:c>
      <x:c r="J2114" s="316" t="n">
        <x:f>IFERROR(G2114/F2114,0)</x:f>
        <x:v>0.3333333333333333</x:v>
      </x:c>
      <x:c r="K2114" s="312" t="str">
        <x:f>IF(B2114="Bilinmeyen Personel","Kontrol","OK")</x:f>
        <x:v>OK</x:v>
      </x:c>
    </x:row>
    <x:row r="2115" hidden="1">
      <x:c r="A2115" s="312" t="n">
        <x:f>ROW()-ROW($A$2)+1</x:f>
        <x:v>2114</x:v>
      </x:c>
      <x:c r="B2115" s="312" t="s">
        <x:v>50</x:v>
      </x:c>
      <x:c r="C2115" s="312" t="s">
        <x:v>53</x:v>
      </x:c>
      <x:c r="D2115" s="317">
        <x:v>5</x:v>
      </x:c>
      <x:c r="E2115" s="321">
        <x:v>1200</x:v>
      </x:c>
      <x:c r="F2115" s="321">
        <x:v>6000</x:v>
      </x:c>
      <x:c r="G2115" s="321">
        <x:v>2000</x:v>
      </x:c>
      <x:c r="H2115" s="312" t="s">
        <x:v>63</x:v>
      </x:c>
      <x:c r="I2115" s="312" t="s">
        <x:v>21</x:v>
      </x:c>
      <x:c r="J2115" s="316" t="n">
        <x:f>IFERROR(G2115/F2115,0)</x:f>
        <x:v>0.3333333333333333</x:v>
      </x:c>
      <x:c r="K2115" s="312" t="str">
        <x:f>IF(B2115="Bilinmeyen Personel","Kontrol","OK")</x:f>
        <x:v>OK</x:v>
      </x:c>
    </x:row>
    <x:row r="2116" hidden="1">
      <x:c r="A2116" s="312" t="n">
        <x:f>ROW()-ROW($A$2)+1</x:f>
        <x:v>2115</x:v>
      </x:c>
      <x:c r="B2116" s="312" t="s">
        <x:v>9</x:v>
      </x:c>
      <x:c r="C2116" s="312" t="s">
        <x:v>45</x:v>
      </x:c>
      <x:c r="D2116" s="317">
        <x:v>3</x:v>
      </x:c>
      <x:c r="E2116" s="321">
        <x:v>4200</x:v>
      </x:c>
      <x:c r="F2116" s="321">
        <x:v>12600</x:v>
      </x:c>
      <x:c r="G2116" s="321">
        <x:v>3600</x:v>
      </x:c>
      <x:c r="H2116" s="312" t="s">
        <x:v>63</x:v>
      </x:c>
      <x:c r="I2116" s="312" t="s">
        <x:v>15</x:v>
      </x:c>
      <x:c r="J2116" s="316" t="n">
        <x:f>IFERROR(G2116/F2116,0)</x:f>
        <x:v>0.2857142857142857</x:v>
      </x:c>
      <x:c r="K2116" s="312" t="str">
        <x:f>IF(B2116="Bilinmeyen Personel","Kontrol","OK")</x:f>
        <x:v>OK</x:v>
      </x:c>
    </x:row>
    <x:row r="2117" hidden="1">
      <x:c r="A2117" s="312" t="n">
        <x:f>ROW()-ROW($A$2)+1</x:f>
        <x:v>2116</x:v>
      </x:c>
      <x:c r="B2117" s="312" t="s">
        <x:v>48</x:v>
      </x:c>
      <x:c r="C2117" s="312" t="s">
        <x:v>24</x:v>
      </x:c>
      <x:c r="D2117" s="317">
        <x:v>3</x:v>
      </x:c>
      <x:c r="E2117" s="321">
        <x:v>7600</x:v>
      </x:c>
      <x:c r="F2117" s="321">
        <x:v>22800</x:v>
      </x:c>
      <x:c r="G2117" s="321">
        <x:v>4800</x:v>
      </x:c>
      <x:c r="H2117" s="312" t="s">
        <x:v>63</x:v>
      </x:c>
      <x:c r="I2117" s="312" t="s">
        <x:v>42</x:v>
      </x:c>
      <x:c r="J2117" s="316" t="n">
        <x:f>IFERROR(G2117/F2117,0)</x:f>
        <x:v>0.21052631578947367</x:v>
      </x:c>
      <x:c r="K2117" s="312" t="str">
        <x:f>IF(B2117="Bilinmeyen Personel","Kontrol","OK")</x:f>
        <x:v>OK</x:v>
      </x:c>
    </x:row>
    <x:row r="2118" hidden="1">
      <x:c r="A2118" s="312" t="n">
        <x:f>ROW()-ROW($A$2)+1</x:f>
        <x:v>2117</x:v>
      </x:c>
      <x:c r="B2118" s="312" t="s">
        <x:v>29</x:v>
      </x:c>
      <x:c r="C2118" s="312" t="s">
        <x:v>26</x:v>
      </x:c>
      <x:c r="D2118" s="317">
        <x:v>3</x:v>
      </x:c>
      <x:c r="E2118" s="321">
        <x:v>7250</x:v>
      </x:c>
      <x:c r="F2118" s="321">
        <x:v>21750</x:v>
      </x:c>
      <x:c r="G2118" s="321">
        <x:v>6750</x:v>
      </x:c>
      <x:c r="H2118" s="312" t="s">
        <x:v>63</x:v>
      </x:c>
      <x:c r="I2118" s="312" t="s">
        <x:v>12</x:v>
      </x:c>
      <x:c r="J2118" s="316" t="n">
        <x:f>IFERROR(G2118/F2118,0)</x:f>
        <x:v>0.3103448275862069</x:v>
      </x:c>
      <x:c r="K2118" s="312" t="str">
        <x:f>IF(B2118="Bilinmeyen Personel","Kontrol","OK")</x:f>
        <x:v>OK</x:v>
      </x:c>
    </x:row>
    <x:row r="2119" hidden="1">
      <x:c r="A2119" s="312" t="n">
        <x:f>ROW()-ROW($A$2)+1</x:f>
        <x:v>2118</x:v>
      </x:c>
      <x:c r="B2119" s="312" t="s">
        <x:v>13</x:v>
      </x:c>
      <x:c r="C2119" s="312" t="s">
        <x:v>55</x:v>
      </x:c>
      <x:c r="D2119" s="317">
        <x:v>4</x:v>
      </x:c>
      <x:c r="E2119" s="321">
        <x:v>7530</x:v>
      </x:c>
      <x:c r="F2119" s="321">
        <x:v>30120</x:v>
      </x:c>
      <x:c r="G2119" s="321">
        <x:v>6120</x:v>
      </x:c>
      <x:c r="H2119" s="312" t="s">
        <x:v>63</x:v>
      </x:c>
      <x:c r="I2119" s="312" t="s">
        <x:v>44</x:v>
      </x:c>
      <x:c r="J2119" s="316" t="n">
        <x:f>IFERROR(G2119/F2119,0)</x:f>
        <x:v>0.20318725099601595</x:v>
      </x:c>
      <x:c r="K2119" s="312" t="str">
        <x:f>IF(B2119="Bilinmeyen Personel","Kontrol","OK")</x:f>
        <x:v>OK</x:v>
      </x:c>
    </x:row>
    <x:row r="2120" hidden="1">
      <x:c r="A2120" s="312" t="n">
        <x:f>ROW()-ROW($A$2)+1</x:f>
        <x:v>2119</x:v>
      </x:c>
      <x:c r="B2120" s="312" t="s">
        <x:v>16</x:v>
      </x:c>
      <x:c r="C2120" s="312" t="s">
        <x:v>26</x:v>
      </x:c>
      <x:c r="D2120" s="317">
        <x:v>4</x:v>
      </x:c>
      <x:c r="E2120" s="321">
        <x:v>7250</x:v>
      </x:c>
      <x:c r="F2120" s="321">
        <x:v>29000</x:v>
      </x:c>
      <x:c r="G2120" s="321">
        <x:v>9000</x:v>
      </x:c>
      <x:c r="H2120" s="312" t="s">
        <x:v>63</x:v>
      </x:c>
      <x:c r="I2120" s="312" t="s">
        <x:v>15</x:v>
      </x:c>
      <x:c r="J2120" s="316" t="n">
        <x:f>IFERROR(G2120/F2120,0)</x:f>
        <x:v>0.3103448275862069</x:v>
      </x:c>
      <x:c r="K2120" s="312" t="str">
        <x:f>IF(B2120="Bilinmeyen Personel","Kontrol","OK")</x:f>
        <x:v>OK</x:v>
      </x:c>
    </x:row>
    <x:row r="2121" hidden="1">
      <x:c r="A2121" s="312" t="n">
        <x:f>ROW()-ROW($A$2)+1</x:f>
        <x:v>2120</x:v>
      </x:c>
      <x:c r="B2121" s="312" t="s">
        <x:v>13</x:v>
      </x:c>
      <x:c r="C2121" s="312" t="s">
        <x:v>10</x:v>
      </x:c>
      <x:c r="D2121" s="317">
        <x:v>2</x:v>
      </x:c>
      <x:c r="E2121" s="321">
        <x:v>6000</x:v>
      </x:c>
      <x:c r="F2121" s="321">
        <x:v>12000</x:v>
      </x:c>
      <x:c r="G2121" s="321">
        <x:v>4000</x:v>
      </x:c>
      <x:c r="H2121" s="312" t="s">
        <x:v>63</x:v>
      </x:c>
      <x:c r="I2121" s="312" t="s">
        <x:v>37</x:v>
      </x:c>
      <x:c r="J2121" s="316" t="n">
        <x:f>IFERROR(G2121/F2121,0)</x:f>
        <x:v>0.3333333333333333</x:v>
      </x:c>
      <x:c r="K2121" s="312" t="str">
        <x:f>IF(B2121="Bilinmeyen Personel","Kontrol","OK")</x:f>
        <x:v>OK</x:v>
      </x:c>
    </x:row>
    <x:row r="2122" hidden="1">
      <x:c r="A2122" s="312" t="n">
        <x:f>ROW()-ROW($A$2)+1</x:f>
        <x:v>2121</x:v>
      </x:c>
      <x:c r="B2122" s="312" t="s">
        <x:v>29</x:v>
      </x:c>
      <x:c r="C2122" s="312" t="s">
        <x:v>53</x:v>
      </x:c>
      <x:c r="D2122" s="317">
        <x:v>4</x:v>
      </x:c>
      <x:c r="E2122" s="321">
        <x:v>1200</x:v>
      </x:c>
      <x:c r="F2122" s="321">
        <x:v>4800</x:v>
      </x:c>
      <x:c r="G2122" s="321">
        <x:v>1600</x:v>
      </x:c>
      <x:c r="H2122" s="312" t="s">
        <x:v>64</x:v>
      </x:c>
      <x:c r="I2122" s="312" t="s">
        <x:v>31</x:v>
      </x:c>
      <x:c r="J2122" s="316" t="n">
        <x:f>IFERROR(G2122/F2122,0)</x:f>
        <x:v>0.3333333333333333</x:v>
      </x:c>
      <x:c r="K2122" s="312" t="str">
        <x:f>IF(B2122="Bilinmeyen Personel","Kontrol","OK")</x:f>
        <x:v>OK</x:v>
      </x:c>
    </x:row>
    <x:row r="2123" hidden="1">
      <x:c r="A2123" s="312" t="n">
        <x:f>ROW()-ROW($A$2)+1</x:f>
        <x:v>2122</x:v>
      </x:c>
      <x:c r="B2123" s="312" t="s">
        <x:v>50</x:v>
      </x:c>
      <x:c r="C2123" s="312" t="s">
        <x:v>56</x:v>
      </x:c>
      <x:c r="D2123" s="317">
        <x:v>3</x:v>
      </x:c>
      <x:c r="E2123" s="321">
        <x:v>5300</x:v>
      </x:c>
      <x:c r="F2123" s="321">
        <x:v>15900</x:v>
      </x:c>
      <x:c r="G2123" s="321">
        <x:v>3900</x:v>
      </x:c>
      <x:c r="H2123" s="312" t="s">
        <x:v>64</x:v>
      </x:c>
      <x:c r="I2123" s="312" t="s">
        <x:v>37</x:v>
      </x:c>
      <x:c r="J2123" s="316" t="n">
        <x:f>IFERROR(G2123/F2123,0)</x:f>
        <x:v>0.24528301886792453</x:v>
      </x:c>
      <x:c r="K2123" s="312" t="str">
        <x:f>IF(B2123="Bilinmeyen Personel","Kontrol","OK")</x:f>
        <x:v>OK</x:v>
      </x:c>
    </x:row>
    <x:row r="2124" hidden="1">
      <x:c r="A2124" s="312" t="n">
        <x:f>ROW()-ROW($A$2)+1</x:f>
        <x:v>2123</x:v>
      </x:c>
      <x:c r="B2124" s="312" t="s">
        <x:v>38</x:v>
      </x:c>
      <x:c r="C2124" s="312" t="s">
        <x:v>17</x:v>
      </x:c>
      <x:c r="D2124" s="317">
        <x:v>3</x:v>
      </x:c>
      <x:c r="E2124" s="321">
        <x:v>8450</x:v>
      </x:c>
      <x:c r="F2124" s="321">
        <x:v>25350</x:v>
      </x:c>
      <x:c r="G2124" s="321">
        <x:v>7350</x:v>
      </x:c>
      <x:c r="H2124" s="312" t="s">
        <x:v>64</x:v>
      </x:c>
      <x:c r="I2124" s="312" t="s">
        <x:v>37</x:v>
      </x:c>
      <x:c r="J2124" s="316" t="n">
        <x:f>IFERROR(G2124/F2124,0)</x:f>
        <x:v>0.28994082840236685</x:v>
      </x:c>
      <x:c r="K2124" s="312" t="str">
        <x:f>IF(B2124="Bilinmeyen Personel","Kontrol","OK")</x:f>
        <x:v>OK</x:v>
      </x:c>
    </x:row>
    <x:row r="2125" hidden="1">
      <x:c r="A2125" s="312" t="n">
        <x:f>ROW()-ROW($A$2)+1</x:f>
        <x:v>2124</x:v>
      </x:c>
      <x:c r="B2125" s="312" t="s">
        <x:v>23</x:v>
      </x:c>
      <x:c r="C2125" s="312" t="s">
        <x:v>20</x:v>
      </x:c>
      <x:c r="D2125" s="317">
        <x:v>5</x:v>
      </x:c>
      <x:c r="E2125" s="321">
        <x:v>1350</x:v>
      </x:c>
      <x:c r="F2125" s="321">
        <x:v>6750</x:v>
      </x:c>
      <x:c r="G2125" s="321">
        <x:v>2750</x:v>
      </x:c>
      <x:c r="H2125" s="312" t="s">
        <x:v>64</x:v>
      </x:c>
      <x:c r="I2125" s="312" t="s">
        <x:v>12</x:v>
      </x:c>
      <x:c r="J2125" s="316" t="n">
        <x:f>IFERROR(G2125/F2125,0)</x:f>
        <x:v>0.4074074074074074</x:v>
      </x:c>
      <x:c r="K2125" s="312" t="str">
        <x:f>IF(B2125="Bilinmeyen Personel","Kontrol","OK")</x:f>
        <x:v>OK</x:v>
      </x:c>
    </x:row>
    <x:row r="2126" hidden="1">
      <x:c r="A2126" s="312" t="n">
        <x:f>ROW()-ROW($A$2)+1</x:f>
        <x:v>2125</x:v>
      </x:c>
      <x:c r="B2126" s="312" t="s">
        <x:v>32</x:v>
      </x:c>
      <x:c r="C2126" s="312" t="s">
        <x:v>34</x:v>
      </x:c>
      <x:c r="D2126" s="317">
        <x:v>2</x:v>
      </x:c>
      <x:c r="E2126" s="321">
        <x:v>1090</x:v>
      </x:c>
      <x:c r="F2126" s="321">
        <x:v>2180</x:v>
      </x:c>
      <x:c r="G2126" s="321">
        <x:v>580</x:v>
      </x:c>
      <x:c r="H2126" s="312" t="s">
        <x:v>64</x:v>
      </x:c>
      <x:c r="I2126" s="312" t="s">
        <x:v>18</x:v>
      </x:c>
      <x:c r="J2126" s="316" t="n">
        <x:f>IFERROR(G2126/F2126,0)</x:f>
        <x:v>0.26605504587155965</x:v>
      </x:c>
      <x:c r="K2126" s="312" t="str">
        <x:f>IF(B2126="Bilinmeyen Personel","Kontrol","OK")</x:f>
        <x:v>OK</x:v>
      </x:c>
    </x:row>
    <x:row r="2127" hidden="1">
      <x:c r="A2127" s="312" t="n">
        <x:f>ROW()-ROW($A$2)+1</x:f>
        <x:v>2126</x:v>
      </x:c>
      <x:c r="B2127" s="312" t="s">
        <x:v>23</x:v>
      </x:c>
      <x:c r="C2127" s="312" t="s">
        <x:v>22</x:v>
      </x:c>
      <x:c r="D2127" s="317">
        <x:v>5</x:v>
      </x:c>
      <x:c r="E2127" s="321">
        <x:v>2180</x:v>
      </x:c>
      <x:c r="F2127" s="321">
        <x:v>10900</x:v>
      </x:c>
      <x:c r="G2127" s="321">
        <x:v>3400</x:v>
      </x:c>
      <x:c r="H2127" s="312" t="s">
        <x:v>64</x:v>
      </x:c>
      <x:c r="I2127" s="312" t="s">
        <x:v>18</x:v>
      </x:c>
      <x:c r="J2127" s="316" t="n">
        <x:f>IFERROR(G2127/F2127,0)</x:f>
        <x:v>0.3119266055045872</x:v>
      </x:c>
      <x:c r="K2127" s="312" t="str">
        <x:f>IF(B2127="Bilinmeyen Personel","Kontrol","OK")</x:f>
        <x:v>OK</x:v>
      </x:c>
    </x:row>
    <x:row r="2128" hidden="1">
      <x:c r="A2128" s="312" t="n">
        <x:f>ROW()-ROW($A$2)+1</x:f>
        <x:v>2127</x:v>
      </x:c>
      <x:c r="B2128" s="312" t="s">
        <x:v>9</x:v>
      </x:c>
      <x:c r="C2128" s="312" t="s">
        <x:v>10</x:v>
      </x:c>
      <x:c r="D2128" s="317">
        <x:v>4</x:v>
      </x:c>
      <x:c r="E2128" s="321">
        <x:v>6000</x:v>
      </x:c>
      <x:c r="F2128" s="321">
        <x:v>24000</x:v>
      </x:c>
      <x:c r="G2128" s="321">
        <x:v>8000</x:v>
      </x:c>
      <x:c r="H2128" s="312" t="s">
        <x:v>64</x:v>
      </x:c>
      <x:c r="I2128" s="312" t="s">
        <x:v>25</x:v>
      </x:c>
      <x:c r="J2128" s="316" t="n">
        <x:f>IFERROR(G2128/F2128,0)</x:f>
        <x:v>0.3333333333333333</x:v>
      </x:c>
      <x:c r="K2128" s="312" t="str">
        <x:f>IF(B2128="Bilinmeyen Personel","Kontrol","OK")</x:f>
        <x:v>OK</x:v>
      </x:c>
    </x:row>
    <x:row r="2129" hidden="1">
      <x:c r="A2129" s="312" t="n">
        <x:f>ROW()-ROW($A$2)+1</x:f>
        <x:v>2128</x:v>
      </x:c>
      <x:c r="B2129" s="312" t="s">
        <x:v>13</x:v>
      </x:c>
      <x:c r="C2129" s="312" t="s">
        <x:v>14</x:v>
      </x:c>
      <x:c r="D2129" s="317">
        <x:v>5</x:v>
      </x:c>
      <x:c r="E2129" s="321">
        <x:v>1400</x:v>
      </x:c>
      <x:c r="F2129" s="321">
        <x:v>7000</x:v>
      </x:c>
      <x:c r="G2129" s="321">
        <x:v>3000</x:v>
      </x:c>
      <x:c r="H2129" s="312" t="s">
        <x:v>64</x:v>
      </x:c>
      <x:c r="I2129" s="312" t="s">
        <x:v>54</x:v>
      </x:c>
      <x:c r="J2129" s="316" t="n">
        <x:f>IFERROR(G2129/F2129,0)</x:f>
        <x:v>0.42857142857142855</x:v>
      </x:c>
      <x:c r="K2129" s="312" t="str">
        <x:f>IF(B2129="Bilinmeyen Personel","Kontrol","OK")</x:f>
        <x:v>OK</x:v>
      </x:c>
    </x:row>
    <x:row r="2130" hidden="1">
      <x:c r="A2130" s="312" t="n">
        <x:f>ROW()-ROW($A$2)+1</x:f>
        <x:v>2129</x:v>
      </x:c>
      <x:c r="B2130" s="312" t="s">
        <x:v>16</x:v>
      </x:c>
      <x:c r="C2130" s="312" t="s">
        <x:v>17</x:v>
      </x:c>
      <x:c r="D2130" s="317">
        <x:v>2</x:v>
      </x:c>
      <x:c r="E2130" s="321">
        <x:v>8450</x:v>
      </x:c>
      <x:c r="F2130" s="321">
        <x:v>16900</x:v>
      </x:c>
      <x:c r="G2130" s="321">
        <x:v>4900</x:v>
      </x:c>
      <x:c r="H2130" s="312" t="s">
        <x:v>64</x:v>
      </x:c>
      <x:c r="I2130" s="312" t="s">
        <x:v>46</x:v>
      </x:c>
      <x:c r="J2130" s="316" t="n">
        <x:f>IFERROR(G2130/F2130,0)</x:f>
        <x:v>0.28994082840236685</x:v>
      </x:c>
      <x:c r="K2130" s="312" t="str">
        <x:f>IF(B2130="Bilinmeyen Personel","Kontrol","OK")</x:f>
        <x:v>OK</x:v>
      </x:c>
    </x:row>
    <x:row r="2131" hidden="1">
      <x:c r="A2131" s="312" t="n">
        <x:f>ROW()-ROW($A$2)+1</x:f>
        <x:v>2130</x:v>
      </x:c>
      <x:c r="B2131" s="312" t="s">
        <x:v>19</x:v>
      </x:c>
      <x:c r="C2131" s="312" t="s">
        <x:v>20</x:v>
      </x:c>
      <x:c r="D2131" s="317">
        <x:v>2</x:v>
      </x:c>
      <x:c r="E2131" s="321">
        <x:v>1350</x:v>
      </x:c>
      <x:c r="F2131" s="321">
        <x:v>2700</x:v>
      </x:c>
      <x:c r="G2131" s="321">
        <x:v>1100</x:v>
      </x:c>
      <x:c r="H2131" s="312" t="s">
        <x:v>64</x:v>
      </x:c>
      <x:c r="I2131" s="312" t="s">
        <x:v>46</x:v>
      </x:c>
      <x:c r="J2131" s="316" t="n">
        <x:f>IFERROR(G2131/F2131,0)</x:f>
        <x:v>0.4074074074074074</x:v>
      </x:c>
      <x:c r="K2131" s="312" t="str">
        <x:f>IF(B2131="Bilinmeyen Personel","Kontrol","OK")</x:f>
        <x:v>OK</x:v>
      </x:c>
    </x:row>
    <x:row r="2132" hidden="1">
      <x:c r="A2132" s="312" t="n">
        <x:f>ROW()-ROW($A$2)+1</x:f>
        <x:v>2131</x:v>
      </x:c>
      <x:c r="B2132" s="312" t="s">
        <x:v>9</x:v>
      </x:c>
      <x:c r="C2132" s="312" t="s">
        <x:v>22</x:v>
      </x:c>
      <x:c r="D2132" s="317">
        <x:v>5</x:v>
      </x:c>
      <x:c r="E2132" s="321">
        <x:v>2180</x:v>
      </x:c>
      <x:c r="F2132" s="321">
        <x:v>10900</x:v>
      </x:c>
      <x:c r="G2132" s="321">
        <x:v>3400</x:v>
      </x:c>
      <x:c r="H2132" s="312" t="s">
        <x:v>64</x:v>
      </x:c>
      <x:c r="I2132" s="312" t="s">
        <x:v>25</x:v>
      </x:c>
      <x:c r="J2132" s="316" t="n">
        <x:f>IFERROR(G2132/F2132,0)</x:f>
        <x:v>0.3119266055045872</x:v>
      </x:c>
      <x:c r="K2132" s="312" t="str">
        <x:f>IF(B2132="Bilinmeyen Personel","Kontrol","OK")</x:f>
        <x:v>OK</x:v>
      </x:c>
    </x:row>
    <x:row r="2133" hidden="1">
      <x:c r="A2133" s="312" t="n">
        <x:f>ROW()-ROW($A$2)+1</x:f>
        <x:v>2132</x:v>
      </x:c>
      <x:c r="B2133" s="312" t="s">
        <x:v>23</x:v>
      </x:c>
      <x:c r="C2133" s="312" t="s">
        <x:v>24</x:v>
      </x:c>
      <x:c r="D2133" s="317">
        <x:v>3</x:v>
      </x:c>
      <x:c r="E2133" s="321">
        <x:v>7600</x:v>
      </x:c>
      <x:c r="F2133" s="321">
        <x:v>22800</x:v>
      </x:c>
      <x:c r="G2133" s="321">
        <x:v>4800</x:v>
      </x:c>
      <x:c r="H2133" s="312" t="s">
        <x:v>64</x:v>
      </x:c>
      <x:c r="I2133" s="312" t="s">
        <x:v>31</x:v>
      </x:c>
      <x:c r="J2133" s="316" t="n">
        <x:f>IFERROR(G2133/F2133,0)</x:f>
        <x:v>0.21052631578947367</x:v>
      </x:c>
      <x:c r="K2133" s="312" t="str">
        <x:f>IF(B2133="Bilinmeyen Personel","Kontrol","OK")</x:f>
        <x:v>OK</x:v>
      </x:c>
    </x:row>
    <x:row r="2134" hidden="1">
      <x:c r="A2134" s="312" t="n">
        <x:f>ROW()-ROW($A$2)+1</x:f>
        <x:v>2133</x:v>
      </x:c>
      <x:c r="B2134" s="312" t="s">
        <x:v>13</x:v>
      </x:c>
      <x:c r="C2134" s="312" t="s">
        <x:v>26</x:v>
      </x:c>
      <x:c r="D2134" s="317">
        <x:v>2</x:v>
      </x:c>
      <x:c r="E2134" s="321">
        <x:v>7250</x:v>
      </x:c>
      <x:c r="F2134" s="321">
        <x:v>14500</x:v>
      </x:c>
      <x:c r="G2134" s="321">
        <x:v>4500</x:v>
      </x:c>
      <x:c r="H2134" s="312" t="s">
        <x:v>64</x:v>
      </x:c>
      <x:c r="I2134" s="312" t="s">
        <x:v>41</x:v>
      </x:c>
      <x:c r="J2134" s="316" t="n">
        <x:f>IFERROR(G2134/F2134,0)</x:f>
        <x:v>0.3103448275862069</x:v>
      </x:c>
      <x:c r="K2134" s="312" t="str">
        <x:f>IF(B2134="Bilinmeyen Personel","Kontrol","OK")</x:f>
        <x:v>OK</x:v>
      </x:c>
    </x:row>
    <x:row r="2135" hidden="1">
      <x:c r="A2135" s="312" t="n">
        <x:f>ROW()-ROW($A$2)+1</x:f>
        <x:v>2134</x:v>
      </x:c>
      <x:c r="B2135" s="312" t="s">
        <x:v>19</x:v>
      </x:c>
      <x:c r="C2135" s="312" t="s">
        <x:v>27</x:v>
      </x:c>
      <x:c r="D2135" s="317">
        <x:v>2</x:v>
      </x:c>
      <x:c r="E2135" s="321">
        <x:v>1100</x:v>
      </x:c>
      <x:c r="F2135" s="321">
        <x:v>2200</x:v>
      </x:c>
      <x:c r="G2135" s="321">
        <x:v>600</x:v>
      </x:c>
      <x:c r="H2135" s="312" t="s">
        <x:v>64</x:v>
      </x:c>
      <x:c r="I2135" s="312" t="s">
        <x:v>41</x:v>
      </x:c>
      <x:c r="J2135" s="316" t="n">
        <x:f>IFERROR(G2135/F2135,0)</x:f>
        <x:v>0.2727272727272727</x:v>
      </x:c>
      <x:c r="K2135" s="312" t="str">
        <x:f>IF(B2135="Bilinmeyen Personel","Kontrol","OK")</x:f>
        <x:v>OK</x:v>
      </x:c>
    </x:row>
    <x:row r="2136" hidden="1">
      <x:c r="A2136" s="312" t="n">
        <x:f>ROW()-ROW($A$2)+1</x:f>
        <x:v>2135</x:v>
      </x:c>
      <x:c r="B2136" s="312" t="s">
        <x:v>29</x:v>
      </x:c>
      <x:c r="C2136" s="312" t="s">
        <x:v>10</x:v>
      </x:c>
      <x:c r="D2136" s="317">
        <x:v>4</x:v>
      </x:c>
      <x:c r="E2136" s="321">
        <x:v>6000</x:v>
      </x:c>
      <x:c r="F2136" s="321">
        <x:v>24000</x:v>
      </x:c>
      <x:c r="G2136" s="321">
        <x:v>8000</x:v>
      </x:c>
      <x:c r="H2136" s="312" t="s">
        <x:v>64</x:v>
      </x:c>
      <x:c r="I2136" s="312" t="s">
        <x:v>37</x:v>
      </x:c>
      <x:c r="J2136" s="316" t="n">
        <x:f>IFERROR(G2136/F2136,0)</x:f>
        <x:v>0.3333333333333333</x:v>
      </x:c>
      <x:c r="K2136" s="312" t="str">
        <x:f>IF(B2136="Bilinmeyen Personel","Kontrol","OK")</x:f>
        <x:v>OK</x:v>
      </x:c>
    </x:row>
    <x:row r="2137" hidden="1">
      <x:c r="A2137" s="312" t="n">
        <x:f>ROW()-ROW($A$2)+1</x:f>
        <x:v>2136</x:v>
      </x:c>
      <x:c r="B2137" s="312" t="s">
        <x:v>9</x:v>
      </x:c>
      <x:c r="C2137" s="312" t="s">
        <x:v>30</x:v>
      </x:c>
      <x:c r="D2137" s="317">
        <x:v>3</x:v>
      </x:c>
      <x:c r="E2137" s="321">
        <x:v>1200</x:v>
      </x:c>
      <x:c r="F2137" s="321">
        <x:v>3600</x:v>
      </x:c>
      <x:c r="G2137" s="321">
        <x:v>1200</x:v>
      </x:c>
      <x:c r="H2137" s="312" t="s">
        <x:v>64</x:v>
      </x:c>
      <x:c r="I2137" s="312" t="s">
        <x:v>31</x:v>
      </x:c>
      <x:c r="J2137" s="316" t="n">
        <x:f>IFERROR(G2137/F2137,0)</x:f>
        <x:v>0.3333333333333333</x:v>
      </x:c>
      <x:c r="K2137" s="312" t="str">
        <x:f>IF(B2137="Bilinmeyen Personel","Kontrol","OK")</x:f>
        <x:v>OK</x:v>
      </x:c>
    </x:row>
    <x:row r="2138" hidden="1">
      <x:c r="A2138" s="312" t="n">
        <x:f>ROW()-ROW($A$2)+1</x:f>
        <x:v>2137</x:v>
      </x:c>
      <x:c r="B2138" s="312" t="s">
        <x:v>32</x:v>
      </x:c>
      <x:c r="C2138" s="312" t="s">
        <x:v>33</x:v>
      </x:c>
      <x:c r="D2138" s="317">
        <x:v>3</x:v>
      </x:c>
      <x:c r="E2138" s="321">
        <x:v>1800</x:v>
      </x:c>
      <x:c r="F2138" s="321">
        <x:v>5400</x:v>
      </x:c>
      <x:c r="G2138" s="321">
        <x:v>3000</x:v>
      </x:c>
      <x:c r="H2138" s="312" t="s">
        <x:v>64</x:v>
      </x:c>
      <x:c r="I2138" s="312" t="s">
        <x:v>15</x:v>
      </x:c>
      <x:c r="J2138" s="316" t="n">
        <x:f>IFERROR(G2138/F2138,0)</x:f>
        <x:v>0.5555555555555556</x:v>
      </x:c>
      <x:c r="K2138" s="312" t="str">
        <x:f>IF(B2138="Bilinmeyen Personel","Kontrol","OK")</x:f>
        <x:v>OK</x:v>
      </x:c>
    </x:row>
    <x:row r="2139" hidden="1">
      <x:c r="A2139" s="312" t="n">
        <x:f>ROW()-ROW($A$2)+1</x:f>
        <x:v>2138</x:v>
      </x:c>
      <x:c r="B2139" s="312" t="s">
        <x:v>32</x:v>
      </x:c>
      <x:c r="C2139" s="312" t="s">
        <x:v>34</x:v>
      </x:c>
      <x:c r="D2139" s="317">
        <x:v>5</x:v>
      </x:c>
      <x:c r="E2139" s="321">
        <x:v>1090</x:v>
      </x:c>
      <x:c r="F2139" s="321">
        <x:v>5450</x:v>
      </x:c>
      <x:c r="G2139" s="321">
        <x:v>1450</x:v>
      </x:c>
      <x:c r="H2139" s="312" t="s">
        <x:v>64</x:v>
      </x:c>
      <x:c r="I2139" s="312" t="s">
        <x:v>41</x:v>
      </x:c>
      <x:c r="J2139" s="316" t="n">
        <x:f>IFERROR(G2139/F2139,0)</x:f>
        <x:v>0.26605504587155965</x:v>
      </x:c>
      <x:c r="K2139" s="312" t="str">
        <x:f>IF(B2139="Bilinmeyen Personel","Kontrol","OK")</x:f>
        <x:v>OK</x:v>
      </x:c>
    </x:row>
    <x:row r="2140" hidden="1">
      <x:c r="A2140" s="312" t="n">
        <x:f>ROW()-ROW($A$2)+1</x:f>
        <x:v>2139</x:v>
      </x:c>
      <x:c r="B2140" s="312" t="s">
        <x:v>29</x:v>
      </x:c>
      <x:c r="C2140" s="312" t="s">
        <x:v>22</x:v>
      </x:c>
      <x:c r="D2140" s="317">
        <x:v>4</x:v>
      </x:c>
      <x:c r="E2140" s="321">
        <x:v>2180</x:v>
      </x:c>
      <x:c r="F2140" s="321">
        <x:v>8720</x:v>
      </x:c>
      <x:c r="G2140" s="321">
        <x:v>2720</x:v>
      </x:c>
      <x:c r="H2140" s="312" t="s">
        <x:v>64</x:v>
      </x:c>
      <x:c r="I2140" s="312" t="s">
        <x:v>42</x:v>
      </x:c>
      <x:c r="J2140" s="316" t="n">
        <x:f>IFERROR(G2140/F2140,0)</x:f>
        <x:v>0.3119266055045872</x:v>
      </x:c>
      <x:c r="K2140" s="312" t="str">
        <x:f>IF(B2140="Bilinmeyen Personel","Kontrol","OK")</x:f>
        <x:v>OK</x:v>
      </x:c>
    </x:row>
    <x:row r="2141" hidden="1">
      <x:c r="A2141" s="312" t="n">
        <x:f>ROW()-ROW($A$2)+1</x:f>
        <x:v>2140</x:v>
      </x:c>
      <x:c r="B2141" s="312" t="s">
        <x:v>35</x:v>
      </x:c>
      <x:c r="C2141" s="312" t="s">
        <x:v>33</x:v>
      </x:c>
      <x:c r="D2141" s="317">
        <x:v>5</x:v>
      </x:c>
      <x:c r="E2141" s="321">
        <x:v>1800</x:v>
      </x:c>
      <x:c r="F2141" s="321">
        <x:v>9000</x:v>
      </x:c>
      <x:c r="G2141" s="321">
        <x:v>5000</x:v>
      </x:c>
      <x:c r="H2141" s="312" t="s">
        <x:v>64</x:v>
      </x:c>
      <x:c r="I2141" s="312" t="s">
        <x:v>41</x:v>
      </x:c>
      <x:c r="J2141" s="316" t="n">
        <x:f>IFERROR(G2141/F2141,0)</x:f>
        <x:v>0.5555555555555556</x:v>
      </x:c>
      <x:c r="K2141" s="312" t="str">
        <x:f>IF(B2141="Bilinmeyen Personel","Kontrol","OK")</x:f>
        <x:v>OK</x:v>
      </x:c>
    </x:row>
    <x:row r="2142" hidden="1">
      <x:c r="A2142" s="312" t="n">
        <x:f>ROW()-ROW($A$2)+1</x:f>
        <x:v>2141</x:v>
      </x:c>
      <x:c r="B2142" s="312" t="s">
        <x:v>23</x:v>
      </x:c>
      <x:c r="C2142" s="312" t="s">
        <x:v>36</x:v>
      </x:c>
      <x:c r="D2142" s="317">
        <x:v>3</x:v>
      </x:c>
      <x:c r="E2142" s="321">
        <x:v>8000</x:v>
      </x:c>
      <x:c r="F2142" s="321">
        <x:v>24000</x:v>
      </x:c>
      <x:c r="G2142" s="321">
        <x:v>6000</x:v>
      </x:c>
      <x:c r="H2142" s="312" t="s">
        <x:v>64</x:v>
      </x:c>
      <x:c r="I2142" s="312" t="s">
        <x:v>41</x:v>
      </x:c>
      <x:c r="J2142" s="316" t="n">
        <x:f>IFERROR(G2142/F2142,0)</x:f>
        <x:v>0.25</x:v>
      </x:c>
      <x:c r="K2142" s="312" t="str">
        <x:f>IF(B2142="Bilinmeyen Personel","Kontrol","OK")</x:f>
        <x:v>OK</x:v>
      </x:c>
    </x:row>
    <x:row r="2143" hidden="1">
      <x:c r="A2143" s="312" t="n">
        <x:f>ROW()-ROW($A$2)+1</x:f>
        <x:v>2142</x:v>
      </x:c>
      <x:c r="B2143" s="312" t="s">
        <x:v>29</x:v>
      </x:c>
      <x:c r="C2143" s="312" t="s">
        <x:v>14</x:v>
      </x:c>
      <x:c r="D2143" s="317">
        <x:v>4</x:v>
      </x:c>
      <x:c r="E2143" s="321">
        <x:v>1400</x:v>
      </x:c>
      <x:c r="F2143" s="321">
        <x:v>5600</x:v>
      </x:c>
      <x:c r="G2143" s="321">
        <x:v>2400</x:v>
      </x:c>
      <x:c r="H2143" s="312" t="s">
        <x:v>64</x:v>
      </x:c>
      <x:c r="I2143" s="312" t="s">
        <x:v>44</x:v>
      </x:c>
      <x:c r="J2143" s="316" t="n">
        <x:f>IFERROR(G2143/F2143,0)</x:f>
        <x:v>0.42857142857142855</x:v>
      </x:c>
      <x:c r="K2143" s="312" t="str">
        <x:f>IF(B2143="Bilinmeyen Personel","Kontrol","OK")</x:f>
        <x:v>OK</x:v>
      </x:c>
    </x:row>
    <x:row r="2144" hidden="1">
      <x:c r="A2144" s="312" t="n">
        <x:f>ROW()-ROW($A$2)+1</x:f>
        <x:v>2143</x:v>
      </x:c>
      <x:c r="B2144" s="312" t="s">
        <x:v>38</x:v>
      </x:c>
      <x:c r="C2144" s="312" t="s">
        <x:v>39</x:v>
      </x:c>
      <x:c r="D2144" s="317">
        <x:v>2</x:v>
      </x:c>
      <x:c r="E2144" s="321">
        <x:v>10590</x:v>
      </x:c>
      <x:c r="F2144" s="321">
        <x:v>21180</x:v>
      </x:c>
      <x:c r="G2144" s="321">
        <x:v>9180</x:v>
      </x:c>
      <x:c r="H2144" s="312" t="s">
        <x:v>64</x:v>
      </x:c>
      <x:c r="I2144" s="312" t="s">
        <x:v>41</x:v>
      </x:c>
      <x:c r="J2144" s="316" t="n">
        <x:f>IFERROR(G2144/F2144,0)</x:f>
        <x:v>0.43342776203966005</x:v>
      </x:c>
      <x:c r="K2144" s="312" t="str">
        <x:f>IF(B2144="Bilinmeyen Personel","Kontrol","OK")</x:f>
        <x:v>OK</x:v>
      </x:c>
    </x:row>
    <x:row r="2145" hidden="1">
      <x:c r="A2145" s="312" t="n">
        <x:f>ROW()-ROW($A$2)+1</x:f>
        <x:v>2144</x:v>
      </x:c>
      <x:c r="B2145" s="312" t="s">
        <x:v>40</x:v>
      </x:c>
      <x:c r="C2145" s="312" t="s">
        <x:v>20</x:v>
      </x:c>
      <x:c r="D2145" s="317">
        <x:v>3</x:v>
      </x:c>
      <x:c r="E2145" s="321">
        <x:v>1350</x:v>
      </x:c>
      <x:c r="F2145" s="321">
        <x:v>4050</x:v>
      </x:c>
      <x:c r="G2145" s="321">
        <x:v>1650</x:v>
      </x:c>
      <x:c r="H2145" s="312" t="s">
        <x:v>64</x:v>
      </x:c>
      <x:c r="I2145" s="312" t="s">
        <x:v>46</x:v>
      </x:c>
      <x:c r="J2145" s="316" t="n">
        <x:f>IFERROR(G2145/F2145,0)</x:f>
        <x:v>0.4074074074074074</x:v>
      </x:c>
      <x:c r="K2145" s="312" t="str">
        <x:f>IF(B2145="Bilinmeyen Personel","Kontrol","OK")</x:f>
        <x:v>OK</x:v>
      </x:c>
    </x:row>
    <x:row r="2146" hidden="1">
      <x:c r="A2146" s="312" t="n">
        <x:f>ROW()-ROW($A$2)+1</x:f>
        <x:v>2145</x:v>
      </x:c>
      <x:c r="B2146" s="312" t="s">
        <x:v>32</x:v>
      </x:c>
      <x:c r="C2146" s="312" t="s">
        <x:v>14</x:v>
      </x:c>
      <x:c r="D2146" s="317">
        <x:v>3</x:v>
      </x:c>
      <x:c r="E2146" s="321">
        <x:v>1400</x:v>
      </x:c>
      <x:c r="F2146" s="321">
        <x:v>4200</x:v>
      </x:c>
      <x:c r="G2146" s="321">
        <x:v>1800</x:v>
      </x:c>
      <x:c r="H2146" s="312" t="s">
        <x:v>64</x:v>
      </x:c>
      <x:c r="I2146" s="312" t="s">
        <x:v>42</x:v>
      </x:c>
      <x:c r="J2146" s="316" t="n">
        <x:f>IFERROR(G2146/F2146,0)</x:f>
        <x:v>0.42857142857142855</x:v>
      </x:c>
      <x:c r="K2146" s="312" t="str">
        <x:f>IF(B2146="Bilinmeyen Personel","Kontrol","OK")</x:f>
        <x:v>OK</x:v>
      </x:c>
    </x:row>
    <x:row r="2147" hidden="1">
      <x:c r="A2147" s="312" t="n">
        <x:f>ROW()-ROW($A$2)+1</x:f>
        <x:v>2146</x:v>
      </x:c>
      <x:c r="B2147" s="312" t="s">
        <x:v>19</x:v>
      </x:c>
      <x:c r="C2147" s="312" t="s">
        <x:v>10</x:v>
      </x:c>
      <x:c r="D2147" s="317">
        <x:v>4</x:v>
      </x:c>
      <x:c r="E2147" s="321">
        <x:v>6000</x:v>
      </x:c>
      <x:c r="F2147" s="321">
        <x:v>24000</x:v>
      </x:c>
      <x:c r="G2147" s="321">
        <x:v>8000</x:v>
      </x:c>
      <x:c r="H2147" s="312" t="s">
        <x:v>64</x:v>
      </x:c>
      <x:c r="I2147" s="312" t="s">
        <x:v>25</x:v>
      </x:c>
      <x:c r="J2147" s="316" t="n">
        <x:f>IFERROR(G2147/F2147,0)</x:f>
        <x:v>0.3333333333333333</x:v>
      </x:c>
      <x:c r="K2147" s="312" t="str">
        <x:f>IF(B2147="Bilinmeyen Personel","Kontrol","OK")</x:f>
        <x:v>OK</x:v>
      </x:c>
    </x:row>
    <x:row r="2148" hidden="1">
      <x:c r="A2148" s="312" t="n">
        <x:f>ROW()-ROW($A$2)+1</x:f>
        <x:v>2147</x:v>
      </x:c>
      <x:c r="B2148" s="312" t="s">
        <x:v>38</x:v>
      </x:c>
      <x:c r="C2148" s="312" t="s">
        <x:v>27</x:v>
      </x:c>
      <x:c r="D2148" s="317">
        <x:v>3</x:v>
      </x:c>
      <x:c r="E2148" s="321">
        <x:v>1100</x:v>
      </x:c>
      <x:c r="F2148" s="321">
        <x:v>3300</x:v>
      </x:c>
      <x:c r="G2148" s="321">
        <x:v>900</x:v>
      </x:c>
      <x:c r="H2148" s="312" t="s">
        <x:v>64</x:v>
      </x:c>
      <x:c r="I2148" s="312" t="s">
        <x:v>28</x:v>
      </x:c>
      <x:c r="J2148" s="316" t="n">
        <x:f>IFERROR(G2148/F2148,0)</x:f>
        <x:v>0.2727272727272727</x:v>
      </x:c>
      <x:c r="K2148" s="312" t="str">
        <x:f>IF(B2148="Bilinmeyen Personel","Kontrol","OK")</x:f>
        <x:v>OK</x:v>
      </x:c>
    </x:row>
    <x:row r="2149" hidden="1">
      <x:c r="A2149" s="312" t="n">
        <x:f>ROW()-ROW($A$2)+1</x:f>
        <x:v>2148</x:v>
      </x:c>
      <x:c r="B2149" s="312" t="s">
        <x:v>16</x:v>
      </x:c>
      <x:c r="C2149" s="312" t="s">
        <x:v>10</x:v>
      </x:c>
      <x:c r="D2149" s="317">
        <x:v>3</x:v>
      </x:c>
      <x:c r="E2149" s="321">
        <x:v>6000</x:v>
      </x:c>
      <x:c r="F2149" s="321">
        <x:v>18000</x:v>
      </x:c>
      <x:c r="G2149" s="321">
        <x:v>6000</x:v>
      </x:c>
      <x:c r="H2149" s="312" t="s">
        <x:v>64</x:v>
      </x:c>
      <x:c r="I2149" s="312" t="s">
        <x:v>42</x:v>
      </x:c>
      <x:c r="J2149" s="316" t="n">
        <x:f>IFERROR(G2149/F2149,0)</x:f>
        <x:v>0.3333333333333333</x:v>
      </x:c>
      <x:c r="K2149" s="312" t="str">
        <x:f>IF(B2149="Bilinmeyen Personel","Kontrol","OK")</x:f>
        <x:v>OK</x:v>
      </x:c>
    </x:row>
    <x:row r="2150" hidden="1">
      <x:c r="A2150" s="312" t="n">
        <x:f>ROW()-ROW($A$2)+1</x:f>
        <x:v>2149</x:v>
      </x:c>
      <x:c r="B2150" s="312" t="s">
        <x:v>40</x:v>
      </x:c>
      <x:c r="C2150" s="312" t="s">
        <x:v>43</x:v>
      </x:c>
      <x:c r="D2150" s="317">
        <x:v>2</x:v>
      </x:c>
      <x:c r="E2150" s="321">
        <x:v>1490</x:v>
      </x:c>
      <x:c r="F2150" s="321">
        <x:v>2980</x:v>
      </x:c>
      <x:c r="G2150" s="321">
        <x:v>1380</x:v>
      </x:c>
      <x:c r="H2150" s="312" t="s">
        <x:v>64</x:v>
      </x:c>
      <x:c r="I2150" s="312" t="s">
        <x:v>31</x:v>
      </x:c>
      <x:c r="J2150" s="316" t="n">
        <x:f>IFERROR(G2150/F2150,0)</x:f>
        <x:v>0.46308724832214765</x:v>
      </x:c>
      <x:c r="K2150" s="312" t="str">
        <x:f>IF(B2150="Bilinmeyen Personel","Kontrol","OK")</x:f>
        <x:v>OK</x:v>
      </x:c>
    </x:row>
    <x:row r="2151" hidden="1">
      <x:c r="A2151" s="312" t="n">
        <x:f>ROW()-ROW($A$2)+1</x:f>
        <x:v>2150</x:v>
      </x:c>
      <x:c r="B2151" s="312" t="s">
        <x:v>38</x:v>
      </x:c>
      <x:c r="C2151" s="312" t="s">
        <x:v>39</x:v>
      </x:c>
      <x:c r="D2151" s="317">
        <x:v>4</x:v>
      </x:c>
      <x:c r="E2151" s="321">
        <x:v>10590</x:v>
      </x:c>
      <x:c r="F2151" s="321">
        <x:v>42360</x:v>
      </x:c>
      <x:c r="G2151" s="321">
        <x:v>18360</x:v>
      </x:c>
      <x:c r="H2151" s="312" t="s">
        <x:v>64</x:v>
      </x:c>
      <x:c r="I2151" s="312" t="s">
        <x:v>46</x:v>
      </x:c>
      <x:c r="J2151" s="316" t="n">
        <x:f>IFERROR(G2151/F2151,0)</x:f>
        <x:v>0.43342776203966005</x:v>
      </x:c>
      <x:c r="K2151" s="312" t="str">
        <x:f>IF(B2151="Bilinmeyen Personel","Kontrol","OK")</x:f>
        <x:v>OK</x:v>
      </x:c>
    </x:row>
    <x:row r="2152" hidden="1">
      <x:c r="A2152" s="312" t="n">
        <x:f>ROW()-ROW($A$2)+1</x:f>
        <x:v>2151</x:v>
      </x:c>
      <x:c r="B2152" s="312" t="s">
        <x:v>16</x:v>
      </x:c>
      <x:c r="C2152" s="312" t="s">
        <x:v>36</x:v>
      </x:c>
      <x:c r="D2152" s="317">
        <x:v>3</x:v>
      </x:c>
      <x:c r="E2152" s="321">
        <x:v>8000</x:v>
      </x:c>
      <x:c r="F2152" s="321">
        <x:v>24000</x:v>
      </x:c>
      <x:c r="G2152" s="321">
        <x:v>6000</x:v>
      </x:c>
      <x:c r="H2152" s="312" t="s">
        <x:v>64</x:v>
      </x:c>
      <x:c r="I2152" s="312" t="s">
        <x:v>12</x:v>
      </x:c>
      <x:c r="J2152" s="316" t="n">
        <x:f>IFERROR(G2152/F2152,0)</x:f>
        <x:v>0.25</x:v>
      </x:c>
      <x:c r="K2152" s="312" t="str">
        <x:f>IF(B2152="Bilinmeyen Personel","Kontrol","OK")</x:f>
        <x:v>OK</x:v>
      </x:c>
    </x:row>
    <x:row r="2153" hidden="1">
      <x:c r="A2153" s="312" t="n">
        <x:f>ROW()-ROW($A$2)+1</x:f>
        <x:v>2152</x:v>
      </x:c>
      <x:c r="B2153" s="312" t="s">
        <x:v>32</x:v>
      </x:c>
      <x:c r="C2153" s="312" t="s">
        <x:v>27</x:v>
      </x:c>
      <x:c r="D2153" s="317">
        <x:v>5</x:v>
      </x:c>
      <x:c r="E2153" s="321">
        <x:v>1100</x:v>
      </x:c>
      <x:c r="F2153" s="321">
        <x:v>5500</x:v>
      </x:c>
      <x:c r="G2153" s="321">
        <x:v>1500</x:v>
      </x:c>
      <x:c r="H2153" s="312" t="s">
        <x:v>64</x:v>
      </x:c>
      <x:c r="I2153" s="312" t="s">
        <x:v>31</x:v>
      </x:c>
      <x:c r="J2153" s="316" t="n">
        <x:f>IFERROR(G2153/F2153,0)</x:f>
        <x:v>0.2727272727272727</x:v>
      </x:c>
      <x:c r="K2153" s="312" t="str">
        <x:f>IF(B2153="Bilinmeyen Personel","Kontrol","OK")</x:f>
        <x:v>OK</x:v>
      </x:c>
    </x:row>
    <x:row r="2154" hidden="1">
      <x:c r="A2154" s="312" t="n">
        <x:f>ROW()-ROW($A$2)+1</x:f>
        <x:v>2153</x:v>
      </x:c>
      <x:c r="B2154" s="312" t="s">
        <x:v>40</x:v>
      </x:c>
      <x:c r="C2154" s="312" t="s">
        <x:v>30</x:v>
      </x:c>
      <x:c r="D2154" s="317">
        <x:v>5</x:v>
      </x:c>
      <x:c r="E2154" s="321">
        <x:v>1200</x:v>
      </x:c>
      <x:c r="F2154" s="321">
        <x:v>6000</x:v>
      </x:c>
      <x:c r="G2154" s="321">
        <x:v>2000</x:v>
      </x:c>
      <x:c r="H2154" s="312" t="s">
        <x:v>64</x:v>
      </x:c>
      <x:c r="I2154" s="312" t="s">
        <x:v>31</x:v>
      </x:c>
      <x:c r="J2154" s="316" t="n">
        <x:f>IFERROR(G2154/F2154,0)</x:f>
        <x:v>0.3333333333333333</x:v>
      </x:c>
      <x:c r="K2154" s="312" t="str">
        <x:f>IF(B2154="Bilinmeyen Personel","Kontrol","OK")</x:f>
        <x:v>OK</x:v>
      </x:c>
    </x:row>
    <x:row r="2155" hidden="1">
      <x:c r="A2155" s="312" t="n">
        <x:f>ROW()-ROW($A$2)+1</x:f>
        <x:v>2154</x:v>
      </x:c>
      <x:c r="B2155" s="312" t="s">
        <x:v>23</x:v>
      </x:c>
      <x:c r="C2155" s="312" t="s">
        <x:v>45</x:v>
      </x:c>
      <x:c r="D2155" s="317">
        <x:v>2</x:v>
      </x:c>
      <x:c r="E2155" s="321">
        <x:v>4200</x:v>
      </x:c>
      <x:c r="F2155" s="321">
        <x:v>8400</x:v>
      </x:c>
      <x:c r="G2155" s="321">
        <x:v>2400</x:v>
      </x:c>
      <x:c r="H2155" s="312" t="s">
        <x:v>64</x:v>
      </x:c>
      <x:c r="I2155" s="312" t="s">
        <x:v>12</x:v>
      </x:c>
      <x:c r="J2155" s="316" t="n">
        <x:f>IFERROR(G2155/F2155,0)</x:f>
        <x:v>0.2857142857142857</x:v>
      </x:c>
      <x:c r="K2155" s="312" t="str">
        <x:f>IF(B2155="Bilinmeyen Personel","Kontrol","OK")</x:f>
        <x:v>OK</x:v>
      </x:c>
    </x:row>
    <x:row r="2156" hidden="1">
      <x:c r="A2156" s="312" t="n">
        <x:f>ROW()-ROW($A$2)+1</x:f>
        <x:v>2155</x:v>
      </x:c>
      <x:c r="B2156" s="312" t="s">
        <x:v>13</x:v>
      </x:c>
      <x:c r="C2156" s="312" t="s">
        <x:v>47</x:v>
      </x:c>
      <x:c r="D2156" s="317">
        <x:v>5</x:v>
      </x:c>
      <x:c r="E2156" s="321">
        <x:v>5775</x:v>
      </x:c>
      <x:c r="F2156" s="321">
        <x:v>28875</x:v>
      </x:c>
      <x:c r="G2156" s="321">
        <x:v>8875</x:v>
      </x:c>
      <x:c r="H2156" s="312" t="s">
        <x:v>64</x:v>
      </x:c>
      <x:c r="I2156" s="312" t="s">
        <x:v>25</x:v>
      </x:c>
      <x:c r="J2156" s="316" t="n">
        <x:f>IFERROR(G2156/F2156,0)</x:f>
        <x:v>0.30735930735930733</x:v>
      </x:c>
      <x:c r="K2156" s="312" t="str">
        <x:f>IF(B2156="Bilinmeyen Personel","Kontrol","OK")</x:f>
        <x:v>OK</x:v>
      </x:c>
    </x:row>
    <x:row r="2157" hidden="1">
      <x:c r="A2157" s="312" t="n">
        <x:f>ROW()-ROW($A$2)+1</x:f>
        <x:v>2156</x:v>
      </x:c>
      <x:c r="B2157" s="312" t="s">
        <x:v>48</x:v>
      </x:c>
      <x:c r="C2157" s="312" t="s">
        <x:v>24</x:v>
      </x:c>
      <x:c r="D2157" s="317">
        <x:v>2</x:v>
      </x:c>
      <x:c r="E2157" s="321">
        <x:v>7600</x:v>
      </x:c>
      <x:c r="F2157" s="321">
        <x:v>15200</x:v>
      </x:c>
      <x:c r="G2157" s="321">
        <x:v>3200</x:v>
      </x:c>
      <x:c r="H2157" s="312" t="s">
        <x:v>64</x:v>
      </x:c>
      <x:c r="I2157" s="312" t="s">
        <x:v>46</x:v>
      </x:c>
      <x:c r="J2157" s="316" t="n">
        <x:f>IFERROR(G2157/F2157,0)</x:f>
        <x:v>0.21052631578947367</x:v>
      </x:c>
      <x:c r="K2157" s="312" t="str">
        <x:f>IF(B2157="Bilinmeyen Personel","Kontrol","OK")</x:f>
        <x:v>OK</x:v>
      </x:c>
    </x:row>
    <x:row r="2158" hidden="1">
      <x:c r="A2158" s="312" t="n">
        <x:f>ROW()-ROW($A$2)+1</x:f>
        <x:v>2157</x:v>
      </x:c>
      <x:c r="B2158" s="312" t="s">
        <x:v>13</x:v>
      </x:c>
      <x:c r="C2158" s="312" t="s">
        <x:v>26</x:v>
      </x:c>
      <x:c r="D2158" s="317">
        <x:v>5</x:v>
      </x:c>
      <x:c r="E2158" s="321">
        <x:v>7250</x:v>
      </x:c>
      <x:c r="F2158" s="321">
        <x:v>36250</x:v>
      </x:c>
      <x:c r="G2158" s="321">
        <x:v>11250</x:v>
      </x:c>
      <x:c r="H2158" s="312" t="s">
        <x:v>64</x:v>
      </x:c>
      <x:c r="I2158" s="312" t="s">
        <x:v>18</x:v>
      </x:c>
      <x:c r="J2158" s="316" t="n">
        <x:f>IFERROR(G2158/F2158,0)</x:f>
        <x:v>0.3103448275862069</x:v>
      </x:c>
      <x:c r="K2158" s="312" t="str">
        <x:f>IF(B2158="Bilinmeyen Personel","Kontrol","OK")</x:f>
        <x:v>OK</x:v>
      </x:c>
    </x:row>
    <x:row r="2159" hidden="1">
      <x:c r="A2159" s="312" t="n">
        <x:f>ROW()-ROW($A$2)+1</x:f>
        <x:v>2158</x:v>
      </x:c>
      <x:c r="B2159" s="312" t="s">
        <x:v>9</x:v>
      </x:c>
      <x:c r="C2159" s="312" t="s">
        <x:v>26</x:v>
      </x:c>
      <x:c r="D2159" s="317">
        <x:v>3</x:v>
      </x:c>
      <x:c r="E2159" s="321">
        <x:v>7250</x:v>
      </x:c>
      <x:c r="F2159" s="321">
        <x:v>21750</x:v>
      </x:c>
      <x:c r="G2159" s="321">
        <x:v>6750</x:v>
      </x:c>
      <x:c r="H2159" s="312" t="s">
        <x:v>64</x:v>
      </x:c>
      <x:c r="I2159" s="312" t="s">
        <x:v>18</x:v>
      </x:c>
      <x:c r="J2159" s="316" t="n">
        <x:f>IFERROR(G2159/F2159,0)</x:f>
        <x:v>0.3103448275862069</x:v>
      </x:c>
      <x:c r="K2159" s="312" t="str">
        <x:f>IF(B2159="Bilinmeyen Personel","Kontrol","OK")</x:f>
        <x:v>OK</x:v>
      </x:c>
    </x:row>
    <x:row r="2160" hidden="1">
      <x:c r="A2160" s="312" t="n">
        <x:f>ROW()-ROW($A$2)+1</x:f>
        <x:v>2159</x:v>
      </x:c>
      <x:c r="B2160" s="312" t="s">
        <x:v>38</x:v>
      </x:c>
      <x:c r="C2160" s="312" t="s">
        <x:v>26</x:v>
      </x:c>
      <x:c r="D2160" s="317">
        <x:v>3</x:v>
      </x:c>
      <x:c r="E2160" s="321">
        <x:v>7250</x:v>
      </x:c>
      <x:c r="F2160" s="321">
        <x:v>21750</x:v>
      </x:c>
      <x:c r="G2160" s="321">
        <x:v>6750</x:v>
      </x:c>
      <x:c r="H2160" s="312" t="s">
        <x:v>64</x:v>
      </x:c>
      <x:c r="I2160" s="312" t="s">
        <x:v>18</x:v>
      </x:c>
      <x:c r="J2160" s="316" t="n">
        <x:f>IFERROR(G2160/F2160,0)</x:f>
        <x:v>0.3103448275862069</x:v>
      </x:c>
      <x:c r="K2160" s="312" t="str">
        <x:f>IF(B2160="Bilinmeyen Personel","Kontrol","OK")</x:f>
        <x:v>OK</x:v>
      </x:c>
    </x:row>
    <x:row r="2161" hidden="1">
      <x:c r="A2161" s="312" t="n">
        <x:f>ROW()-ROW($A$2)+1</x:f>
        <x:v>2160</x:v>
      </x:c>
      <x:c r="B2161" s="312" t="s">
        <x:v>29</x:v>
      </x:c>
      <x:c r="C2161" s="312" t="s">
        <x:v>20</x:v>
      </x:c>
      <x:c r="D2161" s="317">
        <x:v>2</x:v>
      </x:c>
      <x:c r="E2161" s="321">
        <x:v>1350</x:v>
      </x:c>
      <x:c r="F2161" s="321">
        <x:v>2700</x:v>
      </x:c>
      <x:c r="G2161" s="321">
        <x:v>1100</x:v>
      </x:c>
      <x:c r="H2161" s="312" t="s">
        <x:v>64</x:v>
      </x:c>
      <x:c r="I2161" s="312" t="s">
        <x:v>37</x:v>
      </x:c>
      <x:c r="J2161" s="316" t="n">
        <x:f>IFERROR(G2161/F2161,0)</x:f>
        <x:v>0.4074074074074074</x:v>
      </x:c>
      <x:c r="K2161" s="312" t="str">
        <x:f>IF(B2161="Bilinmeyen Personel","Kontrol","OK")</x:f>
        <x:v>OK</x:v>
      </x:c>
    </x:row>
    <x:row r="2162" hidden="1">
      <x:c r="A2162" s="312" t="n">
        <x:f>ROW()-ROW($A$2)+1</x:f>
        <x:v>2161</x:v>
      </x:c>
      <x:c r="B2162" s="312" t="s">
        <x:v>13</x:v>
      </x:c>
      <x:c r="C2162" s="312" t="s">
        <x:v>26</x:v>
      </x:c>
      <x:c r="D2162" s="317">
        <x:v>3</x:v>
      </x:c>
      <x:c r="E2162" s="321">
        <x:v>7250</x:v>
      </x:c>
      <x:c r="F2162" s="321">
        <x:v>21750</x:v>
      </x:c>
      <x:c r="G2162" s="321">
        <x:v>6750</x:v>
      </x:c>
      <x:c r="H2162" s="312" t="s">
        <x:v>64</x:v>
      </x:c>
      <x:c r="I2162" s="312" t="s">
        <x:v>15</x:v>
      </x:c>
      <x:c r="J2162" s="316" t="n">
        <x:f>IFERROR(G2162/F2162,0)</x:f>
        <x:v>0.3103448275862069</x:v>
      </x:c>
      <x:c r="K2162" s="312" t="str">
        <x:f>IF(B2162="Bilinmeyen Personel","Kontrol","OK")</x:f>
        <x:v>OK</x:v>
      </x:c>
    </x:row>
    <x:row r="2163" hidden="1">
      <x:c r="A2163" s="312" t="n">
        <x:f>ROW()-ROW($A$2)+1</x:f>
        <x:v>2162</x:v>
      </x:c>
      <x:c r="B2163" s="312" t="s">
        <x:v>32</x:v>
      </x:c>
      <x:c r="C2163" s="312" t="s">
        <x:v>24</x:v>
      </x:c>
      <x:c r="D2163" s="317">
        <x:v>4</x:v>
      </x:c>
      <x:c r="E2163" s="321">
        <x:v>7600</x:v>
      </x:c>
      <x:c r="F2163" s="321">
        <x:v>30400</x:v>
      </x:c>
      <x:c r="G2163" s="321">
        <x:v>6400</x:v>
      </x:c>
      <x:c r="H2163" s="312" t="s">
        <x:v>64</x:v>
      </x:c>
      <x:c r="I2163" s="312" t="s">
        <x:v>41</x:v>
      </x:c>
      <x:c r="J2163" s="316" t="n">
        <x:f>IFERROR(G2163/F2163,0)</x:f>
        <x:v>0.21052631578947367</x:v>
      </x:c>
      <x:c r="K2163" s="312" t="str">
        <x:f>IF(B2163="Bilinmeyen Personel","Kontrol","OK")</x:f>
        <x:v>OK</x:v>
      </x:c>
    </x:row>
    <x:row r="2164" hidden="1">
      <x:c r="A2164" s="312" t="n">
        <x:f>ROW()-ROW($A$2)+1</x:f>
        <x:v>2163</x:v>
      </x:c>
      <x:c r="B2164" s="312" t="s">
        <x:v>50</x:v>
      </x:c>
      <x:c r="C2164" s="312" t="s">
        <x:v>24</x:v>
      </x:c>
      <x:c r="D2164" s="317">
        <x:v>5</x:v>
      </x:c>
      <x:c r="E2164" s="321">
        <x:v>7600</x:v>
      </x:c>
      <x:c r="F2164" s="321">
        <x:v>38000</x:v>
      </x:c>
      <x:c r="G2164" s="321">
        <x:v>8000</x:v>
      </x:c>
      <x:c r="H2164" s="312" t="s">
        <x:v>64</x:v>
      </x:c>
      <x:c r="I2164" s="312" t="s">
        <x:v>31</x:v>
      </x:c>
      <x:c r="J2164" s="316" t="n">
        <x:f>IFERROR(G2164/F2164,0)</x:f>
        <x:v>0.21052631578947367</x:v>
      </x:c>
      <x:c r="K2164" s="312" t="str">
        <x:f>IF(B2164="Bilinmeyen Personel","Kontrol","OK")</x:f>
        <x:v>OK</x:v>
      </x:c>
    </x:row>
    <x:row r="2165" hidden="1">
      <x:c r="A2165" s="312" t="n">
        <x:f>ROW()-ROW($A$2)+1</x:f>
        <x:v>2164</x:v>
      </x:c>
      <x:c r="B2165" s="312" t="s">
        <x:v>13</x:v>
      </x:c>
      <x:c r="C2165" s="312" t="s">
        <x:v>43</x:v>
      </x:c>
      <x:c r="D2165" s="317">
        <x:v>5</x:v>
      </x:c>
      <x:c r="E2165" s="321">
        <x:v>1490</x:v>
      </x:c>
      <x:c r="F2165" s="321">
        <x:v>7450</x:v>
      </x:c>
      <x:c r="G2165" s="321">
        <x:v>3450</x:v>
      </x:c>
      <x:c r="H2165" s="312" t="s">
        <x:v>64</x:v>
      </x:c>
      <x:c r="I2165" s="312" t="s">
        <x:v>15</x:v>
      </x:c>
      <x:c r="J2165" s="316" t="n">
        <x:f>IFERROR(G2165/F2165,0)</x:f>
        <x:v>0.46308724832214765</x:v>
      </x:c>
      <x:c r="K2165" s="312" t="str">
        <x:f>IF(B2165="Bilinmeyen Personel","Kontrol","OK")</x:f>
        <x:v>OK</x:v>
      </x:c>
    </x:row>
    <x:row r="2166" hidden="1">
      <x:c r="A2166" s="312" t="n">
        <x:f>ROW()-ROW($A$2)+1</x:f>
        <x:v>2165</x:v>
      </x:c>
      <x:c r="B2166" s="312" t="s">
        <x:v>29</x:v>
      </x:c>
      <x:c r="C2166" s="312" t="s">
        <x:v>51</x:v>
      </x:c>
      <x:c r="D2166" s="317">
        <x:v>5</x:v>
      </x:c>
      <x:c r="E2166" s="321">
        <x:v>2900</x:v>
      </x:c>
      <x:c r="F2166" s="321">
        <x:v>14500</x:v>
      </x:c>
      <x:c r="G2166" s="321">
        <x:v>4500</x:v>
      </x:c>
      <x:c r="H2166" s="312" t="s">
        <x:v>64</x:v>
      </x:c>
      <x:c r="I2166" s="312" t="s">
        <x:v>25</x:v>
      </x:c>
      <x:c r="J2166" s="316" t="n">
        <x:f>IFERROR(G2166/F2166,0)</x:f>
        <x:v>0.3103448275862069</x:v>
      </x:c>
      <x:c r="K2166" s="312" t="str">
        <x:f>IF(B2166="Bilinmeyen Personel","Kontrol","OK")</x:f>
        <x:v>OK</x:v>
      </x:c>
    </x:row>
    <x:row r="2167" hidden="1">
      <x:c r="A2167" s="312" t="n">
        <x:f>ROW()-ROW($A$2)+1</x:f>
        <x:v>2166</x:v>
      </x:c>
      <x:c r="B2167" s="312" t="s">
        <x:v>40</x:v>
      </x:c>
      <x:c r="C2167" s="312" t="s">
        <x:v>43</x:v>
      </x:c>
      <x:c r="D2167" s="317">
        <x:v>3</x:v>
      </x:c>
      <x:c r="E2167" s="321">
        <x:v>1490</x:v>
      </x:c>
      <x:c r="F2167" s="321">
        <x:v>4470</x:v>
      </x:c>
      <x:c r="G2167" s="321">
        <x:v>2070</x:v>
      </x:c>
      <x:c r="H2167" s="312" t="s">
        <x:v>64</x:v>
      </x:c>
      <x:c r="I2167" s="312" t="s">
        <x:v>18</x:v>
      </x:c>
      <x:c r="J2167" s="316" t="n">
        <x:f>IFERROR(G2167/F2167,0)</x:f>
        <x:v>0.46308724832214765</x:v>
      </x:c>
      <x:c r="K2167" s="312" t="str">
        <x:f>IF(B2167="Bilinmeyen Personel","Kontrol","OK")</x:f>
        <x:v>OK</x:v>
      </x:c>
    </x:row>
    <x:row r="2168" hidden="1">
      <x:c r="A2168" s="312" t="n">
        <x:f>ROW()-ROW($A$2)+1</x:f>
        <x:v>2167</x:v>
      </x:c>
      <x:c r="B2168" s="312" t="s">
        <x:v>40</x:v>
      </x:c>
      <x:c r="C2168" s="312" t="s">
        <x:v>34</x:v>
      </x:c>
      <x:c r="D2168" s="317">
        <x:v>5</x:v>
      </x:c>
      <x:c r="E2168" s="321">
        <x:v>1090</x:v>
      </x:c>
      <x:c r="F2168" s="321">
        <x:v>5450</x:v>
      </x:c>
      <x:c r="G2168" s="321">
        <x:v>1450</x:v>
      </x:c>
      <x:c r="H2168" s="312" t="s">
        <x:v>64</x:v>
      </x:c>
      <x:c r="I2168" s="312" t="s">
        <x:v>25</x:v>
      </x:c>
      <x:c r="J2168" s="316" t="n">
        <x:f>IFERROR(G2168/F2168,0)</x:f>
        <x:v>0.26605504587155965</x:v>
      </x:c>
      <x:c r="K2168" s="312" t="str">
        <x:f>IF(B2168="Bilinmeyen Personel","Kontrol","OK")</x:f>
        <x:v>OK</x:v>
      </x:c>
    </x:row>
    <x:row r="2169" hidden="1">
      <x:c r="A2169" s="312" t="n">
        <x:f>ROW()-ROW($A$2)+1</x:f>
        <x:v>2168</x:v>
      </x:c>
      <x:c r="B2169" s="312" t="s">
        <x:v>29</x:v>
      </x:c>
      <x:c r="C2169" s="312" t="s">
        <x:v>30</x:v>
      </x:c>
      <x:c r="D2169" s="317">
        <x:v>3</x:v>
      </x:c>
      <x:c r="E2169" s="321">
        <x:v>1200</x:v>
      </x:c>
      <x:c r="F2169" s="321">
        <x:v>3600</x:v>
      </x:c>
      <x:c r="G2169" s="321">
        <x:v>1200</x:v>
      </x:c>
      <x:c r="H2169" s="312" t="s">
        <x:v>64</x:v>
      </x:c>
      <x:c r="I2169" s="312" t="s">
        <x:v>12</x:v>
      </x:c>
      <x:c r="J2169" s="316" t="n">
        <x:f>IFERROR(G2169/F2169,0)</x:f>
        <x:v>0.3333333333333333</x:v>
      </x:c>
      <x:c r="K2169" s="312" t="str">
        <x:f>IF(B2169="Bilinmeyen Personel","Kontrol","OK")</x:f>
        <x:v>OK</x:v>
      </x:c>
    </x:row>
    <x:row r="2170" hidden="1">
      <x:c r="A2170" s="312" t="n">
        <x:f>ROW()-ROW($A$2)+1</x:f>
        <x:v>2169</x:v>
      </x:c>
      <x:c r="B2170" s="312" t="s">
        <x:v>38</x:v>
      </x:c>
      <x:c r="C2170" s="312" t="s">
        <x:v>39</x:v>
      </x:c>
      <x:c r="D2170" s="317">
        <x:v>5</x:v>
      </x:c>
      <x:c r="E2170" s="321">
        <x:v>10590</x:v>
      </x:c>
      <x:c r="F2170" s="321">
        <x:v>52950</x:v>
      </x:c>
      <x:c r="G2170" s="321">
        <x:v>22950</x:v>
      </x:c>
      <x:c r="H2170" s="312" t="s">
        <x:v>64</x:v>
      </x:c>
      <x:c r="I2170" s="312" t="s">
        <x:v>31</x:v>
      </x:c>
      <x:c r="J2170" s="316" t="n">
        <x:f>IFERROR(G2170/F2170,0)</x:f>
        <x:v>0.43342776203966005</x:v>
      </x:c>
      <x:c r="K2170" s="312" t="str">
        <x:f>IF(B2170="Bilinmeyen Personel","Kontrol","OK")</x:f>
        <x:v>OK</x:v>
      </x:c>
    </x:row>
    <x:row r="2171" hidden="1">
      <x:c r="A2171" s="312" t="n">
        <x:f>ROW()-ROW($A$2)+1</x:f>
        <x:v>2170</x:v>
      </x:c>
      <x:c r="B2171" s="312" t="s">
        <x:v>32</x:v>
      </x:c>
      <x:c r="C2171" s="312" t="s">
        <x:v>45</x:v>
      </x:c>
      <x:c r="D2171" s="317">
        <x:v>4</x:v>
      </x:c>
      <x:c r="E2171" s="321">
        <x:v>4200</x:v>
      </x:c>
      <x:c r="F2171" s="321">
        <x:v>16800</x:v>
      </x:c>
      <x:c r="G2171" s="321">
        <x:v>4800</x:v>
      </x:c>
      <x:c r="H2171" s="312" t="s">
        <x:v>64</x:v>
      </x:c>
      <x:c r="I2171" s="312" t="s">
        <x:v>21</x:v>
      </x:c>
      <x:c r="J2171" s="316" t="n">
        <x:f>IFERROR(G2171/F2171,0)</x:f>
        <x:v>0.2857142857142857</x:v>
      </x:c>
      <x:c r="K2171" s="312" t="str">
        <x:f>IF(B2171="Bilinmeyen Personel","Kontrol","OK")</x:f>
        <x:v>OK</x:v>
      </x:c>
    </x:row>
    <x:row r="2172" hidden="1">
      <x:c r="A2172" s="312" t="n">
        <x:f>ROW()-ROW($A$2)+1</x:f>
        <x:v>2171</x:v>
      </x:c>
      <x:c r="B2172" s="312" t="s">
        <x:v>19</x:v>
      </x:c>
      <x:c r="C2172" s="312" t="s">
        <x:v>45</x:v>
      </x:c>
      <x:c r="D2172" s="317">
        <x:v>2</x:v>
      </x:c>
      <x:c r="E2172" s="321">
        <x:v>4200</x:v>
      </x:c>
      <x:c r="F2172" s="321">
        <x:v>8400</x:v>
      </x:c>
      <x:c r="G2172" s="321">
        <x:v>2400</x:v>
      </x:c>
      <x:c r="H2172" s="312" t="s">
        <x:v>64</x:v>
      </x:c>
      <x:c r="I2172" s="312" t="s">
        <x:v>21</x:v>
      </x:c>
      <x:c r="J2172" s="316" t="n">
        <x:f>IFERROR(G2172/F2172,0)</x:f>
        <x:v>0.2857142857142857</x:v>
      </x:c>
      <x:c r="K2172" s="312" t="str">
        <x:f>IF(B2172="Bilinmeyen Personel","Kontrol","OK")</x:f>
        <x:v>OK</x:v>
      </x:c>
    </x:row>
    <x:row r="2173" hidden="1">
      <x:c r="A2173" s="312" t="n">
        <x:f>ROW()-ROW($A$2)+1</x:f>
        <x:v>2172</x:v>
      </x:c>
      <x:c r="B2173" s="312" t="s">
        <x:v>35</x:v>
      </x:c>
      <x:c r="C2173" s="312" t="s">
        <x:v>39</x:v>
      </x:c>
      <x:c r="D2173" s="317">
        <x:v>2</x:v>
      </x:c>
      <x:c r="E2173" s="321">
        <x:v>10590</x:v>
      </x:c>
      <x:c r="F2173" s="321">
        <x:v>21180</x:v>
      </x:c>
      <x:c r="G2173" s="321">
        <x:v>9180</x:v>
      </x:c>
      <x:c r="H2173" s="312" t="s">
        <x:v>64</x:v>
      </x:c>
      <x:c r="I2173" s="312" t="s">
        <x:v>31</x:v>
      </x:c>
      <x:c r="J2173" s="316" t="n">
        <x:f>IFERROR(G2173/F2173,0)</x:f>
        <x:v>0.43342776203966005</x:v>
      </x:c>
      <x:c r="K2173" s="312" t="str">
        <x:f>IF(B2173="Bilinmeyen Personel","Kontrol","OK")</x:f>
        <x:v>OK</x:v>
      </x:c>
    </x:row>
    <x:row r="2174" hidden="1">
      <x:c r="A2174" s="312" t="n">
        <x:f>ROW()-ROW($A$2)+1</x:f>
        <x:v>2173</x:v>
      </x:c>
      <x:c r="B2174" s="312" t="s">
        <x:v>50</x:v>
      </x:c>
      <x:c r="C2174" s="312" t="s">
        <x:v>52</x:v>
      </x:c>
      <x:c r="D2174" s="317">
        <x:v>2</x:v>
      </x:c>
      <x:c r="E2174" s="321">
        <x:v>1250</x:v>
      </x:c>
      <x:c r="F2174" s="321">
        <x:v>2500</x:v>
      </x:c>
      <x:c r="G2174" s="321">
        <x:v>900</x:v>
      </x:c>
      <x:c r="H2174" s="312" t="s">
        <x:v>64</x:v>
      </x:c>
      <x:c r="I2174" s="312" t="s">
        <x:v>25</x:v>
      </x:c>
      <x:c r="J2174" s="316" t="n">
        <x:f>IFERROR(G2174/F2174,0)</x:f>
        <x:v>0.36</x:v>
      </x:c>
      <x:c r="K2174" s="312" t="str">
        <x:f>IF(B2174="Bilinmeyen Personel","Kontrol","OK")</x:f>
        <x:v>OK</x:v>
      </x:c>
    </x:row>
    <x:row r="2175" hidden="1">
      <x:c r="A2175" s="312" t="n">
        <x:f>ROW()-ROW($A$2)+1</x:f>
        <x:v>2174</x:v>
      </x:c>
      <x:c r="B2175" s="312" t="s">
        <x:v>9</x:v>
      </x:c>
      <x:c r="C2175" s="312" t="s">
        <x:v>43</x:v>
      </x:c>
      <x:c r="D2175" s="317">
        <x:v>3</x:v>
      </x:c>
      <x:c r="E2175" s="321">
        <x:v>1490</x:v>
      </x:c>
      <x:c r="F2175" s="321">
        <x:v>4470</x:v>
      </x:c>
      <x:c r="G2175" s="321">
        <x:v>2070</x:v>
      </x:c>
      <x:c r="H2175" s="312" t="s">
        <x:v>64</x:v>
      </x:c>
      <x:c r="I2175" s="312" t="s">
        <x:v>18</x:v>
      </x:c>
      <x:c r="J2175" s="316" t="n">
        <x:f>IFERROR(G2175/F2175,0)</x:f>
        <x:v>0.46308724832214765</x:v>
      </x:c>
      <x:c r="K2175" s="312" t="str">
        <x:f>IF(B2175="Bilinmeyen Personel","Kontrol","OK")</x:f>
        <x:v>OK</x:v>
      </x:c>
    </x:row>
    <x:row r="2176" hidden="1">
      <x:c r="A2176" s="312" t="n">
        <x:f>ROW()-ROW($A$2)+1</x:f>
        <x:v>2175</x:v>
      </x:c>
      <x:c r="B2176" s="312" t="s">
        <x:v>32</x:v>
      </x:c>
      <x:c r="C2176" s="312" t="s">
        <x:v>30</x:v>
      </x:c>
      <x:c r="D2176" s="317">
        <x:v>2</x:v>
      </x:c>
      <x:c r="E2176" s="321">
        <x:v>1200</x:v>
      </x:c>
      <x:c r="F2176" s="321">
        <x:v>2400</x:v>
      </x:c>
      <x:c r="G2176" s="321">
        <x:v>800</x:v>
      </x:c>
      <x:c r="H2176" s="312" t="s">
        <x:v>64</x:v>
      </x:c>
      <x:c r="I2176" s="312" t="s">
        <x:v>21</x:v>
      </x:c>
      <x:c r="J2176" s="316" t="n">
        <x:f>IFERROR(G2176/F2176,0)</x:f>
        <x:v>0.3333333333333333</x:v>
      </x:c>
      <x:c r="K2176" s="312" t="str">
        <x:f>IF(B2176="Bilinmeyen Personel","Kontrol","OK")</x:f>
        <x:v>OK</x:v>
      </x:c>
    </x:row>
    <x:row r="2177" hidden="1">
      <x:c r="A2177" s="312" t="n">
        <x:f>ROW()-ROW($A$2)+1</x:f>
        <x:v>2176</x:v>
      </x:c>
      <x:c r="B2177" s="312" t="s">
        <x:v>16</x:v>
      </x:c>
      <x:c r="C2177" s="312" t="s">
        <x:v>22</x:v>
      </x:c>
      <x:c r="D2177" s="317">
        <x:v>4</x:v>
      </x:c>
      <x:c r="E2177" s="321">
        <x:v>2180</x:v>
      </x:c>
      <x:c r="F2177" s="321">
        <x:v>8720</x:v>
      </x:c>
      <x:c r="G2177" s="321">
        <x:v>2720</x:v>
      </x:c>
      <x:c r="H2177" s="312" t="s">
        <x:v>64</x:v>
      </x:c>
      <x:c r="I2177" s="312" t="s">
        <x:v>31</x:v>
      </x:c>
      <x:c r="J2177" s="316" t="n">
        <x:f>IFERROR(G2177/F2177,0)</x:f>
        <x:v>0.3119266055045872</x:v>
      </x:c>
      <x:c r="K2177" s="312" t="str">
        <x:f>IF(B2177="Bilinmeyen Personel","Kontrol","OK")</x:f>
        <x:v>OK</x:v>
      </x:c>
    </x:row>
    <x:row r="2178" hidden="1">
      <x:c r="A2178" s="312" t="n">
        <x:f>ROW()-ROW($A$2)+1</x:f>
        <x:v>2177</x:v>
      </x:c>
      <x:c r="B2178" s="312" t="s">
        <x:v>40</x:v>
      </x:c>
      <x:c r="C2178" s="312" t="s">
        <x:v>53</x:v>
      </x:c>
      <x:c r="D2178" s="317">
        <x:v>3</x:v>
      </x:c>
      <x:c r="E2178" s="321">
        <x:v>1200</x:v>
      </x:c>
      <x:c r="F2178" s="321">
        <x:v>3600</x:v>
      </x:c>
      <x:c r="G2178" s="321">
        <x:v>1200</x:v>
      </x:c>
      <x:c r="H2178" s="312" t="s">
        <x:v>64</x:v>
      </x:c>
      <x:c r="I2178" s="312" t="s">
        <x:v>18</x:v>
      </x:c>
      <x:c r="J2178" s="316" t="n">
        <x:f>IFERROR(G2178/F2178,0)</x:f>
        <x:v>0.3333333333333333</x:v>
      </x:c>
      <x:c r="K2178" s="312" t="str">
        <x:f>IF(B2178="Bilinmeyen Personel","Kontrol","OK")</x:f>
        <x:v>OK</x:v>
      </x:c>
    </x:row>
    <x:row r="2179" hidden="1">
      <x:c r="A2179" s="312" t="n">
        <x:f>ROW()-ROW($A$2)+1</x:f>
        <x:v>2178</x:v>
      </x:c>
      <x:c r="B2179" s="312" t="s">
        <x:v>9</x:v>
      </x:c>
      <x:c r="C2179" s="312" t="s">
        <x:v>33</x:v>
      </x:c>
      <x:c r="D2179" s="317">
        <x:v>5</x:v>
      </x:c>
      <x:c r="E2179" s="321">
        <x:v>1800</x:v>
      </x:c>
      <x:c r="F2179" s="321">
        <x:v>9000</x:v>
      </x:c>
      <x:c r="G2179" s="321">
        <x:v>5000</x:v>
      </x:c>
      <x:c r="H2179" s="312" t="s">
        <x:v>64</x:v>
      </x:c>
      <x:c r="I2179" s="312" t="s">
        <x:v>31</x:v>
      </x:c>
      <x:c r="J2179" s="316" t="n">
        <x:f>IFERROR(G2179/F2179,0)</x:f>
        <x:v>0.5555555555555556</x:v>
      </x:c>
      <x:c r="K2179" s="312" t="str">
        <x:f>IF(B2179="Bilinmeyen Personel","Kontrol","OK")</x:f>
        <x:v>OK</x:v>
      </x:c>
    </x:row>
    <x:row r="2180" hidden="1">
      <x:c r="A2180" s="312" t="n">
        <x:f>ROW()-ROW($A$2)+1</x:f>
        <x:v>2179</x:v>
      </x:c>
      <x:c r="B2180" s="312" t="s">
        <x:v>16</x:v>
      </x:c>
      <x:c r="C2180" s="312" t="s">
        <x:v>24</x:v>
      </x:c>
      <x:c r="D2180" s="317">
        <x:v>5</x:v>
      </x:c>
      <x:c r="E2180" s="321">
        <x:v>7600</x:v>
      </x:c>
      <x:c r="F2180" s="321">
        <x:v>38000</x:v>
      </x:c>
      <x:c r="G2180" s="321">
        <x:v>8000</x:v>
      </x:c>
      <x:c r="H2180" s="312" t="s">
        <x:v>64</x:v>
      </x:c>
      <x:c r="I2180" s="312" t="s">
        <x:v>54</x:v>
      </x:c>
      <x:c r="J2180" s="316" t="n">
        <x:f>IFERROR(G2180/F2180,0)</x:f>
        <x:v>0.21052631578947367</x:v>
      </x:c>
      <x:c r="K2180" s="312" t="str">
        <x:f>IF(B2180="Bilinmeyen Personel","Kontrol","OK")</x:f>
        <x:v>OK</x:v>
      </x:c>
    </x:row>
    <x:row r="2181" hidden="1">
      <x:c r="A2181" s="312" t="n">
        <x:f>ROW()-ROW($A$2)+1</x:f>
        <x:v>2180</x:v>
      </x:c>
      <x:c r="B2181" s="312" t="s">
        <x:v>35</x:v>
      </x:c>
      <x:c r="C2181" s="312" t="s">
        <x:v>55</x:v>
      </x:c>
      <x:c r="D2181" s="317">
        <x:v>4</x:v>
      </x:c>
      <x:c r="E2181" s="321">
        <x:v>7530</x:v>
      </x:c>
      <x:c r="F2181" s="321">
        <x:v>30120</x:v>
      </x:c>
      <x:c r="G2181" s="321">
        <x:v>6120</x:v>
      </x:c>
      <x:c r="H2181" s="312" t="s">
        <x:v>64</x:v>
      </x:c>
      <x:c r="I2181" s="312" t="s">
        <x:v>28</x:v>
      </x:c>
      <x:c r="J2181" s="316" t="n">
        <x:f>IFERROR(G2181/F2181,0)</x:f>
        <x:v>0.20318725099601595</x:v>
      </x:c>
      <x:c r="K2181" s="312" t="str">
        <x:f>IF(B2181="Bilinmeyen Personel","Kontrol","OK")</x:f>
        <x:v>OK</x:v>
      </x:c>
    </x:row>
    <x:row r="2182" hidden="1">
      <x:c r="A2182" s="312" t="n">
        <x:f>ROW()-ROW($A$2)+1</x:f>
        <x:v>2181</x:v>
      </x:c>
      <x:c r="B2182" s="312" t="s">
        <x:v>50</x:v>
      </x:c>
      <x:c r="C2182" s="312" t="s">
        <x:v>43</x:v>
      </x:c>
      <x:c r="D2182" s="317">
        <x:v>5</x:v>
      </x:c>
      <x:c r="E2182" s="321">
        <x:v>1490</x:v>
      </x:c>
      <x:c r="F2182" s="321">
        <x:v>7450</x:v>
      </x:c>
      <x:c r="G2182" s="321">
        <x:v>3450</x:v>
      </x:c>
      <x:c r="H2182" s="312" t="s">
        <x:v>64</x:v>
      </x:c>
      <x:c r="I2182" s="312" t="s">
        <x:v>44</x:v>
      </x:c>
      <x:c r="J2182" s="316" t="n">
        <x:f>IFERROR(G2182/F2182,0)</x:f>
        <x:v>0.46308724832214765</x:v>
      </x:c>
      <x:c r="K2182" s="312" t="str">
        <x:f>IF(B2182="Bilinmeyen Personel","Kontrol","OK")</x:f>
        <x:v>OK</x:v>
      </x:c>
    </x:row>
    <x:row r="2183" hidden="1">
      <x:c r="A2183" s="312" t="n">
        <x:f>ROW()-ROW($A$2)+1</x:f>
        <x:v>2182</x:v>
      </x:c>
      <x:c r="B2183" s="312" t="s">
        <x:v>9</x:v>
      </x:c>
      <x:c r="C2183" s="312" t="s">
        <x:v>56</x:v>
      </x:c>
      <x:c r="D2183" s="317">
        <x:v>4</x:v>
      </x:c>
      <x:c r="E2183" s="321">
        <x:v>5300</x:v>
      </x:c>
      <x:c r="F2183" s="321">
        <x:v>21200</x:v>
      </x:c>
      <x:c r="G2183" s="321">
        <x:v>5200</x:v>
      </x:c>
      <x:c r="H2183" s="312" t="s">
        <x:v>64</x:v>
      </x:c>
      <x:c r="I2183" s="312" t="s">
        <x:v>28</x:v>
      </x:c>
      <x:c r="J2183" s="316" t="n">
        <x:f>IFERROR(G2183/F2183,0)</x:f>
        <x:v>0.24528301886792453</x:v>
      </x:c>
      <x:c r="K2183" s="312" t="str">
        <x:f>IF(B2183="Bilinmeyen Personel","Kontrol","OK")</x:f>
        <x:v>OK</x:v>
      </x:c>
    </x:row>
    <x:row r="2184" hidden="1">
      <x:c r="A2184" s="312" t="n">
        <x:f>ROW()-ROW($A$2)+1</x:f>
        <x:v>2183</x:v>
      </x:c>
      <x:c r="B2184" s="312" t="s">
        <x:v>23</x:v>
      </x:c>
      <x:c r="C2184" s="312" t="s">
        <x:v>30</x:v>
      </x:c>
      <x:c r="D2184" s="317">
        <x:v>3</x:v>
      </x:c>
      <x:c r="E2184" s="321">
        <x:v>1200</x:v>
      </x:c>
      <x:c r="F2184" s="321">
        <x:v>3600</x:v>
      </x:c>
      <x:c r="G2184" s="321">
        <x:v>1200</x:v>
      </x:c>
      <x:c r="H2184" s="312" t="s">
        <x:v>64</x:v>
      </x:c>
      <x:c r="I2184" s="312" t="s">
        <x:v>31</x:v>
      </x:c>
      <x:c r="J2184" s="316" t="n">
        <x:f>IFERROR(G2184/F2184,0)</x:f>
        <x:v>0.3333333333333333</x:v>
      </x:c>
      <x:c r="K2184" s="312" t="str">
        <x:f>IF(B2184="Bilinmeyen Personel","Kontrol","OK")</x:f>
        <x:v>OK</x:v>
      </x:c>
    </x:row>
    <x:row r="2185" hidden="1">
      <x:c r="A2185" s="312" t="n">
        <x:f>ROW()-ROW($A$2)+1</x:f>
        <x:v>2184</x:v>
      </x:c>
      <x:c r="B2185" s="312" t="s">
        <x:v>40</x:v>
      </x:c>
      <x:c r="C2185" s="312" t="s">
        <x:v>34</x:v>
      </x:c>
      <x:c r="D2185" s="317">
        <x:v>4</x:v>
      </x:c>
      <x:c r="E2185" s="321">
        <x:v>1090</x:v>
      </x:c>
      <x:c r="F2185" s="321">
        <x:v>4360</x:v>
      </x:c>
      <x:c r="G2185" s="321">
        <x:v>1160</x:v>
      </x:c>
      <x:c r="H2185" s="312" t="s">
        <x:v>64</x:v>
      </x:c>
      <x:c r="I2185" s="312" t="s">
        <x:v>15</x:v>
      </x:c>
      <x:c r="J2185" s="316" t="n">
        <x:f>IFERROR(G2185/F2185,0)</x:f>
        <x:v>0.26605504587155965</x:v>
      </x:c>
      <x:c r="K2185" s="312" t="str">
        <x:f>IF(B2185="Bilinmeyen Personel","Kontrol","OK")</x:f>
        <x:v>OK</x:v>
      </x:c>
    </x:row>
    <x:row r="2186" hidden="1">
      <x:c r="A2186" s="312" t="n">
        <x:f>ROW()-ROW($A$2)+1</x:f>
        <x:v>2185</x:v>
      </x:c>
      <x:c r="B2186" s="312" t="s">
        <x:v>23</x:v>
      </x:c>
      <x:c r="C2186" s="312" t="s">
        <x:v>26</x:v>
      </x:c>
      <x:c r="D2186" s="317">
        <x:v>3</x:v>
      </x:c>
      <x:c r="E2186" s="321">
        <x:v>7250</x:v>
      </x:c>
      <x:c r="F2186" s="321">
        <x:v>21750</x:v>
      </x:c>
      <x:c r="G2186" s="321">
        <x:v>6750</x:v>
      </x:c>
      <x:c r="H2186" s="312" t="s">
        <x:v>64</x:v>
      </x:c>
      <x:c r="I2186" s="312" t="s">
        <x:v>46</x:v>
      </x:c>
      <x:c r="J2186" s="316" t="n">
        <x:f>IFERROR(G2186/F2186,0)</x:f>
        <x:v>0.3103448275862069</x:v>
      </x:c>
      <x:c r="K2186" s="312" t="str">
        <x:f>IF(B2186="Bilinmeyen Personel","Kontrol","OK")</x:f>
        <x:v>OK</x:v>
      </x:c>
    </x:row>
    <x:row r="2187" hidden="1">
      <x:c r="A2187" s="312" t="n">
        <x:f>ROW()-ROW($A$2)+1</x:f>
        <x:v>2186</x:v>
      </x:c>
      <x:c r="B2187" s="312" t="s">
        <x:v>48</x:v>
      </x:c>
      <x:c r="C2187" s="312" t="s">
        <x:v>14</x:v>
      </x:c>
      <x:c r="D2187" s="317">
        <x:v>5</x:v>
      </x:c>
      <x:c r="E2187" s="321">
        <x:v>1400</x:v>
      </x:c>
      <x:c r="F2187" s="321">
        <x:v>7000</x:v>
      </x:c>
      <x:c r="G2187" s="321">
        <x:v>3000</x:v>
      </x:c>
      <x:c r="H2187" s="312" t="s">
        <x:v>64</x:v>
      </x:c>
      <x:c r="I2187" s="312" t="s">
        <x:v>41</x:v>
      </x:c>
      <x:c r="J2187" s="316" t="n">
        <x:f>IFERROR(G2187/F2187,0)</x:f>
        <x:v>0.42857142857142855</x:v>
      </x:c>
      <x:c r="K2187" s="312" t="str">
        <x:f>IF(B2187="Bilinmeyen Personel","Kontrol","OK")</x:f>
        <x:v>OK</x:v>
      </x:c>
    </x:row>
    <x:row r="2188" hidden="1">
      <x:c r="A2188" s="312" t="n">
        <x:f>ROW()-ROW($A$2)+1</x:f>
        <x:v>2187</x:v>
      </x:c>
      <x:c r="B2188" s="312" t="s">
        <x:v>16</x:v>
      </x:c>
      <x:c r="C2188" s="312" t="s">
        <x:v>57</x:v>
      </x:c>
      <x:c r="D2188" s="317">
        <x:v>3</x:v>
      </x:c>
      <x:c r="E2188" s="321">
        <x:v>1500</x:v>
      </x:c>
      <x:c r="F2188" s="321">
        <x:v>4500</x:v>
      </x:c>
      <x:c r="G2188" s="321">
        <x:v>2100</x:v>
      </x:c>
      <x:c r="H2188" s="312" t="s">
        <x:v>64</x:v>
      </x:c>
      <x:c r="I2188" s="312" t="s">
        <x:v>46</x:v>
      </x:c>
      <x:c r="J2188" s="316" t="n">
        <x:f>IFERROR(G2188/F2188,0)</x:f>
        <x:v>0.4666666666666667</x:v>
      </x:c>
      <x:c r="K2188" s="312" t="str">
        <x:f>IF(B2188="Bilinmeyen Personel","Kontrol","OK")</x:f>
        <x:v>OK</x:v>
      </x:c>
    </x:row>
    <x:row r="2189" hidden="1">
      <x:c r="A2189" s="312" t="n">
        <x:f>ROW()-ROW($A$2)+1</x:f>
        <x:v>2188</x:v>
      </x:c>
      <x:c r="B2189" s="312" t="s">
        <x:v>35</x:v>
      </x:c>
      <x:c r="C2189" s="312" t="s">
        <x:v>20</x:v>
      </x:c>
      <x:c r="D2189" s="317">
        <x:v>4</x:v>
      </x:c>
      <x:c r="E2189" s="321">
        <x:v>1350</x:v>
      </x:c>
      <x:c r="F2189" s="321">
        <x:v>5400</x:v>
      </x:c>
      <x:c r="G2189" s="321">
        <x:v>2200</x:v>
      </x:c>
      <x:c r="H2189" s="312" t="s">
        <x:v>64</x:v>
      </x:c>
      <x:c r="I2189" s="312" t="s">
        <x:v>42</x:v>
      </x:c>
      <x:c r="J2189" s="316" t="n">
        <x:f>IFERROR(G2189/F2189,0)</x:f>
        <x:v>0.4074074074074074</x:v>
      </x:c>
      <x:c r="K2189" s="312" t="str">
        <x:f>IF(B2189="Bilinmeyen Personel","Kontrol","OK")</x:f>
        <x:v>OK</x:v>
      </x:c>
    </x:row>
    <x:row r="2190" hidden="1">
      <x:c r="A2190" s="312" t="n">
        <x:f>ROW()-ROW($A$2)+1</x:f>
        <x:v>2189</x:v>
      </x:c>
      <x:c r="B2190" s="312" t="s">
        <x:v>35</x:v>
      </x:c>
      <x:c r="C2190" s="312" t="s">
        <x:v>30</x:v>
      </x:c>
      <x:c r="D2190" s="317">
        <x:v>2</x:v>
      </x:c>
      <x:c r="E2190" s="321">
        <x:v>1200</x:v>
      </x:c>
      <x:c r="F2190" s="321">
        <x:v>2400</x:v>
      </x:c>
      <x:c r="G2190" s="321">
        <x:v>800</x:v>
      </x:c>
      <x:c r="H2190" s="312" t="s">
        <x:v>64</x:v>
      </x:c>
      <x:c r="I2190" s="312" t="s">
        <x:v>12</x:v>
      </x:c>
      <x:c r="J2190" s="316" t="n">
        <x:f>IFERROR(G2190/F2190,0)</x:f>
        <x:v>0.3333333333333333</x:v>
      </x:c>
      <x:c r="K2190" s="312" t="str">
        <x:f>IF(B2190="Bilinmeyen Personel","Kontrol","OK")</x:f>
        <x:v>OK</x:v>
      </x:c>
    </x:row>
    <x:row r="2191" hidden="1">
      <x:c r="A2191" s="312" t="n">
        <x:f>ROW()-ROW($A$2)+1</x:f>
        <x:v>2190</x:v>
      </x:c>
      <x:c r="B2191" s="312" t="s">
        <x:v>13</x:v>
      </x:c>
      <x:c r="C2191" s="312" t="s">
        <x:v>55</x:v>
      </x:c>
      <x:c r="D2191" s="317">
        <x:v>3</x:v>
      </x:c>
      <x:c r="E2191" s="321">
        <x:v>7530</x:v>
      </x:c>
      <x:c r="F2191" s="321">
        <x:v>22590</x:v>
      </x:c>
      <x:c r="G2191" s="321">
        <x:v>4590</x:v>
      </x:c>
      <x:c r="H2191" s="312" t="s">
        <x:v>64</x:v>
      </x:c>
      <x:c r="I2191" s="312" t="s">
        <x:v>12</x:v>
      </x:c>
      <x:c r="J2191" s="316" t="n">
        <x:f>IFERROR(G2191/F2191,0)</x:f>
        <x:v>0.20318725099601595</x:v>
      </x:c>
      <x:c r="K2191" s="312" t="str">
        <x:f>IF(B2191="Bilinmeyen Personel","Kontrol","OK")</x:f>
        <x:v>OK</x:v>
      </x:c>
    </x:row>
    <x:row r="2192" hidden="1">
      <x:c r="A2192" s="312" t="n">
        <x:f>ROW()-ROW($A$2)+1</x:f>
        <x:v>2191</x:v>
      </x:c>
      <x:c r="B2192" s="312" t="s">
        <x:v>48</x:v>
      </x:c>
      <x:c r="C2192" s="312" t="s">
        <x:v>30</x:v>
      </x:c>
      <x:c r="D2192" s="317">
        <x:v>2</x:v>
      </x:c>
      <x:c r="E2192" s="321">
        <x:v>1200</x:v>
      </x:c>
      <x:c r="F2192" s="321">
        <x:v>2400</x:v>
      </x:c>
      <x:c r="G2192" s="321">
        <x:v>800</x:v>
      </x:c>
      <x:c r="H2192" s="312" t="s">
        <x:v>64</x:v>
      </x:c>
      <x:c r="I2192" s="312" t="s">
        <x:v>25</x:v>
      </x:c>
      <x:c r="J2192" s="316" t="n">
        <x:f>IFERROR(G2192/F2192,0)</x:f>
        <x:v>0.3333333333333333</x:v>
      </x:c>
      <x:c r="K2192" s="312" t="str">
        <x:f>IF(B2192="Bilinmeyen Personel","Kontrol","OK")</x:f>
        <x:v>OK</x:v>
      </x:c>
    </x:row>
    <x:row r="2193" hidden="1">
      <x:c r="A2193" s="312" t="n">
        <x:f>ROW()-ROW($A$2)+1</x:f>
        <x:v>2192</x:v>
      </x:c>
      <x:c r="B2193" s="312" t="s">
        <x:v>38</x:v>
      </x:c>
      <x:c r="C2193" s="312" t="s">
        <x:v>33</x:v>
      </x:c>
      <x:c r="D2193" s="317">
        <x:v>3</x:v>
      </x:c>
      <x:c r="E2193" s="321">
        <x:v>1800</x:v>
      </x:c>
      <x:c r="F2193" s="321">
        <x:v>5400</x:v>
      </x:c>
      <x:c r="G2193" s="321">
        <x:v>3000</x:v>
      </x:c>
      <x:c r="H2193" s="312" t="s">
        <x:v>64</x:v>
      </x:c>
      <x:c r="I2193" s="312" t="s">
        <x:v>28</x:v>
      </x:c>
      <x:c r="J2193" s="316" t="n">
        <x:f>IFERROR(G2193/F2193,0)</x:f>
        <x:v>0.5555555555555556</x:v>
      </x:c>
      <x:c r="K2193" s="312" t="str">
        <x:f>IF(B2193="Bilinmeyen Personel","Kontrol","OK")</x:f>
        <x:v>OK</x:v>
      </x:c>
    </x:row>
    <x:row r="2194" hidden="1">
      <x:c r="A2194" s="312" t="n">
        <x:f>ROW()-ROW($A$2)+1</x:f>
        <x:v>2193</x:v>
      </x:c>
      <x:c r="B2194" s="312" t="s">
        <x:v>9</x:v>
      </x:c>
      <x:c r="C2194" s="312" t="s">
        <x:v>26</x:v>
      </x:c>
      <x:c r="D2194" s="317">
        <x:v>5</x:v>
      </x:c>
      <x:c r="E2194" s="321">
        <x:v>7250</x:v>
      </x:c>
      <x:c r="F2194" s="321">
        <x:v>36250</x:v>
      </x:c>
      <x:c r="G2194" s="321">
        <x:v>11250</x:v>
      </x:c>
      <x:c r="H2194" s="312" t="s">
        <x:v>64</x:v>
      </x:c>
      <x:c r="I2194" s="312" t="s">
        <x:v>44</x:v>
      </x:c>
      <x:c r="J2194" s="316" t="n">
        <x:f>IFERROR(G2194/F2194,0)</x:f>
        <x:v>0.3103448275862069</x:v>
      </x:c>
      <x:c r="K2194" s="312" t="str">
        <x:f>IF(B2194="Bilinmeyen Personel","Kontrol","OK")</x:f>
        <x:v>OK</x:v>
      </x:c>
    </x:row>
    <x:row r="2195" hidden="1">
      <x:c r="A2195" s="312" t="n">
        <x:f>ROW()-ROW($A$2)+1</x:f>
        <x:v>2194</x:v>
      </x:c>
      <x:c r="B2195" s="312" t="s">
        <x:v>40</x:v>
      </x:c>
      <x:c r="C2195" s="312" t="s">
        <x:v>43</x:v>
      </x:c>
      <x:c r="D2195" s="317">
        <x:v>2</x:v>
      </x:c>
      <x:c r="E2195" s="321">
        <x:v>1490</x:v>
      </x:c>
      <x:c r="F2195" s="321">
        <x:v>2980</x:v>
      </x:c>
      <x:c r="G2195" s="321">
        <x:v>1380</x:v>
      </x:c>
      <x:c r="H2195" s="312" t="s">
        <x:v>64</x:v>
      </x:c>
      <x:c r="I2195" s="312" t="s">
        <x:v>28</x:v>
      </x:c>
      <x:c r="J2195" s="316" t="n">
        <x:f>IFERROR(G2195/F2195,0)</x:f>
        <x:v>0.46308724832214765</x:v>
      </x:c>
      <x:c r="K2195" s="312" t="str">
        <x:f>IF(B2195="Bilinmeyen Personel","Kontrol","OK")</x:f>
        <x:v>OK</x:v>
      </x:c>
    </x:row>
    <x:row r="2196" hidden="1">
      <x:c r="A2196" s="312" t="n">
        <x:f>ROW()-ROW($A$2)+1</x:f>
        <x:v>2195</x:v>
      </x:c>
      <x:c r="B2196" s="312" t="s">
        <x:v>40</x:v>
      </x:c>
      <x:c r="C2196" s="312" t="s">
        <x:v>53</x:v>
      </x:c>
      <x:c r="D2196" s="317">
        <x:v>5</x:v>
      </x:c>
      <x:c r="E2196" s="321">
        <x:v>1200</x:v>
      </x:c>
      <x:c r="F2196" s="321">
        <x:v>6000</x:v>
      </x:c>
      <x:c r="G2196" s="321">
        <x:v>2000</x:v>
      </x:c>
      <x:c r="H2196" s="312" t="s">
        <x:v>64</x:v>
      </x:c>
      <x:c r="I2196" s="312" t="s">
        <x:v>15</x:v>
      </x:c>
      <x:c r="J2196" s="316" t="n">
        <x:f>IFERROR(G2196/F2196,0)</x:f>
        <x:v>0.3333333333333333</x:v>
      </x:c>
      <x:c r="K2196" s="312" t="str">
        <x:f>IF(B2196="Bilinmeyen Personel","Kontrol","OK")</x:f>
        <x:v>OK</x:v>
      </x:c>
    </x:row>
    <x:row r="2197" hidden="1">
      <x:c r="A2197" s="312" t="n">
        <x:f>ROW()-ROW($A$2)+1</x:f>
        <x:v>2196</x:v>
      </x:c>
      <x:c r="B2197" s="312" t="s">
        <x:v>13</x:v>
      </x:c>
      <x:c r="C2197" s="312" t="s">
        <x:v>36</x:v>
      </x:c>
      <x:c r="D2197" s="317">
        <x:v>2</x:v>
      </x:c>
      <x:c r="E2197" s="321">
        <x:v>8000</x:v>
      </x:c>
      <x:c r="F2197" s="321">
        <x:v>16000</x:v>
      </x:c>
      <x:c r="G2197" s="321">
        <x:v>4000</x:v>
      </x:c>
      <x:c r="H2197" s="312" t="s">
        <x:v>64</x:v>
      </x:c>
      <x:c r="I2197" s="312" t="s">
        <x:v>21</x:v>
      </x:c>
      <x:c r="J2197" s="316" t="n">
        <x:f>IFERROR(G2197/F2197,0)</x:f>
        <x:v>0.25</x:v>
      </x:c>
      <x:c r="K2197" s="312" t="str">
        <x:f>IF(B2197="Bilinmeyen Personel","Kontrol","OK")</x:f>
        <x:v>OK</x:v>
      </x:c>
    </x:row>
    <x:row r="2198" hidden="1">
      <x:c r="A2198" s="312" t="n">
        <x:f>ROW()-ROW($A$2)+1</x:f>
        <x:v>2197</x:v>
      </x:c>
      <x:c r="B2198" s="312" t="s">
        <x:v>32</x:v>
      </x:c>
      <x:c r="C2198" s="312" t="s">
        <x:v>14</x:v>
      </x:c>
      <x:c r="D2198" s="317">
        <x:v>2</x:v>
      </x:c>
      <x:c r="E2198" s="321">
        <x:v>1400</x:v>
      </x:c>
      <x:c r="F2198" s="321">
        <x:v>2800</x:v>
      </x:c>
      <x:c r="G2198" s="321">
        <x:v>1200</x:v>
      </x:c>
      <x:c r="H2198" s="312" t="s">
        <x:v>64</x:v>
      </x:c>
      <x:c r="I2198" s="312" t="s">
        <x:v>25</x:v>
      </x:c>
      <x:c r="J2198" s="316" t="n">
        <x:f>IFERROR(G2198/F2198,0)</x:f>
        <x:v>0.42857142857142855</x:v>
      </x:c>
      <x:c r="K2198" s="312" t="str">
        <x:f>IF(B2198="Bilinmeyen Personel","Kontrol","OK")</x:f>
        <x:v>OK</x:v>
      </x:c>
    </x:row>
    <x:row r="2199" hidden="1">
      <x:c r="A2199" s="312" t="n">
        <x:f>ROW()-ROW($A$2)+1</x:f>
        <x:v>2198</x:v>
      </x:c>
      <x:c r="B2199" s="312" t="s">
        <x:v>29</x:v>
      </x:c>
      <x:c r="C2199" s="312" t="s">
        <x:v>20</x:v>
      </x:c>
      <x:c r="D2199" s="317">
        <x:v>4</x:v>
      </x:c>
      <x:c r="E2199" s="321">
        <x:v>1350</x:v>
      </x:c>
      <x:c r="F2199" s="321">
        <x:v>5400</x:v>
      </x:c>
      <x:c r="G2199" s="321">
        <x:v>2200</x:v>
      </x:c>
      <x:c r="H2199" s="312" t="s">
        <x:v>64</x:v>
      </x:c>
      <x:c r="I2199" s="312" t="s">
        <x:v>31</x:v>
      </x:c>
      <x:c r="J2199" s="316" t="n">
        <x:f>IFERROR(G2199/F2199,0)</x:f>
        <x:v>0.4074074074074074</x:v>
      </x:c>
      <x:c r="K2199" s="312" t="str">
        <x:f>IF(B2199="Bilinmeyen Personel","Kontrol","OK")</x:f>
        <x:v>OK</x:v>
      </x:c>
    </x:row>
    <x:row r="2200" hidden="1">
      <x:c r="A2200" s="312" t="n">
        <x:f>ROW()-ROW($A$2)+1</x:f>
        <x:v>2199</x:v>
      </x:c>
      <x:c r="B2200" s="312" t="s">
        <x:v>38</x:v>
      </x:c>
      <x:c r="C2200" s="312" t="s">
        <x:v>53</x:v>
      </x:c>
      <x:c r="D2200" s="317">
        <x:v>5</x:v>
      </x:c>
      <x:c r="E2200" s="321">
        <x:v>1200</x:v>
      </x:c>
      <x:c r="F2200" s="321">
        <x:v>6000</x:v>
      </x:c>
      <x:c r="G2200" s="321">
        <x:v>2000</x:v>
      </x:c>
      <x:c r="H2200" s="312" t="s">
        <x:v>64</x:v>
      </x:c>
      <x:c r="I2200" s="312" t="s">
        <x:v>42</x:v>
      </x:c>
      <x:c r="J2200" s="316" t="n">
        <x:f>IFERROR(G2200/F2200,0)</x:f>
        <x:v>0.3333333333333333</x:v>
      </x:c>
      <x:c r="K2200" s="312" t="str">
        <x:f>IF(B2200="Bilinmeyen Personel","Kontrol","OK")</x:f>
        <x:v>OK</x:v>
      </x:c>
    </x:row>
    <x:row r="2201" hidden="1">
      <x:c r="A2201" s="312" t="n">
        <x:f>ROW()-ROW($A$2)+1</x:f>
        <x:v>2200</x:v>
      </x:c>
      <x:c r="B2201" s="312" t="s">
        <x:v>32</x:v>
      </x:c>
      <x:c r="C2201" s="312" t="s">
        <x:v>56</x:v>
      </x:c>
      <x:c r="D2201" s="317">
        <x:v>2</x:v>
      </x:c>
      <x:c r="E2201" s="321">
        <x:v>5300</x:v>
      </x:c>
      <x:c r="F2201" s="321">
        <x:v>10600</x:v>
      </x:c>
      <x:c r="G2201" s="321">
        <x:v>2600</x:v>
      </x:c>
      <x:c r="H2201" s="312" t="s">
        <x:v>64</x:v>
      </x:c>
      <x:c r="I2201" s="312" t="s">
        <x:v>44</x:v>
      </x:c>
      <x:c r="J2201" s="316" t="n">
        <x:f>IFERROR(G2201/F2201,0)</x:f>
        <x:v>0.24528301886792453</x:v>
      </x:c>
      <x:c r="K2201" s="312" t="str">
        <x:f>IF(B2201="Bilinmeyen Personel","Kontrol","OK")</x:f>
        <x:v>OK</x:v>
      </x:c>
    </x:row>
    <x:row r="2202" hidden="1">
      <x:c r="A2202" s="312" t="n">
        <x:f>ROW()-ROW($A$2)+1</x:f>
        <x:v>2201</x:v>
      </x:c>
      <x:c r="B2202" s="312" t="s">
        <x:v>40</x:v>
      </x:c>
      <x:c r="C2202" s="312" t="s">
        <x:v>39</x:v>
      </x:c>
      <x:c r="D2202" s="317">
        <x:v>4</x:v>
      </x:c>
      <x:c r="E2202" s="321">
        <x:v>10590</x:v>
      </x:c>
      <x:c r="F2202" s="321">
        <x:v>42360</x:v>
      </x:c>
      <x:c r="G2202" s="321">
        <x:v>18360</x:v>
      </x:c>
      <x:c r="H2202" s="312" t="s">
        <x:v>64</x:v>
      </x:c>
      <x:c r="I2202" s="312" t="s">
        <x:v>41</x:v>
      </x:c>
      <x:c r="J2202" s="316" t="n">
        <x:f>IFERROR(G2202/F2202,0)</x:f>
        <x:v>0.43342776203966005</x:v>
      </x:c>
      <x:c r="K2202" s="312" t="str">
        <x:f>IF(B2202="Bilinmeyen Personel","Kontrol","OK")</x:f>
        <x:v>OK</x:v>
      </x:c>
    </x:row>
    <x:row r="2203" hidden="1">
      <x:c r="A2203" s="312" t="n">
        <x:f>ROW()-ROW($A$2)+1</x:f>
        <x:v>2202</x:v>
      </x:c>
      <x:c r="B2203" s="312" t="s">
        <x:v>23</x:v>
      </x:c>
      <x:c r="C2203" s="312" t="s">
        <x:v>52</x:v>
      </x:c>
      <x:c r="D2203" s="317">
        <x:v>4</x:v>
      </x:c>
      <x:c r="E2203" s="321">
        <x:v>1250</x:v>
      </x:c>
      <x:c r="F2203" s="321">
        <x:v>5000</x:v>
      </x:c>
      <x:c r="G2203" s="321">
        <x:v>1800</x:v>
      </x:c>
      <x:c r="H2203" s="312" t="s">
        <x:v>64</x:v>
      </x:c>
      <x:c r="I2203" s="312" t="s">
        <x:v>15</x:v>
      </x:c>
      <x:c r="J2203" s="316" t="n">
        <x:f>IFERROR(G2203/F2203,0)</x:f>
        <x:v>0.36</x:v>
      </x:c>
      <x:c r="K2203" s="312" t="str">
        <x:f>IF(B2203="Bilinmeyen Personel","Kontrol","OK")</x:f>
        <x:v>OK</x:v>
      </x:c>
    </x:row>
    <x:row r="2204" hidden="1">
      <x:c r="A2204" s="312" t="n">
        <x:f>ROW()-ROW($A$2)+1</x:f>
        <x:v>2203</x:v>
      </x:c>
      <x:c r="B2204" s="312" t="s">
        <x:v>50</x:v>
      </x:c>
      <x:c r="C2204" s="312" t="s">
        <x:v>53</x:v>
      </x:c>
      <x:c r="D2204" s="317">
        <x:v>5</x:v>
      </x:c>
      <x:c r="E2204" s="321">
        <x:v>1200</x:v>
      </x:c>
      <x:c r="F2204" s="321">
        <x:v>6000</x:v>
      </x:c>
      <x:c r="G2204" s="321">
        <x:v>2000</x:v>
      </x:c>
      <x:c r="H2204" s="312" t="s">
        <x:v>64</x:v>
      </x:c>
      <x:c r="I2204" s="312" t="s">
        <x:v>18</x:v>
      </x:c>
      <x:c r="J2204" s="316" t="n">
        <x:f>IFERROR(G2204/F2204,0)</x:f>
        <x:v>0.3333333333333333</x:v>
      </x:c>
      <x:c r="K2204" s="312" t="str">
        <x:f>IF(B2204="Bilinmeyen Personel","Kontrol","OK")</x:f>
        <x:v>OK</x:v>
      </x:c>
    </x:row>
    <x:row r="2205" hidden="1">
      <x:c r="A2205" s="312" t="n">
        <x:f>ROW()-ROW($A$2)+1</x:f>
        <x:v>2204</x:v>
      </x:c>
      <x:c r="B2205" s="312" t="s">
        <x:v>23</x:v>
      </x:c>
      <x:c r="C2205" s="312" t="s">
        <x:v>14</x:v>
      </x:c>
      <x:c r="D2205" s="317">
        <x:v>4</x:v>
      </x:c>
      <x:c r="E2205" s="321">
        <x:v>1400</x:v>
      </x:c>
      <x:c r="F2205" s="321">
        <x:v>5600</x:v>
      </x:c>
      <x:c r="G2205" s="321">
        <x:v>2400</x:v>
      </x:c>
      <x:c r="H2205" s="312" t="s">
        <x:v>64</x:v>
      </x:c>
      <x:c r="I2205" s="312" t="s">
        <x:v>31</x:v>
      </x:c>
      <x:c r="J2205" s="316" t="n">
        <x:f>IFERROR(G2205/F2205,0)</x:f>
        <x:v>0.42857142857142855</x:v>
      </x:c>
      <x:c r="K2205" s="312" t="str">
        <x:f>IF(B2205="Bilinmeyen Personel","Kontrol","OK")</x:f>
        <x:v>OK</x:v>
      </x:c>
    </x:row>
    <x:row r="2206" hidden="1">
      <x:c r="A2206" s="312" t="n">
        <x:f>ROW()-ROW($A$2)+1</x:f>
        <x:v>2205</x:v>
      </x:c>
      <x:c r="B2206" s="312" t="s">
        <x:v>50</x:v>
      </x:c>
      <x:c r="C2206" s="312" t="s">
        <x:v>55</x:v>
      </x:c>
      <x:c r="D2206" s="317">
        <x:v>3</x:v>
      </x:c>
      <x:c r="E2206" s="321">
        <x:v>7530</x:v>
      </x:c>
      <x:c r="F2206" s="321">
        <x:v>22590</x:v>
      </x:c>
      <x:c r="G2206" s="321">
        <x:v>4590</x:v>
      </x:c>
      <x:c r="H2206" s="312" t="s">
        <x:v>64</x:v>
      </x:c>
      <x:c r="I2206" s="312" t="s">
        <x:v>25</x:v>
      </x:c>
      <x:c r="J2206" s="316" t="n">
        <x:f>IFERROR(G2206/F2206,0)</x:f>
        <x:v>0.20318725099601595</x:v>
      </x:c>
      <x:c r="K2206" s="312" t="str">
        <x:f>IF(B2206="Bilinmeyen Personel","Kontrol","OK")</x:f>
        <x:v>OK</x:v>
      </x:c>
    </x:row>
    <x:row r="2207" hidden="1">
      <x:c r="A2207" s="312" t="n">
        <x:f>ROW()-ROW($A$2)+1</x:f>
        <x:v>2206</x:v>
      </x:c>
      <x:c r="B2207" s="312" t="s">
        <x:v>32</x:v>
      </x:c>
      <x:c r="C2207" s="312" t="s">
        <x:v>24</x:v>
      </x:c>
      <x:c r="D2207" s="317">
        <x:v>2</x:v>
      </x:c>
      <x:c r="E2207" s="321">
        <x:v>7600</x:v>
      </x:c>
      <x:c r="F2207" s="321">
        <x:v>15200</x:v>
      </x:c>
      <x:c r="G2207" s="321">
        <x:v>3200</x:v>
      </x:c>
      <x:c r="H2207" s="312" t="s">
        <x:v>64</x:v>
      </x:c>
      <x:c r="I2207" s="312" t="s">
        <x:v>28</x:v>
      </x:c>
      <x:c r="J2207" s="316" t="n">
        <x:f>IFERROR(G2207/F2207,0)</x:f>
        <x:v>0.21052631578947367</x:v>
      </x:c>
      <x:c r="K2207" s="312" t="str">
        <x:f>IF(B2207="Bilinmeyen Personel","Kontrol","OK")</x:f>
        <x:v>OK</x:v>
      </x:c>
    </x:row>
    <x:row r="2208" hidden="1">
      <x:c r="A2208" s="312" t="n">
        <x:f>ROW()-ROW($A$2)+1</x:f>
        <x:v>2207</x:v>
      </x:c>
      <x:c r="B2208" s="312" t="s">
        <x:v>50</x:v>
      </x:c>
      <x:c r="C2208" s="312" t="s">
        <x:v>57</x:v>
      </x:c>
      <x:c r="D2208" s="317">
        <x:v>4</x:v>
      </x:c>
      <x:c r="E2208" s="321">
        <x:v>1500</x:v>
      </x:c>
      <x:c r="F2208" s="321">
        <x:v>6000</x:v>
      </x:c>
      <x:c r="G2208" s="321">
        <x:v>2800</x:v>
      </x:c>
      <x:c r="H2208" s="312" t="s">
        <x:v>64</x:v>
      </x:c>
      <x:c r="I2208" s="312" t="s">
        <x:v>41</x:v>
      </x:c>
      <x:c r="J2208" s="316" t="n">
        <x:f>IFERROR(G2208/F2208,0)</x:f>
        <x:v>0.4666666666666667</x:v>
      </x:c>
      <x:c r="K2208" s="312" t="str">
        <x:f>IF(B2208="Bilinmeyen Personel","Kontrol","OK")</x:f>
        <x:v>OK</x:v>
      </x:c>
    </x:row>
    <x:row r="2209" hidden="1">
      <x:c r="A2209" s="312" t="n">
        <x:f>ROW()-ROW($A$2)+1</x:f>
        <x:v>2208</x:v>
      </x:c>
      <x:c r="B2209" s="312" t="s">
        <x:v>40</x:v>
      </x:c>
      <x:c r="C2209" s="312" t="s">
        <x:v>22</x:v>
      </x:c>
      <x:c r="D2209" s="317">
        <x:v>5</x:v>
      </x:c>
      <x:c r="E2209" s="321">
        <x:v>2180</x:v>
      </x:c>
      <x:c r="F2209" s="321">
        <x:v>10900</x:v>
      </x:c>
      <x:c r="G2209" s="321">
        <x:v>3400</x:v>
      </x:c>
      <x:c r="H2209" s="312" t="s">
        <x:v>64</x:v>
      </x:c>
      <x:c r="I2209" s="312" t="s">
        <x:v>42</x:v>
      </x:c>
      <x:c r="J2209" s="316" t="n">
        <x:f>IFERROR(G2209/F2209,0)</x:f>
        <x:v>0.3119266055045872</x:v>
      </x:c>
      <x:c r="K2209" s="312" t="str">
        <x:f>IF(B2209="Bilinmeyen Personel","Kontrol","OK")</x:f>
        <x:v>OK</x:v>
      </x:c>
    </x:row>
    <x:row r="2210" hidden="1">
      <x:c r="A2210" s="312" t="n">
        <x:f>ROW()-ROW($A$2)+1</x:f>
        <x:v>2209</x:v>
      </x:c>
      <x:c r="B2210" s="312" t="s">
        <x:v>19</x:v>
      </x:c>
      <x:c r="C2210" s="312" t="s">
        <x:v>22</x:v>
      </x:c>
      <x:c r="D2210" s="317">
        <x:v>4</x:v>
      </x:c>
      <x:c r="E2210" s="321">
        <x:v>2180</x:v>
      </x:c>
      <x:c r="F2210" s="321">
        <x:v>8720</x:v>
      </x:c>
      <x:c r="G2210" s="321">
        <x:v>2720</x:v>
      </x:c>
      <x:c r="H2210" s="312" t="s">
        <x:v>64</x:v>
      </x:c>
      <x:c r="I2210" s="312" t="s">
        <x:v>37</x:v>
      </x:c>
      <x:c r="J2210" s="316" t="n">
        <x:f>IFERROR(G2210/F2210,0)</x:f>
        <x:v>0.3119266055045872</x:v>
      </x:c>
      <x:c r="K2210" s="312" t="str">
        <x:f>IF(B2210="Bilinmeyen Personel","Kontrol","OK")</x:f>
        <x:v>OK</x:v>
      </x:c>
    </x:row>
    <x:row r="2211" hidden="1">
      <x:c r="A2211" s="312" t="n">
        <x:f>ROW()-ROW($A$2)+1</x:f>
        <x:v>2210</x:v>
      </x:c>
      <x:c r="B2211" s="312" t="s">
        <x:v>40</x:v>
      </x:c>
      <x:c r="C2211" s="312" t="s">
        <x:v>47</x:v>
      </x:c>
      <x:c r="D2211" s="317">
        <x:v>4</x:v>
      </x:c>
      <x:c r="E2211" s="321">
        <x:v>5775</x:v>
      </x:c>
      <x:c r="F2211" s="321">
        <x:v>23100</x:v>
      </x:c>
      <x:c r="G2211" s="321">
        <x:v>7100</x:v>
      </x:c>
      <x:c r="H2211" s="312" t="s">
        <x:v>64</x:v>
      </x:c>
      <x:c r="I2211" s="312" t="s">
        <x:v>18</x:v>
      </x:c>
      <x:c r="J2211" s="316" t="n">
        <x:f>IFERROR(G2211/F2211,0)</x:f>
        <x:v>0.30735930735930733</x:v>
      </x:c>
      <x:c r="K2211" s="312" t="str">
        <x:f>IF(B2211="Bilinmeyen Personel","Kontrol","OK")</x:f>
        <x:v>OK</x:v>
      </x:c>
    </x:row>
    <x:row r="2212" hidden="1">
      <x:c r="A2212" s="312" t="n">
        <x:f>ROW()-ROW($A$2)+1</x:f>
        <x:v>2211</x:v>
      </x:c>
      <x:c r="B2212" s="312" t="s">
        <x:v>40</x:v>
      </x:c>
      <x:c r="C2212" s="312" t="s">
        <x:v>27</x:v>
      </x:c>
      <x:c r="D2212" s="317">
        <x:v>5</x:v>
      </x:c>
      <x:c r="E2212" s="321">
        <x:v>1100</x:v>
      </x:c>
      <x:c r="F2212" s="321">
        <x:v>5500</x:v>
      </x:c>
      <x:c r="G2212" s="321">
        <x:v>1500</x:v>
      </x:c>
      <x:c r="H2212" s="312" t="s">
        <x:v>64</x:v>
      </x:c>
      <x:c r="I2212" s="312" t="s">
        <x:v>54</x:v>
      </x:c>
      <x:c r="J2212" s="316" t="n">
        <x:f>IFERROR(G2212/F2212,0)</x:f>
        <x:v>0.2727272727272727</x:v>
      </x:c>
      <x:c r="K2212" s="312" t="str">
        <x:f>IF(B2212="Bilinmeyen Personel","Kontrol","OK")</x:f>
        <x:v>OK</x:v>
      </x:c>
    </x:row>
    <x:row r="2213" hidden="1">
      <x:c r="A2213" s="312" t="n">
        <x:f>ROW()-ROW($A$2)+1</x:f>
        <x:v>2212</x:v>
      </x:c>
      <x:c r="B2213" s="312" t="s">
        <x:v>48</x:v>
      </x:c>
      <x:c r="C2213" s="312" t="s">
        <x:v>47</x:v>
      </x:c>
      <x:c r="D2213" s="317">
        <x:v>4</x:v>
      </x:c>
      <x:c r="E2213" s="321">
        <x:v>5775</x:v>
      </x:c>
      <x:c r="F2213" s="321">
        <x:v>23100</x:v>
      </x:c>
      <x:c r="G2213" s="321">
        <x:v>7100</x:v>
      </x:c>
      <x:c r="H2213" s="312" t="s">
        <x:v>64</x:v>
      </x:c>
      <x:c r="I2213" s="312" t="s">
        <x:v>28</x:v>
      </x:c>
      <x:c r="J2213" s="316" t="n">
        <x:f>IFERROR(G2213/F2213,0)</x:f>
        <x:v>0.30735930735930733</x:v>
      </x:c>
      <x:c r="K2213" s="312" t="str">
        <x:f>IF(B2213="Bilinmeyen Personel","Kontrol","OK")</x:f>
        <x:v>OK</x:v>
      </x:c>
    </x:row>
    <x:row r="2214" hidden="1">
      <x:c r="A2214" s="312" t="n">
        <x:f>ROW()-ROW($A$2)+1</x:f>
        <x:v>2213</x:v>
      </x:c>
      <x:c r="B2214" s="312" t="s">
        <x:v>35</x:v>
      </x:c>
      <x:c r="C2214" s="312" t="s">
        <x:v>20</x:v>
      </x:c>
      <x:c r="D2214" s="317">
        <x:v>3</x:v>
      </x:c>
      <x:c r="E2214" s="321">
        <x:v>1350</x:v>
      </x:c>
      <x:c r="F2214" s="321">
        <x:v>4050</x:v>
      </x:c>
      <x:c r="G2214" s="321">
        <x:v>1650</x:v>
      </x:c>
      <x:c r="H2214" s="312" t="s">
        <x:v>64</x:v>
      </x:c>
      <x:c r="I2214" s="312" t="s">
        <x:v>21</x:v>
      </x:c>
      <x:c r="J2214" s="316" t="n">
        <x:f>IFERROR(G2214/F2214,0)</x:f>
        <x:v>0.4074074074074074</x:v>
      </x:c>
      <x:c r="K2214" s="312" t="str">
        <x:f>IF(B2214="Bilinmeyen Personel","Kontrol","OK")</x:f>
        <x:v>OK</x:v>
      </x:c>
    </x:row>
    <x:row r="2215" hidden="1">
      <x:c r="A2215" s="312" t="n">
        <x:f>ROW()-ROW($A$2)+1</x:f>
        <x:v>2214</x:v>
      </x:c>
      <x:c r="B2215" s="312" t="s">
        <x:v>9</x:v>
      </x:c>
      <x:c r="C2215" s="312" t="s">
        <x:v>24</x:v>
      </x:c>
      <x:c r="D2215" s="317">
        <x:v>2</x:v>
      </x:c>
      <x:c r="E2215" s="321">
        <x:v>7600</x:v>
      </x:c>
      <x:c r="F2215" s="321">
        <x:v>15200</x:v>
      </x:c>
      <x:c r="G2215" s="321">
        <x:v>3200</x:v>
      </x:c>
      <x:c r="H2215" s="312" t="s">
        <x:v>64</x:v>
      </x:c>
      <x:c r="I2215" s="312" t="s">
        <x:v>31</x:v>
      </x:c>
      <x:c r="J2215" s="316" t="n">
        <x:f>IFERROR(G2215/F2215,0)</x:f>
        <x:v>0.21052631578947367</x:v>
      </x:c>
      <x:c r="K2215" s="312" t="str">
        <x:f>IF(B2215="Bilinmeyen Personel","Kontrol","OK")</x:f>
        <x:v>OK</x:v>
      </x:c>
    </x:row>
    <x:row r="2216" hidden="1">
      <x:c r="A2216" s="312" t="n">
        <x:f>ROW()-ROW($A$2)+1</x:f>
        <x:v>2215</x:v>
      </x:c>
      <x:c r="B2216" s="312" t="s">
        <x:v>16</x:v>
      </x:c>
      <x:c r="C2216" s="312" t="s">
        <x:v>26</x:v>
      </x:c>
      <x:c r="D2216" s="317">
        <x:v>2</x:v>
      </x:c>
      <x:c r="E2216" s="321">
        <x:v>7250</x:v>
      </x:c>
      <x:c r="F2216" s="321">
        <x:v>14500</x:v>
      </x:c>
      <x:c r="G2216" s="321">
        <x:v>4500</x:v>
      </x:c>
      <x:c r="H2216" s="312" t="s">
        <x:v>64</x:v>
      </x:c>
      <x:c r="I2216" s="312" t="s">
        <x:v>18</x:v>
      </x:c>
      <x:c r="J2216" s="316" t="n">
        <x:f>IFERROR(G2216/F2216,0)</x:f>
        <x:v>0.3103448275862069</x:v>
      </x:c>
      <x:c r="K2216" s="312" t="str">
        <x:f>IF(B2216="Bilinmeyen Personel","Kontrol","OK")</x:f>
        <x:v>OK</x:v>
      </x:c>
    </x:row>
    <x:row r="2217" hidden="1">
      <x:c r="A2217" s="312" t="n">
        <x:f>ROW()-ROW($A$2)+1</x:f>
        <x:v>2216</x:v>
      </x:c>
      <x:c r="B2217" s="312" t="s">
        <x:v>50</x:v>
      </x:c>
      <x:c r="C2217" s="312" t="s">
        <x:v>43</x:v>
      </x:c>
      <x:c r="D2217" s="317">
        <x:v>4</x:v>
      </x:c>
      <x:c r="E2217" s="321">
        <x:v>1490</x:v>
      </x:c>
      <x:c r="F2217" s="321">
        <x:v>5960</x:v>
      </x:c>
      <x:c r="G2217" s="321">
        <x:v>2760</x:v>
      </x:c>
      <x:c r="H2217" s="312" t="s">
        <x:v>64</x:v>
      </x:c>
      <x:c r="I2217" s="312" t="s">
        <x:v>31</x:v>
      </x:c>
      <x:c r="J2217" s="316" t="n">
        <x:f>IFERROR(G2217/F2217,0)</x:f>
        <x:v>0.46308724832214765</x:v>
      </x:c>
      <x:c r="K2217" s="312" t="str">
        <x:f>IF(B2217="Bilinmeyen Personel","Kontrol","OK")</x:f>
        <x:v>OK</x:v>
      </x:c>
    </x:row>
    <x:row r="2218" hidden="1">
      <x:c r="A2218" s="312" t="n">
        <x:f>ROW()-ROW($A$2)+1</x:f>
        <x:v>2217</x:v>
      </x:c>
      <x:c r="B2218" s="312" t="s">
        <x:v>19</x:v>
      </x:c>
      <x:c r="C2218" s="312" t="s">
        <x:v>43</x:v>
      </x:c>
      <x:c r="D2218" s="317">
        <x:v>4</x:v>
      </x:c>
      <x:c r="E2218" s="321">
        <x:v>1490</x:v>
      </x:c>
      <x:c r="F2218" s="321">
        <x:v>5960</x:v>
      </x:c>
      <x:c r="G2218" s="321">
        <x:v>2760</x:v>
      </x:c>
      <x:c r="H2218" s="312" t="s">
        <x:v>64</x:v>
      </x:c>
      <x:c r="I2218" s="312" t="s">
        <x:v>46</x:v>
      </x:c>
      <x:c r="J2218" s="316" t="n">
        <x:f>IFERROR(G2218/F2218,0)</x:f>
        <x:v>0.46308724832214765</x:v>
      </x:c>
      <x:c r="K2218" s="312" t="str">
        <x:f>IF(B2218="Bilinmeyen Personel","Kontrol","OK")</x:f>
        <x:v>OK</x:v>
      </x:c>
    </x:row>
    <x:row r="2219" hidden="1">
      <x:c r="A2219" s="312" t="n">
        <x:f>ROW()-ROW($A$2)+1</x:f>
        <x:v>2218</x:v>
      </x:c>
      <x:c r="B2219" s="312" t="s">
        <x:v>38</x:v>
      </x:c>
      <x:c r="C2219" s="312" t="s">
        <x:v>34</x:v>
      </x:c>
      <x:c r="D2219" s="317">
        <x:v>5</x:v>
      </x:c>
      <x:c r="E2219" s="321">
        <x:v>1090</x:v>
      </x:c>
      <x:c r="F2219" s="321">
        <x:v>5450</x:v>
      </x:c>
      <x:c r="G2219" s="321">
        <x:v>1450</x:v>
      </x:c>
      <x:c r="H2219" s="312" t="s">
        <x:v>64</x:v>
      </x:c>
      <x:c r="I2219" s="312" t="s">
        <x:v>44</x:v>
      </x:c>
      <x:c r="J2219" s="316" t="n">
        <x:f>IFERROR(G2219/F2219,0)</x:f>
        <x:v>0.26605504587155965</x:v>
      </x:c>
      <x:c r="K2219" s="312" t="str">
        <x:f>IF(B2219="Bilinmeyen Personel","Kontrol","OK")</x:f>
        <x:v>OK</x:v>
      </x:c>
    </x:row>
    <x:row r="2220" hidden="1">
      <x:c r="A2220" s="312" t="n">
        <x:f>ROW()-ROW($A$2)+1</x:f>
        <x:v>2219</x:v>
      </x:c>
      <x:c r="B2220" s="312" t="s">
        <x:v>38</x:v>
      </x:c>
      <x:c r="C2220" s="312" t="s">
        <x:v>30</x:v>
      </x:c>
      <x:c r="D2220" s="317">
        <x:v>4</x:v>
      </x:c>
      <x:c r="E2220" s="321">
        <x:v>1200</x:v>
      </x:c>
      <x:c r="F2220" s="321">
        <x:v>4800</x:v>
      </x:c>
      <x:c r="G2220" s="321">
        <x:v>1600</x:v>
      </x:c>
      <x:c r="H2220" s="312" t="s">
        <x:v>64</x:v>
      </x:c>
      <x:c r="I2220" s="312" t="s">
        <x:v>54</x:v>
      </x:c>
      <x:c r="J2220" s="316" t="n">
        <x:f>IFERROR(G2220/F2220,0)</x:f>
        <x:v>0.3333333333333333</x:v>
      </x:c>
      <x:c r="K2220" s="312" t="str">
        <x:f>IF(B2220="Bilinmeyen Personel","Kontrol","OK")</x:f>
        <x:v>OK</x:v>
      </x:c>
    </x:row>
    <x:row r="2221" hidden="1">
      <x:c r="A2221" s="312" t="n">
        <x:f>ROW()-ROW($A$2)+1</x:f>
        <x:v>2220</x:v>
      </x:c>
      <x:c r="B2221" s="312" t="s">
        <x:v>50</x:v>
      </x:c>
      <x:c r="C2221" s="312" t="s">
        <x:v>34</x:v>
      </x:c>
      <x:c r="D2221" s="317">
        <x:v>2</x:v>
      </x:c>
      <x:c r="E2221" s="321">
        <x:v>1090</x:v>
      </x:c>
      <x:c r="F2221" s="321">
        <x:v>2180</x:v>
      </x:c>
      <x:c r="G2221" s="321">
        <x:v>580</x:v>
      </x:c>
      <x:c r="H2221" s="312" t="s">
        <x:v>64</x:v>
      </x:c>
      <x:c r="I2221" s="312" t="s">
        <x:v>54</x:v>
      </x:c>
      <x:c r="J2221" s="316" t="n">
        <x:f>IFERROR(G2221/F2221,0)</x:f>
        <x:v>0.26605504587155965</x:v>
      </x:c>
      <x:c r="K2221" s="312" t="str">
        <x:f>IF(B2221="Bilinmeyen Personel","Kontrol","OK")</x:f>
        <x:v>OK</x:v>
      </x:c>
    </x:row>
    <x:row r="2222" hidden="1">
      <x:c r="A2222" s="312" t="n">
        <x:f>ROW()-ROW($A$2)+1</x:f>
        <x:v>2221</x:v>
      </x:c>
      <x:c r="B2222" s="312" t="s">
        <x:v>50</x:v>
      </x:c>
      <x:c r="C2222" s="312" t="s">
        <x:v>22</x:v>
      </x:c>
      <x:c r="D2222" s="317">
        <x:v>4</x:v>
      </x:c>
      <x:c r="E2222" s="321">
        <x:v>2180</x:v>
      </x:c>
      <x:c r="F2222" s="321">
        <x:v>8720</x:v>
      </x:c>
      <x:c r="G2222" s="321">
        <x:v>2720</x:v>
      </x:c>
      <x:c r="H2222" s="312" t="s">
        <x:v>64</x:v>
      </x:c>
      <x:c r="I2222" s="312" t="s">
        <x:v>41</x:v>
      </x:c>
      <x:c r="J2222" s="316" t="n">
        <x:f>IFERROR(G2222/F2222,0)</x:f>
        <x:v>0.3119266055045872</x:v>
      </x:c>
      <x:c r="K2222" s="312" t="str">
        <x:f>IF(B2222="Bilinmeyen Personel","Kontrol","OK")</x:f>
        <x:v>OK</x:v>
      </x:c>
    </x:row>
    <x:row r="2223" hidden="1">
      <x:c r="A2223" s="312" t="n">
        <x:f>ROW()-ROW($A$2)+1</x:f>
        <x:v>2222</x:v>
      </x:c>
      <x:c r="B2223" s="312" t="s">
        <x:v>16</x:v>
      </x:c>
      <x:c r="C2223" s="312" t="s">
        <x:v>56</x:v>
      </x:c>
      <x:c r="D2223" s="317">
        <x:v>2</x:v>
      </x:c>
      <x:c r="E2223" s="321">
        <x:v>5300</x:v>
      </x:c>
      <x:c r="F2223" s="321">
        <x:v>10600</x:v>
      </x:c>
      <x:c r="G2223" s="321">
        <x:v>2600</x:v>
      </x:c>
      <x:c r="H2223" s="312" t="s">
        <x:v>64</x:v>
      </x:c>
      <x:c r="I2223" s="312" t="s">
        <x:v>37</x:v>
      </x:c>
      <x:c r="J2223" s="316" t="n">
        <x:f>IFERROR(G2223/F2223,0)</x:f>
        <x:v>0.24528301886792453</x:v>
      </x:c>
      <x:c r="K2223" s="312" t="str">
        <x:f>IF(B2223="Bilinmeyen Personel","Kontrol","OK")</x:f>
        <x:v>OK</x:v>
      </x:c>
    </x:row>
    <x:row r="2224" hidden="1">
      <x:c r="A2224" s="312" t="n">
        <x:f>ROW()-ROW($A$2)+1</x:f>
        <x:v>2223</x:v>
      </x:c>
      <x:c r="B2224" s="312" t="s">
        <x:v>50</x:v>
      </x:c>
      <x:c r="C2224" s="312" t="s">
        <x:v>56</x:v>
      </x:c>
      <x:c r="D2224" s="317">
        <x:v>5</x:v>
      </x:c>
      <x:c r="E2224" s="321">
        <x:v>5300</x:v>
      </x:c>
      <x:c r="F2224" s="321">
        <x:v>26500</x:v>
      </x:c>
      <x:c r="G2224" s="321">
        <x:v>6500</x:v>
      </x:c>
      <x:c r="H2224" s="312" t="s">
        <x:v>64</x:v>
      </x:c>
      <x:c r="I2224" s="312" t="s">
        <x:v>15</x:v>
      </x:c>
      <x:c r="J2224" s="316" t="n">
        <x:f>IFERROR(G2224/F2224,0)</x:f>
        <x:v>0.24528301886792453</x:v>
      </x:c>
      <x:c r="K2224" s="312" t="str">
        <x:f>IF(B2224="Bilinmeyen Personel","Kontrol","OK")</x:f>
        <x:v>OK</x:v>
      </x:c>
    </x:row>
    <x:row r="2225" hidden="1">
      <x:c r="A2225" s="312" t="n">
        <x:f>ROW()-ROW($A$2)+1</x:f>
        <x:v>2224</x:v>
      </x:c>
      <x:c r="B2225" s="312" t="s">
        <x:v>29</x:v>
      </x:c>
      <x:c r="C2225" s="312" t="s">
        <x:v>26</x:v>
      </x:c>
      <x:c r="D2225" s="317">
        <x:v>4</x:v>
      </x:c>
      <x:c r="E2225" s="321">
        <x:v>7250</x:v>
      </x:c>
      <x:c r="F2225" s="321">
        <x:v>29000</x:v>
      </x:c>
      <x:c r="G2225" s="321">
        <x:v>9000</x:v>
      </x:c>
      <x:c r="H2225" s="312" t="s">
        <x:v>64</x:v>
      </x:c>
      <x:c r="I2225" s="312" t="s">
        <x:v>18</x:v>
      </x:c>
      <x:c r="J2225" s="316" t="n">
        <x:f>IFERROR(G2225/F2225,0)</x:f>
        <x:v>0.3103448275862069</x:v>
      </x:c>
      <x:c r="K2225" s="312" t="str">
        <x:f>IF(B2225="Bilinmeyen Personel","Kontrol","OK")</x:f>
        <x:v>OK</x:v>
      </x:c>
    </x:row>
    <x:row r="2226" hidden="1">
      <x:c r="A2226" s="312" t="n">
        <x:f>ROW()-ROW($A$2)+1</x:f>
        <x:v>2225</x:v>
      </x:c>
      <x:c r="B2226" s="312" t="s">
        <x:v>29</x:v>
      </x:c>
      <x:c r="C2226" s="312" t="s">
        <x:v>53</x:v>
      </x:c>
      <x:c r="D2226" s="317">
        <x:v>3</x:v>
      </x:c>
      <x:c r="E2226" s="321">
        <x:v>1200</x:v>
      </x:c>
      <x:c r="F2226" s="321">
        <x:v>3600</x:v>
      </x:c>
      <x:c r="G2226" s="321">
        <x:v>1200</x:v>
      </x:c>
      <x:c r="H2226" s="312" t="s">
        <x:v>64</x:v>
      </x:c>
      <x:c r="I2226" s="312" t="s">
        <x:v>28</x:v>
      </x:c>
      <x:c r="J2226" s="316" t="n">
        <x:f>IFERROR(G2226/F2226,0)</x:f>
        <x:v>0.3333333333333333</x:v>
      </x:c>
      <x:c r="K2226" s="312" t="str">
        <x:f>IF(B2226="Bilinmeyen Personel","Kontrol","OK")</x:f>
        <x:v>OK</x:v>
      </x:c>
    </x:row>
    <x:row r="2227" hidden="1">
      <x:c r="A2227" s="312" t="n">
        <x:f>ROW()-ROW($A$2)+1</x:f>
        <x:v>2226</x:v>
      </x:c>
      <x:c r="B2227" s="312" t="s">
        <x:v>19</x:v>
      </x:c>
      <x:c r="C2227" s="312" t="s">
        <x:v>10</x:v>
      </x:c>
      <x:c r="D2227" s="317">
        <x:v>3</x:v>
      </x:c>
      <x:c r="E2227" s="321">
        <x:v>6000</x:v>
      </x:c>
      <x:c r="F2227" s="321">
        <x:v>18000</x:v>
      </x:c>
      <x:c r="G2227" s="321">
        <x:v>6000</x:v>
      </x:c>
      <x:c r="H2227" s="312" t="s">
        <x:v>64</x:v>
      </x:c>
      <x:c r="I2227" s="312" t="s">
        <x:v>42</x:v>
      </x:c>
      <x:c r="J2227" s="316" t="n">
        <x:f>IFERROR(G2227/F2227,0)</x:f>
        <x:v>0.3333333333333333</x:v>
      </x:c>
      <x:c r="K2227" s="312" t="str">
        <x:f>IF(B2227="Bilinmeyen Personel","Kontrol","OK")</x:f>
        <x:v>OK</x:v>
      </x:c>
    </x:row>
    <x:row r="2228" hidden="1">
      <x:c r="A2228" s="312" t="n">
        <x:f>ROW()-ROW($A$2)+1</x:f>
        <x:v>2227</x:v>
      </x:c>
      <x:c r="B2228" s="312" t="s">
        <x:v>16</x:v>
      </x:c>
      <x:c r="C2228" s="312" t="s">
        <x:v>17</x:v>
      </x:c>
      <x:c r="D2228" s="317">
        <x:v>4</x:v>
      </x:c>
      <x:c r="E2228" s="321">
        <x:v>8450</x:v>
      </x:c>
      <x:c r="F2228" s="321">
        <x:v>33800</x:v>
      </x:c>
      <x:c r="G2228" s="321">
        <x:v>9800</x:v>
      </x:c>
      <x:c r="H2228" s="312" t="s">
        <x:v>64</x:v>
      </x:c>
      <x:c r="I2228" s="312" t="s">
        <x:v>28</x:v>
      </x:c>
      <x:c r="J2228" s="316" t="n">
        <x:f>IFERROR(G2228/F2228,0)</x:f>
        <x:v>0.28994082840236685</x:v>
      </x:c>
      <x:c r="K2228" s="312" t="str">
        <x:f>IF(B2228="Bilinmeyen Personel","Kontrol","OK")</x:f>
        <x:v>OK</x:v>
      </x:c>
    </x:row>
    <x:row r="2229" hidden="1">
      <x:c r="A2229" s="312" t="n">
        <x:f>ROW()-ROW($A$2)+1</x:f>
        <x:v>2228</x:v>
      </x:c>
      <x:c r="B2229" s="312" t="s">
        <x:v>32</x:v>
      </x:c>
      <x:c r="C2229" s="312" t="s">
        <x:v>45</x:v>
      </x:c>
      <x:c r="D2229" s="317">
        <x:v>4</x:v>
      </x:c>
      <x:c r="E2229" s="321">
        <x:v>4200</x:v>
      </x:c>
      <x:c r="F2229" s="321">
        <x:v>16800</x:v>
      </x:c>
      <x:c r="G2229" s="321">
        <x:v>4800</x:v>
      </x:c>
      <x:c r="H2229" s="312" t="s">
        <x:v>64</x:v>
      </x:c>
      <x:c r="I2229" s="312" t="s">
        <x:v>21</x:v>
      </x:c>
      <x:c r="J2229" s="316" t="n">
        <x:f>IFERROR(G2229/F2229,0)</x:f>
        <x:v>0.2857142857142857</x:v>
      </x:c>
      <x:c r="K2229" s="312" t="str">
        <x:f>IF(B2229="Bilinmeyen Personel","Kontrol","OK")</x:f>
        <x:v>OK</x:v>
      </x:c>
    </x:row>
    <x:row r="2230" hidden="1">
      <x:c r="A2230" s="312" t="n">
        <x:f>ROW()-ROW($A$2)+1</x:f>
        <x:v>2229</x:v>
      </x:c>
      <x:c r="B2230" s="312" t="s">
        <x:v>32</x:v>
      </x:c>
      <x:c r="C2230" s="312" t="s">
        <x:v>39</x:v>
      </x:c>
      <x:c r="D2230" s="317">
        <x:v>5</x:v>
      </x:c>
      <x:c r="E2230" s="321">
        <x:v>10590</x:v>
      </x:c>
      <x:c r="F2230" s="321">
        <x:v>52950</x:v>
      </x:c>
      <x:c r="G2230" s="321">
        <x:v>22950</x:v>
      </x:c>
      <x:c r="H2230" s="312" t="s">
        <x:v>64</x:v>
      </x:c>
      <x:c r="I2230" s="312" t="s">
        <x:v>25</x:v>
      </x:c>
      <x:c r="J2230" s="316" t="n">
        <x:f>IFERROR(G2230/F2230,0)</x:f>
        <x:v>0.43342776203966005</x:v>
      </x:c>
      <x:c r="K2230" s="312" t="str">
        <x:f>IF(B2230="Bilinmeyen Personel","Kontrol","OK")</x:f>
        <x:v>OK</x:v>
      </x:c>
    </x:row>
    <x:row r="2231" hidden="1">
      <x:c r="A2231" s="312" t="n">
        <x:f>ROW()-ROW($A$2)+1</x:f>
        <x:v>2230</x:v>
      </x:c>
      <x:c r="B2231" s="312" t="s">
        <x:v>29</x:v>
      </x:c>
      <x:c r="C2231" s="312" t="s">
        <x:v>53</x:v>
      </x:c>
      <x:c r="D2231" s="317">
        <x:v>3</x:v>
      </x:c>
      <x:c r="E2231" s="321">
        <x:v>1200</x:v>
      </x:c>
      <x:c r="F2231" s="321">
        <x:v>3600</x:v>
      </x:c>
      <x:c r="G2231" s="321">
        <x:v>1200</x:v>
      </x:c>
      <x:c r="H2231" s="312" t="s">
        <x:v>64</x:v>
      </x:c>
      <x:c r="I2231" s="312" t="s">
        <x:v>41</x:v>
      </x:c>
      <x:c r="J2231" s="316" t="n">
        <x:f>IFERROR(G2231/F2231,0)</x:f>
        <x:v>0.3333333333333333</x:v>
      </x:c>
      <x:c r="K2231" s="312" t="str">
        <x:f>IF(B2231="Bilinmeyen Personel","Kontrol","OK")</x:f>
        <x:v>OK</x:v>
      </x:c>
    </x:row>
    <x:row r="2232" hidden="1">
      <x:c r="A2232" s="312" t="n">
        <x:f>ROW()-ROW($A$2)+1</x:f>
        <x:v>2231</x:v>
      </x:c>
      <x:c r="B2232" s="312" t="s">
        <x:v>48</x:v>
      </x:c>
      <x:c r="C2232" s="312" t="s">
        <x:v>27</x:v>
      </x:c>
      <x:c r="D2232" s="317">
        <x:v>4</x:v>
      </x:c>
      <x:c r="E2232" s="321">
        <x:v>1100</x:v>
      </x:c>
      <x:c r="F2232" s="321">
        <x:v>4400</x:v>
      </x:c>
      <x:c r="G2232" s="321">
        <x:v>1200</x:v>
      </x:c>
      <x:c r="H2232" s="312" t="s">
        <x:v>64</x:v>
      </x:c>
      <x:c r="I2232" s="312" t="s">
        <x:v>42</x:v>
      </x:c>
      <x:c r="J2232" s="316" t="n">
        <x:f>IFERROR(G2232/F2232,0)</x:f>
        <x:v>0.2727272727272727</x:v>
      </x:c>
      <x:c r="K2232" s="312" t="str">
        <x:f>IF(B2232="Bilinmeyen Personel","Kontrol","OK")</x:f>
        <x:v>OK</x:v>
      </x:c>
    </x:row>
    <x:row r="2233" hidden="1">
      <x:c r="A2233" s="312" t="n">
        <x:f>ROW()-ROW($A$2)+1</x:f>
        <x:v>2232</x:v>
      </x:c>
      <x:c r="B2233" s="312" t="s">
        <x:v>40</x:v>
      </x:c>
      <x:c r="C2233" s="312" t="s">
        <x:v>58</x:v>
      </x:c>
      <x:c r="D2233" s="317">
        <x:v>3</x:v>
      </x:c>
      <x:c r="E2233" s="321">
        <x:v>3700</x:v>
      </x:c>
      <x:c r="F2233" s="321">
        <x:v>11100</x:v>
      </x:c>
      <x:c r="G2233" s="321">
        <x:v>2100</x:v>
      </x:c>
      <x:c r="H2233" s="312" t="s">
        <x:v>64</x:v>
      </x:c>
      <x:c r="I2233" s="312" t="s">
        <x:v>18</x:v>
      </x:c>
      <x:c r="J2233" s="316" t="n">
        <x:f>IFERROR(G2233/F2233,0)</x:f>
        <x:v>0.1891891891891892</x:v>
      </x:c>
      <x:c r="K2233" s="312" t="str">
        <x:f>IF(B2233="Bilinmeyen Personel","Kontrol","OK")</x:f>
        <x:v>OK</x:v>
      </x:c>
    </x:row>
    <x:row r="2234" hidden="1">
      <x:c r="A2234" s="312" t="n">
        <x:f>ROW()-ROW($A$2)+1</x:f>
        <x:v>2233</x:v>
      </x:c>
      <x:c r="B2234" s="312" t="s">
        <x:v>13</x:v>
      </x:c>
      <x:c r="C2234" s="312" t="s">
        <x:v>58</x:v>
      </x:c>
      <x:c r="D2234" s="317">
        <x:v>3</x:v>
      </x:c>
      <x:c r="E2234" s="321">
        <x:v>3700</x:v>
      </x:c>
      <x:c r="F2234" s="321">
        <x:v>11100</x:v>
      </x:c>
      <x:c r="G2234" s="321">
        <x:v>2100</x:v>
      </x:c>
      <x:c r="H2234" s="312" t="s">
        <x:v>64</x:v>
      </x:c>
      <x:c r="I2234" s="312" t="s">
        <x:v>28</x:v>
      </x:c>
      <x:c r="J2234" s="316" t="n">
        <x:f>IFERROR(G2234/F2234,0)</x:f>
        <x:v>0.1891891891891892</x:v>
      </x:c>
      <x:c r="K2234" s="312" t="str">
        <x:f>IF(B2234="Bilinmeyen Personel","Kontrol","OK")</x:f>
        <x:v>OK</x:v>
      </x:c>
    </x:row>
    <x:row r="2235" hidden="1">
      <x:c r="A2235" s="312" t="n">
        <x:f>ROW()-ROW($A$2)+1</x:f>
        <x:v>2234</x:v>
      </x:c>
      <x:c r="B2235" s="312" t="s">
        <x:v>32</x:v>
      </x:c>
      <x:c r="C2235" s="312" t="s">
        <x:v>27</x:v>
      </x:c>
      <x:c r="D2235" s="317">
        <x:v>5</x:v>
      </x:c>
      <x:c r="E2235" s="321">
        <x:v>1100</x:v>
      </x:c>
      <x:c r="F2235" s="321">
        <x:v>5500</x:v>
      </x:c>
      <x:c r="G2235" s="321">
        <x:v>1500</x:v>
      </x:c>
      <x:c r="H2235" s="312" t="s">
        <x:v>64</x:v>
      </x:c>
      <x:c r="I2235" s="312" t="s">
        <x:v>25</x:v>
      </x:c>
      <x:c r="J2235" s="316" t="n">
        <x:f>IFERROR(G2235/F2235,0)</x:f>
        <x:v>0.2727272727272727</x:v>
      </x:c>
      <x:c r="K2235" s="312" t="str">
        <x:f>IF(B2235="Bilinmeyen Personel","Kontrol","OK")</x:f>
        <x:v>OK</x:v>
      </x:c>
    </x:row>
    <x:row r="2236" hidden="1">
      <x:c r="A2236" s="312" t="n">
        <x:f>ROW()-ROW($A$2)+1</x:f>
        <x:v>2235</x:v>
      </x:c>
      <x:c r="B2236" s="312" t="s">
        <x:v>29</x:v>
      </x:c>
      <x:c r="C2236" s="312" t="s">
        <x:v>58</x:v>
      </x:c>
      <x:c r="D2236" s="317">
        <x:v>3</x:v>
      </x:c>
      <x:c r="E2236" s="321">
        <x:v>3700</x:v>
      </x:c>
      <x:c r="F2236" s="321">
        <x:v>11100</x:v>
      </x:c>
      <x:c r="G2236" s="321">
        <x:v>2100</x:v>
      </x:c>
      <x:c r="H2236" s="312" t="s">
        <x:v>64</x:v>
      </x:c>
      <x:c r="I2236" s="312" t="s">
        <x:v>12</x:v>
      </x:c>
      <x:c r="J2236" s="316" t="n">
        <x:f>IFERROR(G2236/F2236,0)</x:f>
        <x:v>0.1891891891891892</x:v>
      </x:c>
      <x:c r="K2236" s="312" t="str">
        <x:f>IF(B2236="Bilinmeyen Personel","Kontrol","OK")</x:f>
        <x:v>OK</x:v>
      </x:c>
    </x:row>
    <x:row r="2237" hidden="1">
      <x:c r="A2237" s="312" t="n">
        <x:f>ROW()-ROW($A$2)+1</x:f>
        <x:v>2236</x:v>
      </x:c>
      <x:c r="B2237" s="312" t="s">
        <x:v>48</x:v>
      </x:c>
      <x:c r="C2237" s="312" t="s">
        <x:v>43</x:v>
      </x:c>
      <x:c r="D2237" s="317">
        <x:v>4</x:v>
      </x:c>
      <x:c r="E2237" s="321">
        <x:v>1490</x:v>
      </x:c>
      <x:c r="F2237" s="321">
        <x:v>5960</x:v>
      </x:c>
      <x:c r="G2237" s="321">
        <x:v>2760</x:v>
      </x:c>
      <x:c r="H2237" s="312" t="s">
        <x:v>64</x:v>
      </x:c>
      <x:c r="I2237" s="312" t="s">
        <x:v>12</x:v>
      </x:c>
      <x:c r="J2237" s="316" t="n">
        <x:f>IFERROR(G2237/F2237,0)</x:f>
        <x:v>0.46308724832214765</x:v>
      </x:c>
      <x:c r="K2237" s="312" t="str">
        <x:f>IF(B2237="Bilinmeyen Personel","Kontrol","OK")</x:f>
        <x:v>OK</x:v>
      </x:c>
    </x:row>
    <x:row r="2238" hidden="1">
      <x:c r="A2238" s="312" t="n">
        <x:f>ROW()-ROW($A$2)+1</x:f>
        <x:v>2237</x:v>
      </x:c>
      <x:c r="B2238" s="312" t="s">
        <x:v>40</x:v>
      </x:c>
      <x:c r="C2238" s="312" t="s">
        <x:v>57</x:v>
      </x:c>
      <x:c r="D2238" s="317">
        <x:v>4</x:v>
      </x:c>
      <x:c r="E2238" s="321">
        <x:v>1500</x:v>
      </x:c>
      <x:c r="F2238" s="321">
        <x:v>6000</x:v>
      </x:c>
      <x:c r="G2238" s="321">
        <x:v>2800</x:v>
      </x:c>
      <x:c r="H2238" s="312" t="s">
        <x:v>64</x:v>
      </x:c>
      <x:c r="I2238" s="312" t="s">
        <x:v>31</x:v>
      </x:c>
      <x:c r="J2238" s="316" t="n">
        <x:f>IFERROR(G2238/F2238,0)</x:f>
        <x:v>0.4666666666666667</x:v>
      </x:c>
      <x:c r="K2238" s="312" t="str">
        <x:f>IF(B2238="Bilinmeyen Personel","Kontrol","OK")</x:f>
        <x:v>OK</x:v>
      </x:c>
    </x:row>
    <x:row r="2239" hidden="1">
      <x:c r="A2239" s="312" t="n">
        <x:f>ROW()-ROW($A$2)+1</x:f>
        <x:v>2238</x:v>
      </x:c>
      <x:c r="B2239" s="312" t="s">
        <x:v>38</x:v>
      </x:c>
      <x:c r="C2239" s="312" t="s">
        <x:v>34</x:v>
      </x:c>
      <x:c r="D2239" s="317">
        <x:v>3</x:v>
      </x:c>
      <x:c r="E2239" s="321">
        <x:v>1090</x:v>
      </x:c>
      <x:c r="F2239" s="321">
        <x:v>3270</x:v>
      </x:c>
      <x:c r="G2239" s="321">
        <x:v>870</x:v>
      </x:c>
      <x:c r="H2239" s="312" t="s">
        <x:v>64</x:v>
      </x:c>
      <x:c r="I2239" s="312" t="s">
        <x:v>54</x:v>
      </x:c>
      <x:c r="J2239" s="316" t="n">
        <x:f>IFERROR(G2239/F2239,0)</x:f>
        <x:v>0.26605504587155965</x:v>
      </x:c>
      <x:c r="K2239" s="312" t="str">
        <x:f>IF(B2239="Bilinmeyen Personel","Kontrol","OK")</x:f>
        <x:v>OK</x:v>
      </x:c>
    </x:row>
    <x:row r="2240" hidden="1">
      <x:c r="A2240" s="312" t="n">
        <x:f>ROW()-ROW($A$2)+1</x:f>
        <x:v>2239</x:v>
      </x:c>
      <x:c r="B2240" s="312" t="s">
        <x:v>48</x:v>
      </x:c>
      <x:c r="C2240" s="312" t="s">
        <x:v>33</x:v>
      </x:c>
      <x:c r="D2240" s="317">
        <x:v>3</x:v>
      </x:c>
      <x:c r="E2240" s="321">
        <x:v>1800</x:v>
      </x:c>
      <x:c r="F2240" s="321">
        <x:v>5400</x:v>
      </x:c>
      <x:c r="G2240" s="321">
        <x:v>3000</x:v>
      </x:c>
      <x:c r="H2240" s="312" t="s">
        <x:v>64</x:v>
      </x:c>
      <x:c r="I2240" s="312" t="s">
        <x:v>42</x:v>
      </x:c>
      <x:c r="J2240" s="316" t="n">
        <x:f>IFERROR(G2240/F2240,0)</x:f>
        <x:v>0.5555555555555556</x:v>
      </x:c>
      <x:c r="K2240" s="312" t="str">
        <x:f>IF(B2240="Bilinmeyen Personel","Kontrol","OK")</x:f>
        <x:v>OK</x:v>
      </x:c>
    </x:row>
    <x:row r="2241" hidden="1">
      <x:c r="A2241" s="312" t="n">
        <x:f>ROW()-ROW($A$2)+1</x:f>
        <x:v>2240</x:v>
      </x:c>
      <x:c r="B2241" s="312" t="s">
        <x:v>35</x:v>
      </x:c>
      <x:c r="C2241" s="312" t="s">
        <x:v>55</x:v>
      </x:c>
      <x:c r="D2241" s="317">
        <x:v>2</x:v>
      </x:c>
      <x:c r="E2241" s="321">
        <x:v>7530</x:v>
      </x:c>
      <x:c r="F2241" s="321">
        <x:v>15060</x:v>
      </x:c>
      <x:c r="G2241" s="321">
        <x:v>3060</x:v>
      </x:c>
      <x:c r="H2241" s="312" t="s">
        <x:v>64</x:v>
      </x:c>
      <x:c r="I2241" s="312" t="s">
        <x:v>42</x:v>
      </x:c>
      <x:c r="J2241" s="316" t="n">
        <x:f>IFERROR(G2241/F2241,0)</x:f>
        <x:v>0.20318725099601595</x:v>
      </x:c>
      <x:c r="K2241" s="312" t="str">
        <x:f>IF(B2241="Bilinmeyen Personel","Kontrol","OK")</x:f>
        <x:v>OK</x:v>
      </x:c>
    </x:row>
    <x:row r="2242" hidden="1">
      <x:c r="A2242" s="312" t="n">
        <x:f>ROW()-ROW($A$2)+1</x:f>
        <x:v>2241</x:v>
      </x:c>
      <x:c r="B2242" s="312" t="s">
        <x:v>32</x:v>
      </x:c>
      <x:c r="C2242" s="312" t="s">
        <x:v>27</x:v>
      </x:c>
      <x:c r="D2242" s="317">
        <x:v>5</x:v>
      </x:c>
      <x:c r="E2242" s="321">
        <x:v>1100</x:v>
      </x:c>
      <x:c r="F2242" s="321">
        <x:v>5500</x:v>
      </x:c>
      <x:c r="G2242" s="321">
        <x:v>1500</x:v>
      </x:c>
      <x:c r="H2242" s="312" t="s">
        <x:v>64</x:v>
      </x:c>
      <x:c r="I2242" s="312" t="s">
        <x:v>31</x:v>
      </x:c>
      <x:c r="J2242" s="316" t="n">
        <x:f>IFERROR(G2242/F2242,0)</x:f>
        <x:v>0.2727272727272727</x:v>
      </x:c>
      <x:c r="K2242" s="312" t="str">
        <x:f>IF(B2242="Bilinmeyen Personel","Kontrol","OK")</x:f>
        <x:v>OK</x:v>
      </x:c>
    </x:row>
    <x:row r="2243" hidden="1">
      <x:c r="A2243" s="312" t="n">
        <x:f>ROW()-ROW($A$2)+1</x:f>
        <x:v>2242</x:v>
      </x:c>
      <x:c r="B2243" s="312" t="s">
        <x:v>40</x:v>
      </x:c>
      <x:c r="C2243" s="312" t="s">
        <x:v>20</x:v>
      </x:c>
      <x:c r="D2243" s="317">
        <x:v>5</x:v>
      </x:c>
      <x:c r="E2243" s="321">
        <x:v>1350</x:v>
      </x:c>
      <x:c r="F2243" s="321">
        <x:v>6750</x:v>
      </x:c>
      <x:c r="G2243" s="321">
        <x:v>2750</x:v>
      </x:c>
      <x:c r="H2243" s="312" t="s">
        <x:v>64</x:v>
      </x:c>
      <x:c r="I2243" s="312" t="s">
        <x:v>25</x:v>
      </x:c>
      <x:c r="J2243" s="316" t="n">
        <x:f>IFERROR(G2243/F2243,0)</x:f>
        <x:v>0.4074074074074074</x:v>
      </x:c>
      <x:c r="K2243" s="312" t="str">
        <x:f>IF(B2243="Bilinmeyen Personel","Kontrol","OK")</x:f>
        <x:v>OK</x:v>
      </x:c>
    </x:row>
    <x:row r="2244" hidden="1">
      <x:c r="A2244" s="312" t="n">
        <x:f>ROW()-ROW($A$2)+1</x:f>
        <x:v>2243</x:v>
      </x:c>
      <x:c r="B2244" s="312" t="s">
        <x:v>38</x:v>
      </x:c>
      <x:c r="C2244" s="312" t="s">
        <x:v>20</x:v>
      </x:c>
      <x:c r="D2244" s="317">
        <x:v>4</x:v>
      </x:c>
      <x:c r="E2244" s="321">
        <x:v>1350</x:v>
      </x:c>
      <x:c r="F2244" s="321">
        <x:v>5400</x:v>
      </x:c>
      <x:c r="G2244" s="321">
        <x:v>2200</x:v>
      </x:c>
      <x:c r="H2244" s="312" t="s">
        <x:v>64</x:v>
      </x:c>
      <x:c r="I2244" s="312" t="s">
        <x:v>41</x:v>
      </x:c>
      <x:c r="J2244" s="316" t="n">
        <x:f>IFERROR(G2244/F2244,0)</x:f>
        <x:v>0.4074074074074074</x:v>
      </x:c>
      <x:c r="K2244" s="312" t="str">
        <x:f>IF(B2244="Bilinmeyen Personel","Kontrol","OK")</x:f>
        <x:v>OK</x:v>
      </x:c>
    </x:row>
    <x:row r="2245" hidden="1">
      <x:c r="A2245" s="312" t="n">
        <x:f>ROW()-ROW($A$2)+1</x:f>
        <x:v>2244</x:v>
      </x:c>
      <x:c r="B2245" s="312" t="s">
        <x:v>35</x:v>
      </x:c>
      <x:c r="C2245" s="312" t="s">
        <x:v>34</x:v>
      </x:c>
      <x:c r="D2245" s="317">
        <x:v>5</x:v>
      </x:c>
      <x:c r="E2245" s="321">
        <x:v>1090</x:v>
      </x:c>
      <x:c r="F2245" s="321">
        <x:v>5450</x:v>
      </x:c>
      <x:c r="G2245" s="321">
        <x:v>1450</x:v>
      </x:c>
      <x:c r="H2245" s="312" t="s">
        <x:v>64</x:v>
      </x:c>
      <x:c r="I2245" s="312" t="s">
        <x:v>41</x:v>
      </x:c>
      <x:c r="J2245" s="316" t="n">
        <x:f>IFERROR(G2245/F2245,0)</x:f>
        <x:v>0.26605504587155965</x:v>
      </x:c>
      <x:c r="K2245" s="312" t="str">
        <x:f>IF(B2245="Bilinmeyen Personel","Kontrol","OK")</x:f>
        <x:v>OK</x:v>
      </x:c>
    </x:row>
    <x:row r="2246" hidden="1">
      <x:c r="A2246" s="312" t="n">
        <x:f>ROW()-ROW($A$2)+1</x:f>
        <x:v>2245</x:v>
      </x:c>
      <x:c r="B2246" s="312" t="s">
        <x:v>35</x:v>
      </x:c>
      <x:c r="C2246" s="312" t="s">
        <x:v>45</x:v>
      </x:c>
      <x:c r="D2246" s="317">
        <x:v>2</x:v>
      </x:c>
      <x:c r="E2246" s="321">
        <x:v>4200</x:v>
      </x:c>
      <x:c r="F2246" s="321">
        <x:v>8400</x:v>
      </x:c>
      <x:c r="G2246" s="321">
        <x:v>2400</x:v>
      </x:c>
      <x:c r="H2246" s="312" t="s">
        <x:v>64</x:v>
      </x:c>
      <x:c r="I2246" s="312" t="s">
        <x:v>37</x:v>
      </x:c>
      <x:c r="J2246" s="316" t="n">
        <x:f>IFERROR(G2246/F2246,0)</x:f>
        <x:v>0.2857142857142857</x:v>
      </x:c>
      <x:c r="K2246" s="312" t="str">
        <x:f>IF(B2246="Bilinmeyen Personel","Kontrol","OK")</x:f>
        <x:v>OK</x:v>
      </x:c>
    </x:row>
    <x:row r="2247" hidden="1">
      <x:c r="A2247" s="312" t="n">
        <x:f>ROW()-ROW($A$2)+1</x:f>
        <x:v>2246</x:v>
      </x:c>
      <x:c r="B2247" s="312" t="s">
        <x:v>40</x:v>
      </x:c>
      <x:c r="C2247" s="312" t="s">
        <x:v>33</x:v>
      </x:c>
      <x:c r="D2247" s="317">
        <x:v>3</x:v>
      </x:c>
      <x:c r="E2247" s="321">
        <x:v>1800</x:v>
      </x:c>
      <x:c r="F2247" s="321">
        <x:v>5400</x:v>
      </x:c>
      <x:c r="G2247" s="321">
        <x:v>3000</x:v>
      </x:c>
      <x:c r="H2247" s="312" t="s">
        <x:v>64</x:v>
      </x:c>
      <x:c r="I2247" s="312" t="s">
        <x:v>15</x:v>
      </x:c>
      <x:c r="J2247" s="316" t="n">
        <x:f>IFERROR(G2247/F2247,0)</x:f>
        <x:v>0.5555555555555556</x:v>
      </x:c>
      <x:c r="K2247" s="312" t="str">
        <x:f>IF(B2247="Bilinmeyen Personel","Kontrol","OK")</x:f>
        <x:v>OK</x:v>
      </x:c>
    </x:row>
    <x:row r="2248" hidden="1">
      <x:c r="A2248" s="312" t="n">
        <x:f>ROW()-ROW($A$2)+1</x:f>
        <x:v>2247</x:v>
      </x:c>
      <x:c r="B2248" s="312" t="s">
        <x:v>50</x:v>
      </x:c>
      <x:c r="C2248" s="312" t="s">
        <x:v>34</x:v>
      </x:c>
      <x:c r="D2248" s="317">
        <x:v>3</x:v>
      </x:c>
      <x:c r="E2248" s="321">
        <x:v>1090</x:v>
      </x:c>
      <x:c r="F2248" s="321">
        <x:v>3270</x:v>
      </x:c>
      <x:c r="G2248" s="321">
        <x:v>870</x:v>
      </x:c>
      <x:c r="H2248" s="312" t="s">
        <x:v>64</x:v>
      </x:c>
      <x:c r="I2248" s="312" t="s">
        <x:v>46</x:v>
      </x:c>
      <x:c r="J2248" s="316" t="n">
        <x:f>IFERROR(G2248/F2248,0)</x:f>
        <x:v>0.26605504587155965</x:v>
      </x:c>
      <x:c r="K2248" s="312" t="str">
        <x:f>IF(B2248="Bilinmeyen Personel","Kontrol","OK")</x:f>
        <x:v>OK</x:v>
      </x:c>
    </x:row>
    <x:row r="2249" hidden="1">
      <x:c r="A2249" s="312" t="n">
        <x:f>ROW()-ROW($A$2)+1</x:f>
        <x:v>2248</x:v>
      </x:c>
      <x:c r="B2249" s="312" t="s">
        <x:v>9</x:v>
      </x:c>
      <x:c r="C2249" s="312" t="s">
        <x:v>24</x:v>
      </x:c>
      <x:c r="D2249" s="317">
        <x:v>3</x:v>
      </x:c>
      <x:c r="E2249" s="321">
        <x:v>7600</x:v>
      </x:c>
      <x:c r="F2249" s="321">
        <x:v>22800</x:v>
      </x:c>
      <x:c r="G2249" s="321">
        <x:v>4800</x:v>
      </x:c>
      <x:c r="H2249" s="312" t="s">
        <x:v>64</x:v>
      </x:c>
      <x:c r="I2249" s="312" t="s">
        <x:v>46</x:v>
      </x:c>
      <x:c r="J2249" s="316" t="n">
        <x:f>IFERROR(G2249/F2249,0)</x:f>
        <x:v>0.21052631578947367</x:v>
      </x:c>
      <x:c r="K2249" s="312" t="str">
        <x:f>IF(B2249="Bilinmeyen Personel","Kontrol","OK")</x:f>
        <x:v>OK</x:v>
      </x:c>
    </x:row>
    <x:row r="2250" hidden="1">
      <x:c r="A2250" s="312" t="n">
        <x:f>ROW()-ROW($A$2)+1</x:f>
        <x:v>2249</x:v>
      </x:c>
      <x:c r="B2250" s="312" t="s">
        <x:v>38</x:v>
      </x:c>
      <x:c r="C2250" s="312" t="s">
        <x:v>24</x:v>
      </x:c>
      <x:c r="D2250" s="317">
        <x:v>2</x:v>
      </x:c>
      <x:c r="E2250" s="321">
        <x:v>7600</x:v>
      </x:c>
      <x:c r="F2250" s="321">
        <x:v>15200</x:v>
      </x:c>
      <x:c r="G2250" s="321">
        <x:v>3200</x:v>
      </x:c>
      <x:c r="H2250" s="312" t="s">
        <x:v>64</x:v>
      </x:c>
      <x:c r="I2250" s="312" t="s">
        <x:v>54</x:v>
      </x:c>
      <x:c r="J2250" s="316" t="n">
        <x:f>IFERROR(G2250/F2250,0)</x:f>
        <x:v>0.21052631578947367</x:v>
      </x:c>
      <x:c r="K2250" s="312" t="str">
        <x:f>IF(B2250="Bilinmeyen Personel","Kontrol","OK")</x:f>
        <x:v>OK</x:v>
      </x:c>
    </x:row>
    <x:row r="2251" hidden="1">
      <x:c r="A2251" s="312" t="n">
        <x:f>ROW()-ROW($A$2)+1</x:f>
        <x:v>2250</x:v>
      </x:c>
      <x:c r="B2251" s="312" t="s">
        <x:v>16</x:v>
      </x:c>
      <x:c r="C2251" s="312" t="s">
        <x:v>58</x:v>
      </x:c>
      <x:c r="D2251" s="317">
        <x:v>2</x:v>
      </x:c>
      <x:c r="E2251" s="321">
        <x:v>3700</x:v>
      </x:c>
      <x:c r="F2251" s="321">
        <x:v>7400</x:v>
      </x:c>
      <x:c r="G2251" s="321">
        <x:v>1400</x:v>
      </x:c>
      <x:c r="H2251" s="312" t="s">
        <x:v>64</x:v>
      </x:c>
      <x:c r="I2251" s="312" t="s">
        <x:v>42</x:v>
      </x:c>
      <x:c r="J2251" s="316" t="n">
        <x:f>IFERROR(G2251/F2251,0)</x:f>
        <x:v>0.1891891891891892</x:v>
      </x:c>
      <x:c r="K2251" s="312" t="str">
        <x:f>IF(B2251="Bilinmeyen Personel","Kontrol","OK")</x:f>
        <x:v>OK</x:v>
      </x:c>
    </x:row>
    <x:row r="2252" hidden="1">
      <x:c r="A2252" s="312" t="n">
        <x:f>ROW()-ROW($A$2)+1</x:f>
        <x:v>2251</x:v>
      </x:c>
      <x:c r="B2252" s="312" t="s">
        <x:v>23</x:v>
      </x:c>
      <x:c r="C2252" s="312" t="s">
        <x:v>26</x:v>
      </x:c>
      <x:c r="D2252" s="317">
        <x:v>5</x:v>
      </x:c>
      <x:c r="E2252" s="321">
        <x:v>7250</x:v>
      </x:c>
      <x:c r="F2252" s="321">
        <x:v>36250</x:v>
      </x:c>
      <x:c r="G2252" s="321">
        <x:v>11250</x:v>
      </x:c>
      <x:c r="H2252" s="312" t="s">
        <x:v>64</x:v>
      </x:c>
      <x:c r="I2252" s="312" t="s">
        <x:v>44</x:v>
      </x:c>
      <x:c r="J2252" s="316" t="n">
        <x:f>IFERROR(G2252/F2252,0)</x:f>
        <x:v>0.3103448275862069</x:v>
      </x:c>
      <x:c r="K2252" s="312" t="str">
        <x:f>IF(B2252="Bilinmeyen Personel","Kontrol","OK")</x:f>
        <x:v>OK</x:v>
      </x:c>
    </x:row>
    <x:row r="2253" hidden="1">
      <x:c r="A2253" s="312" t="n">
        <x:f>ROW()-ROW($A$2)+1</x:f>
        <x:v>2252</x:v>
      </x:c>
      <x:c r="B2253" s="312" t="s">
        <x:v>13</x:v>
      </x:c>
      <x:c r="C2253" s="312" t="s">
        <x:v>24</x:v>
      </x:c>
      <x:c r="D2253" s="317">
        <x:v>2</x:v>
      </x:c>
      <x:c r="E2253" s="321">
        <x:v>7600</x:v>
      </x:c>
      <x:c r="F2253" s="321">
        <x:v>15200</x:v>
      </x:c>
      <x:c r="G2253" s="321">
        <x:v>3200</x:v>
      </x:c>
      <x:c r="H2253" s="312" t="s">
        <x:v>64</x:v>
      </x:c>
      <x:c r="I2253" s="312" t="s">
        <x:v>18</x:v>
      </x:c>
      <x:c r="J2253" s="316" t="n">
        <x:f>IFERROR(G2253/F2253,0)</x:f>
        <x:v>0.21052631578947367</x:v>
      </x:c>
      <x:c r="K2253" s="312" t="str">
        <x:f>IF(B2253="Bilinmeyen Personel","Kontrol","OK")</x:f>
        <x:v>OK</x:v>
      </x:c>
    </x:row>
    <x:row r="2254" hidden="1">
      <x:c r="A2254" s="312" t="n">
        <x:f>ROW()-ROW($A$2)+1</x:f>
        <x:v>2253</x:v>
      </x:c>
      <x:c r="B2254" s="312" t="s">
        <x:v>48</x:v>
      </x:c>
      <x:c r="C2254" s="312" t="s">
        <x:v>45</x:v>
      </x:c>
      <x:c r="D2254" s="317">
        <x:v>3</x:v>
      </x:c>
      <x:c r="E2254" s="321">
        <x:v>4200</x:v>
      </x:c>
      <x:c r="F2254" s="321">
        <x:v>12600</x:v>
      </x:c>
      <x:c r="G2254" s="321">
        <x:v>3600</x:v>
      </x:c>
      <x:c r="H2254" s="312" t="s">
        <x:v>64</x:v>
      </x:c>
      <x:c r="I2254" s="312" t="s">
        <x:v>31</x:v>
      </x:c>
      <x:c r="J2254" s="316" t="n">
        <x:f>IFERROR(G2254/F2254,0)</x:f>
        <x:v>0.2857142857142857</x:v>
      </x:c>
      <x:c r="K2254" s="312" t="str">
        <x:f>IF(B2254="Bilinmeyen Personel","Kontrol","OK")</x:f>
        <x:v>OK</x:v>
      </x:c>
    </x:row>
    <x:row r="2255" hidden="1">
      <x:c r="A2255" s="312" t="n">
        <x:f>ROW()-ROW($A$2)+1</x:f>
        <x:v>2254</x:v>
      </x:c>
      <x:c r="B2255" s="312" t="s">
        <x:v>32</x:v>
      </x:c>
      <x:c r="C2255" s="312" t="s">
        <x:v>52</x:v>
      </x:c>
      <x:c r="D2255" s="317">
        <x:v>2</x:v>
      </x:c>
      <x:c r="E2255" s="321">
        <x:v>1250</x:v>
      </x:c>
      <x:c r="F2255" s="321">
        <x:v>2500</x:v>
      </x:c>
      <x:c r="G2255" s="321">
        <x:v>900</x:v>
      </x:c>
      <x:c r="H2255" s="312" t="s">
        <x:v>64</x:v>
      </x:c>
      <x:c r="I2255" s="312" t="s">
        <x:v>37</x:v>
      </x:c>
      <x:c r="J2255" s="316" t="n">
        <x:f>IFERROR(G2255/F2255,0)</x:f>
        <x:v>0.36</x:v>
      </x:c>
      <x:c r="K2255" s="312" t="str">
        <x:f>IF(B2255="Bilinmeyen Personel","Kontrol","OK")</x:f>
        <x:v>OK</x:v>
      </x:c>
    </x:row>
    <x:row r="2256" hidden="1">
      <x:c r="A2256" s="312" t="n">
        <x:f>ROW()-ROW($A$2)+1</x:f>
        <x:v>2255</x:v>
      </x:c>
      <x:c r="B2256" s="312" t="s">
        <x:v>38</x:v>
      </x:c>
      <x:c r="C2256" s="312" t="s">
        <x:v>34</x:v>
      </x:c>
      <x:c r="D2256" s="317">
        <x:v>3</x:v>
      </x:c>
      <x:c r="E2256" s="321">
        <x:v>1090</x:v>
      </x:c>
      <x:c r="F2256" s="321">
        <x:v>3270</x:v>
      </x:c>
      <x:c r="G2256" s="321">
        <x:v>870</x:v>
      </x:c>
      <x:c r="H2256" s="312" t="s">
        <x:v>64</x:v>
      </x:c>
      <x:c r="I2256" s="312" t="s">
        <x:v>41</x:v>
      </x:c>
      <x:c r="J2256" s="316" t="n">
        <x:f>IFERROR(G2256/F2256,0)</x:f>
        <x:v>0.26605504587155965</x:v>
      </x:c>
      <x:c r="K2256" s="312" t="str">
        <x:f>IF(B2256="Bilinmeyen Personel","Kontrol","OK")</x:f>
        <x:v>OK</x:v>
      </x:c>
    </x:row>
    <x:row r="2257" hidden="1">
      <x:c r="A2257" s="312" t="n">
        <x:f>ROW()-ROW($A$2)+1</x:f>
        <x:v>2256</x:v>
      </x:c>
      <x:c r="B2257" s="312" t="s">
        <x:v>19</x:v>
      </x:c>
      <x:c r="C2257" s="312" t="s">
        <x:v>22</x:v>
      </x:c>
      <x:c r="D2257" s="317">
        <x:v>3</x:v>
      </x:c>
      <x:c r="E2257" s="321">
        <x:v>2180</x:v>
      </x:c>
      <x:c r="F2257" s="321">
        <x:v>6540</x:v>
      </x:c>
      <x:c r="G2257" s="321">
        <x:v>2040</x:v>
      </x:c>
      <x:c r="H2257" s="312" t="s">
        <x:v>64</x:v>
      </x:c>
      <x:c r="I2257" s="312" t="s">
        <x:v>42</x:v>
      </x:c>
      <x:c r="J2257" s="316" t="n">
        <x:f>IFERROR(G2257/F2257,0)</x:f>
        <x:v>0.3119266055045872</x:v>
      </x:c>
      <x:c r="K2257" s="312" t="str">
        <x:f>IF(B2257="Bilinmeyen Personel","Kontrol","OK")</x:f>
        <x:v>OK</x:v>
      </x:c>
    </x:row>
    <x:row r="2258" hidden="1">
      <x:c r="A2258" s="312" t="n">
        <x:f>ROW()-ROW($A$2)+1</x:f>
        <x:v>2257</x:v>
      </x:c>
      <x:c r="B2258" s="312" t="s">
        <x:v>50</x:v>
      </x:c>
      <x:c r="C2258" s="312" t="s">
        <x:v>58</x:v>
      </x:c>
      <x:c r="D2258" s="317">
        <x:v>5</x:v>
      </x:c>
      <x:c r="E2258" s="321">
        <x:v>3700</x:v>
      </x:c>
      <x:c r="F2258" s="321">
        <x:v>18500</x:v>
      </x:c>
      <x:c r="G2258" s="321">
        <x:v>3500</x:v>
      </x:c>
      <x:c r="H2258" s="312" t="s">
        <x:v>64</x:v>
      </x:c>
      <x:c r="I2258" s="312" t="s">
        <x:v>15</x:v>
      </x:c>
      <x:c r="J2258" s="316" t="n">
        <x:f>IFERROR(G2258/F2258,0)</x:f>
        <x:v>0.1891891891891892</x:v>
      </x:c>
      <x:c r="K2258" s="312" t="str">
        <x:f>IF(B2258="Bilinmeyen Personel","Kontrol","OK")</x:f>
        <x:v>OK</x:v>
      </x:c>
    </x:row>
    <x:row r="2259" hidden="1">
      <x:c r="A2259" s="312" t="n">
        <x:f>ROW()-ROW($A$2)+1</x:f>
        <x:v>2258</x:v>
      </x:c>
      <x:c r="B2259" s="312" t="s">
        <x:v>40</x:v>
      </x:c>
      <x:c r="C2259" s="312" t="s">
        <x:v>10</x:v>
      </x:c>
      <x:c r="D2259" s="317">
        <x:v>3</x:v>
      </x:c>
      <x:c r="E2259" s="321">
        <x:v>6000</x:v>
      </x:c>
      <x:c r="F2259" s="321">
        <x:v>18000</x:v>
      </x:c>
      <x:c r="G2259" s="321">
        <x:v>6000</x:v>
      </x:c>
      <x:c r="H2259" s="312" t="s">
        <x:v>64</x:v>
      </x:c>
      <x:c r="I2259" s="312" t="s">
        <x:v>42</x:v>
      </x:c>
      <x:c r="J2259" s="316" t="n">
        <x:f>IFERROR(G2259/F2259,0)</x:f>
        <x:v>0.3333333333333333</x:v>
      </x:c>
      <x:c r="K2259" s="312" t="str">
        <x:f>IF(B2259="Bilinmeyen Personel","Kontrol","OK")</x:f>
        <x:v>OK</x:v>
      </x:c>
    </x:row>
    <x:row r="2260" hidden="1">
      <x:c r="A2260" s="312" t="n">
        <x:f>ROW()-ROW($A$2)+1</x:f>
        <x:v>2259</x:v>
      </x:c>
      <x:c r="B2260" s="312" t="s">
        <x:v>48</x:v>
      </x:c>
      <x:c r="C2260" s="312" t="s">
        <x:v>52</x:v>
      </x:c>
      <x:c r="D2260" s="317">
        <x:v>2</x:v>
      </x:c>
      <x:c r="E2260" s="321">
        <x:v>1250</x:v>
      </x:c>
      <x:c r="F2260" s="321">
        <x:v>2500</x:v>
      </x:c>
      <x:c r="G2260" s="321">
        <x:v>900</x:v>
      </x:c>
      <x:c r="H2260" s="312" t="s">
        <x:v>64</x:v>
      </x:c>
      <x:c r="I2260" s="312" t="s">
        <x:v>25</x:v>
      </x:c>
      <x:c r="J2260" s="316" t="n">
        <x:f>IFERROR(G2260/F2260,0)</x:f>
        <x:v>0.36</x:v>
      </x:c>
      <x:c r="K2260" s="312" t="str">
        <x:f>IF(B2260="Bilinmeyen Personel","Kontrol","OK")</x:f>
        <x:v>OK</x:v>
      </x:c>
    </x:row>
    <x:row r="2261" hidden="1">
      <x:c r="A2261" s="312" t="n">
        <x:f>ROW()-ROW($A$2)+1</x:f>
        <x:v>2260</x:v>
      </x:c>
      <x:c r="B2261" s="312" t="s">
        <x:v>50</x:v>
      </x:c>
      <x:c r="C2261" s="312" t="s">
        <x:v>24</x:v>
      </x:c>
      <x:c r="D2261" s="317">
        <x:v>4</x:v>
      </x:c>
      <x:c r="E2261" s="321">
        <x:v>7600</x:v>
      </x:c>
      <x:c r="F2261" s="321">
        <x:v>30400</x:v>
      </x:c>
      <x:c r="G2261" s="321">
        <x:v>6400</x:v>
      </x:c>
      <x:c r="H2261" s="312" t="s">
        <x:v>64</x:v>
      </x:c>
      <x:c r="I2261" s="312" t="s">
        <x:v>44</x:v>
      </x:c>
      <x:c r="J2261" s="316" t="n">
        <x:f>IFERROR(G2261/F2261,0)</x:f>
        <x:v>0.21052631578947367</x:v>
      </x:c>
      <x:c r="K2261" s="312" t="str">
        <x:f>IF(B2261="Bilinmeyen Personel","Kontrol","OK")</x:f>
        <x:v>OK</x:v>
      </x:c>
    </x:row>
    <x:row r="2262" hidden="1">
      <x:c r="A2262" s="312" t="n">
        <x:f>ROW()-ROW($A$2)+1</x:f>
        <x:v>2261</x:v>
      </x:c>
      <x:c r="B2262" s="312" t="s">
        <x:v>9</x:v>
      </x:c>
      <x:c r="C2262" s="312" t="s">
        <x:v>14</x:v>
      </x:c>
      <x:c r="D2262" s="317">
        <x:v>3</x:v>
      </x:c>
      <x:c r="E2262" s="321">
        <x:v>1400</x:v>
      </x:c>
      <x:c r="F2262" s="321">
        <x:v>4200</x:v>
      </x:c>
      <x:c r="G2262" s="321">
        <x:v>1800</x:v>
      </x:c>
      <x:c r="H2262" s="312" t="s">
        <x:v>64</x:v>
      </x:c>
      <x:c r="I2262" s="312" t="s">
        <x:v>28</x:v>
      </x:c>
      <x:c r="J2262" s="316" t="n">
        <x:f>IFERROR(G2262/F2262,0)</x:f>
        <x:v>0.42857142857142855</x:v>
      </x:c>
      <x:c r="K2262" s="312" t="str">
        <x:f>IF(B2262="Bilinmeyen Personel","Kontrol","OK")</x:f>
        <x:v>OK</x:v>
      </x:c>
    </x:row>
    <x:row r="2263" hidden="1">
      <x:c r="A2263" s="312" t="n">
        <x:f>ROW()-ROW($A$2)+1</x:f>
        <x:v>2262</x:v>
      </x:c>
      <x:c r="B2263" s="312" t="s">
        <x:v>23</x:v>
      </x:c>
      <x:c r="C2263" s="312" t="s">
        <x:v>22</x:v>
      </x:c>
      <x:c r="D2263" s="317">
        <x:v>3</x:v>
      </x:c>
      <x:c r="E2263" s="321">
        <x:v>2180</x:v>
      </x:c>
      <x:c r="F2263" s="321">
        <x:v>6540</x:v>
      </x:c>
      <x:c r="G2263" s="321">
        <x:v>2040</x:v>
      </x:c>
      <x:c r="H2263" s="312" t="s">
        <x:v>64</x:v>
      </x:c>
      <x:c r="I2263" s="312" t="s">
        <x:v>42</x:v>
      </x:c>
      <x:c r="J2263" s="316" t="n">
        <x:f>IFERROR(G2263/F2263,0)</x:f>
        <x:v>0.3119266055045872</x:v>
      </x:c>
      <x:c r="K2263" s="312" t="str">
        <x:f>IF(B2263="Bilinmeyen Personel","Kontrol","OK")</x:f>
        <x:v>OK</x:v>
      </x:c>
    </x:row>
    <x:row r="2264" hidden="1">
      <x:c r="A2264" s="312" t="n">
        <x:f>ROW()-ROW($A$2)+1</x:f>
        <x:v>2263</x:v>
      </x:c>
      <x:c r="B2264" s="312" t="s">
        <x:v>9</x:v>
      </x:c>
      <x:c r="C2264" s="312" t="s">
        <x:v>33</x:v>
      </x:c>
      <x:c r="D2264" s="317">
        <x:v>4</x:v>
      </x:c>
      <x:c r="E2264" s="321">
        <x:v>1800</x:v>
      </x:c>
      <x:c r="F2264" s="321">
        <x:v>7200</x:v>
      </x:c>
      <x:c r="G2264" s="321">
        <x:v>4000</x:v>
      </x:c>
      <x:c r="H2264" s="312" t="s">
        <x:v>64</x:v>
      </x:c>
      <x:c r="I2264" s="312" t="s">
        <x:v>25</x:v>
      </x:c>
      <x:c r="J2264" s="316" t="n">
        <x:f>IFERROR(G2264/F2264,0)</x:f>
        <x:v>0.5555555555555556</x:v>
      </x:c>
      <x:c r="K2264" s="312" t="str">
        <x:f>IF(B2264="Bilinmeyen Personel","Kontrol","OK")</x:f>
        <x:v>OK</x:v>
      </x:c>
    </x:row>
    <x:row r="2265" hidden="1">
      <x:c r="A2265" s="312" t="n">
        <x:f>ROW()-ROW($A$2)+1</x:f>
        <x:v>2264</x:v>
      </x:c>
      <x:c r="B2265" s="312" t="s">
        <x:v>16</x:v>
      </x:c>
      <x:c r="C2265" s="312" t="s">
        <x:v>57</x:v>
      </x:c>
      <x:c r="D2265" s="317">
        <x:v>5</x:v>
      </x:c>
      <x:c r="E2265" s="321">
        <x:v>1500</x:v>
      </x:c>
      <x:c r="F2265" s="321">
        <x:v>7500</x:v>
      </x:c>
      <x:c r="G2265" s="321">
        <x:v>3500</x:v>
      </x:c>
      <x:c r="H2265" s="312" t="s">
        <x:v>64</x:v>
      </x:c>
      <x:c r="I2265" s="312" t="s">
        <x:v>31</x:v>
      </x:c>
      <x:c r="J2265" s="316" t="n">
        <x:f>IFERROR(G2265/F2265,0)</x:f>
        <x:v>0.4666666666666667</x:v>
      </x:c>
      <x:c r="K2265" s="312" t="str">
        <x:f>IF(B2265="Bilinmeyen Personel","Kontrol","OK")</x:f>
        <x:v>OK</x:v>
      </x:c>
    </x:row>
    <x:row r="2266" hidden="1">
      <x:c r="A2266" s="312" t="n">
        <x:f>ROW()-ROW($A$2)+1</x:f>
        <x:v>2265</x:v>
      </x:c>
      <x:c r="B2266" s="312" t="s">
        <x:v>32</x:v>
      </x:c>
      <x:c r="C2266" s="312" t="s">
        <x:v>17</x:v>
      </x:c>
      <x:c r="D2266" s="317">
        <x:v>2</x:v>
      </x:c>
      <x:c r="E2266" s="321">
        <x:v>8450</x:v>
      </x:c>
      <x:c r="F2266" s="321">
        <x:v>16900</x:v>
      </x:c>
      <x:c r="G2266" s="321">
        <x:v>4900</x:v>
      </x:c>
      <x:c r="H2266" s="312" t="s">
        <x:v>64</x:v>
      </x:c>
      <x:c r="I2266" s="312" t="s">
        <x:v>54</x:v>
      </x:c>
      <x:c r="J2266" s="316" t="n">
        <x:f>IFERROR(G2266/F2266,0)</x:f>
        <x:v>0.28994082840236685</x:v>
      </x:c>
      <x:c r="K2266" s="312" t="str">
        <x:f>IF(B2266="Bilinmeyen Personel","Kontrol","OK")</x:f>
        <x:v>OK</x:v>
      </x:c>
    </x:row>
    <x:row r="2267" hidden="1">
      <x:c r="A2267" s="312" t="n">
        <x:f>ROW()-ROW($A$2)+1</x:f>
        <x:v>2266</x:v>
      </x:c>
      <x:c r="B2267" s="312" t="s">
        <x:v>40</x:v>
      </x:c>
      <x:c r="C2267" s="312" t="s">
        <x:v>57</x:v>
      </x:c>
      <x:c r="D2267" s="317">
        <x:v>5</x:v>
      </x:c>
      <x:c r="E2267" s="321">
        <x:v>1500</x:v>
      </x:c>
      <x:c r="F2267" s="321">
        <x:v>7500</x:v>
      </x:c>
      <x:c r="G2267" s="321">
        <x:v>3500</x:v>
      </x:c>
      <x:c r="H2267" s="312" t="s">
        <x:v>64</x:v>
      </x:c>
      <x:c r="I2267" s="312" t="s">
        <x:v>41</x:v>
      </x:c>
      <x:c r="J2267" s="316" t="n">
        <x:f>IFERROR(G2267/F2267,0)</x:f>
        <x:v>0.4666666666666667</x:v>
      </x:c>
      <x:c r="K2267" s="312" t="str">
        <x:f>IF(B2267="Bilinmeyen Personel","Kontrol","OK")</x:f>
        <x:v>OK</x:v>
      </x:c>
    </x:row>
    <x:row r="2268" hidden="1">
      <x:c r="A2268" s="312" t="n">
        <x:f>ROW()-ROW($A$2)+1</x:f>
        <x:v>2267</x:v>
      </x:c>
      <x:c r="B2268" s="312" t="s">
        <x:v>29</x:v>
      </x:c>
      <x:c r="C2268" s="312" t="s">
        <x:v>10</x:v>
      </x:c>
      <x:c r="D2268" s="317">
        <x:v>3</x:v>
      </x:c>
      <x:c r="E2268" s="321">
        <x:v>6000</x:v>
      </x:c>
      <x:c r="F2268" s="321">
        <x:v>18000</x:v>
      </x:c>
      <x:c r="G2268" s="321">
        <x:v>6000</x:v>
      </x:c>
      <x:c r="H2268" s="312" t="s">
        <x:v>64</x:v>
      </x:c>
      <x:c r="I2268" s="312" t="s">
        <x:v>44</x:v>
      </x:c>
      <x:c r="J2268" s="316" t="n">
        <x:f>IFERROR(G2268/F2268,0)</x:f>
        <x:v>0.3333333333333333</x:v>
      </x:c>
      <x:c r="K2268" s="312" t="str">
        <x:f>IF(B2268="Bilinmeyen Personel","Kontrol","OK")</x:f>
        <x:v>OK</x:v>
      </x:c>
    </x:row>
    <x:row r="2269" hidden="1">
      <x:c r="A2269" s="312" t="n">
        <x:f>ROW()-ROW($A$2)+1</x:f>
        <x:v>2268</x:v>
      </x:c>
      <x:c r="B2269" s="312" t="s">
        <x:v>50</x:v>
      </x:c>
      <x:c r="C2269" s="312" t="s">
        <x:v>53</x:v>
      </x:c>
      <x:c r="D2269" s="317">
        <x:v>4</x:v>
      </x:c>
      <x:c r="E2269" s="321">
        <x:v>1200</x:v>
      </x:c>
      <x:c r="F2269" s="321">
        <x:v>4800</x:v>
      </x:c>
      <x:c r="G2269" s="321">
        <x:v>1600</x:v>
      </x:c>
      <x:c r="H2269" s="312" t="s">
        <x:v>64</x:v>
      </x:c>
      <x:c r="I2269" s="312" t="s">
        <x:v>28</x:v>
      </x:c>
      <x:c r="J2269" s="316" t="n">
        <x:f>IFERROR(G2269/F2269,0)</x:f>
        <x:v>0.3333333333333333</x:v>
      </x:c>
      <x:c r="K2269" s="312" t="str">
        <x:f>IF(B2269="Bilinmeyen Personel","Kontrol","OK")</x:f>
        <x:v>OK</x:v>
      </x:c>
    </x:row>
    <x:row r="2270" hidden="1">
      <x:c r="A2270" s="312" t="n">
        <x:f>ROW()-ROW($A$2)+1</x:f>
        <x:v>2269</x:v>
      </x:c>
      <x:c r="B2270" s="312" t="s">
        <x:v>9</x:v>
      </x:c>
      <x:c r="C2270" s="312" t="s">
        <x:v>45</x:v>
      </x:c>
      <x:c r="D2270" s="317">
        <x:v>3</x:v>
      </x:c>
      <x:c r="E2270" s="321">
        <x:v>4200</x:v>
      </x:c>
      <x:c r="F2270" s="321">
        <x:v>12600</x:v>
      </x:c>
      <x:c r="G2270" s="321">
        <x:v>3600</x:v>
      </x:c>
      <x:c r="H2270" s="312" t="s">
        <x:v>64</x:v>
      </x:c>
      <x:c r="I2270" s="312" t="s">
        <x:v>25</x:v>
      </x:c>
      <x:c r="J2270" s="316" t="n">
        <x:f>IFERROR(G2270/F2270,0)</x:f>
        <x:v>0.2857142857142857</x:v>
      </x:c>
      <x:c r="K2270" s="312" t="str">
        <x:f>IF(B2270="Bilinmeyen Personel","Kontrol","OK")</x:f>
        <x:v>OK</x:v>
      </x:c>
    </x:row>
    <x:row r="2271" hidden="1">
      <x:c r="A2271" s="312" t="n">
        <x:f>ROW()-ROW($A$2)+1</x:f>
        <x:v>2270</x:v>
      </x:c>
      <x:c r="B2271" s="312" t="s">
        <x:v>48</x:v>
      </x:c>
      <x:c r="C2271" s="312" t="s">
        <x:v>24</x:v>
      </x:c>
      <x:c r="D2271" s="317">
        <x:v>4</x:v>
      </x:c>
      <x:c r="E2271" s="321">
        <x:v>7600</x:v>
      </x:c>
      <x:c r="F2271" s="321">
        <x:v>30400</x:v>
      </x:c>
      <x:c r="G2271" s="321">
        <x:v>6400</x:v>
      </x:c>
      <x:c r="H2271" s="312" t="s">
        <x:v>64</x:v>
      </x:c>
      <x:c r="I2271" s="312" t="s">
        <x:v>25</x:v>
      </x:c>
      <x:c r="J2271" s="316" t="n">
        <x:f>IFERROR(G2271/F2271,0)</x:f>
        <x:v>0.21052631578947367</x:v>
      </x:c>
      <x:c r="K2271" s="312" t="str">
        <x:f>IF(B2271="Bilinmeyen Personel","Kontrol","OK")</x:f>
        <x:v>OK</x:v>
      </x:c>
    </x:row>
    <x:row r="2272" hidden="1">
      <x:c r="A2272" s="312" t="n">
        <x:f>ROW()-ROW($A$2)+1</x:f>
        <x:v>2271</x:v>
      </x:c>
      <x:c r="B2272" s="312" t="s">
        <x:v>29</x:v>
      </x:c>
      <x:c r="C2272" s="312" t="s">
        <x:v>26</x:v>
      </x:c>
      <x:c r="D2272" s="317">
        <x:v>2</x:v>
      </x:c>
      <x:c r="E2272" s="321">
        <x:v>7250</x:v>
      </x:c>
      <x:c r="F2272" s="321">
        <x:v>14500</x:v>
      </x:c>
      <x:c r="G2272" s="321">
        <x:v>4500</x:v>
      </x:c>
      <x:c r="H2272" s="312" t="s">
        <x:v>64</x:v>
      </x:c>
      <x:c r="I2272" s="312" t="s">
        <x:v>15</x:v>
      </x:c>
      <x:c r="J2272" s="316" t="n">
        <x:f>IFERROR(G2272/F2272,0)</x:f>
        <x:v>0.3103448275862069</x:v>
      </x:c>
      <x:c r="K2272" s="312" t="str">
        <x:f>IF(B2272="Bilinmeyen Personel","Kontrol","OK")</x:f>
        <x:v>OK</x:v>
      </x:c>
    </x:row>
    <x:row r="2273" hidden="1">
      <x:c r="A2273" s="312" t="n">
        <x:f>ROW()-ROW($A$2)+1</x:f>
        <x:v>2272</x:v>
      </x:c>
      <x:c r="B2273" s="312" t="s">
        <x:v>13</x:v>
      </x:c>
      <x:c r="C2273" s="312" t="s">
        <x:v>55</x:v>
      </x:c>
      <x:c r="D2273" s="317">
        <x:v>2</x:v>
      </x:c>
      <x:c r="E2273" s="321">
        <x:v>7530</x:v>
      </x:c>
      <x:c r="F2273" s="321">
        <x:v>15060</x:v>
      </x:c>
      <x:c r="G2273" s="321">
        <x:v>3060</x:v>
      </x:c>
      <x:c r="H2273" s="312" t="s">
        <x:v>64</x:v>
      </x:c>
      <x:c r="I2273" s="312" t="s">
        <x:v>15</x:v>
      </x:c>
      <x:c r="J2273" s="316" t="n">
        <x:f>IFERROR(G2273/F2273,0)</x:f>
        <x:v>0.20318725099601595</x:v>
      </x:c>
      <x:c r="K2273" s="312" t="str">
        <x:f>IF(B2273="Bilinmeyen Personel","Kontrol","OK")</x:f>
        <x:v>OK</x:v>
      </x:c>
    </x:row>
    <x:row r="2274" hidden="1">
      <x:c r="A2274" s="312" t="n">
        <x:f>ROW()-ROW($A$2)+1</x:f>
        <x:v>2273</x:v>
      </x:c>
      <x:c r="B2274" s="312" t="s">
        <x:v>16</x:v>
      </x:c>
      <x:c r="C2274" s="312" t="s">
        <x:v>26</x:v>
      </x:c>
      <x:c r="D2274" s="317">
        <x:v>3</x:v>
      </x:c>
      <x:c r="E2274" s="321">
        <x:v>7250</x:v>
      </x:c>
      <x:c r="F2274" s="321">
        <x:v>21750</x:v>
      </x:c>
      <x:c r="G2274" s="321">
        <x:v>6750</x:v>
      </x:c>
      <x:c r="H2274" s="312" t="s">
        <x:v>64</x:v>
      </x:c>
      <x:c r="I2274" s="312" t="s">
        <x:v>46</x:v>
      </x:c>
      <x:c r="J2274" s="316" t="n">
        <x:f>IFERROR(G2274/F2274,0)</x:f>
        <x:v>0.3103448275862069</x:v>
      </x:c>
      <x:c r="K2274" s="312" t="str">
        <x:f>IF(B2274="Bilinmeyen Personel","Kontrol","OK")</x:f>
        <x:v>OK</x:v>
      </x:c>
    </x:row>
    <x:row r="2275" hidden="1">
      <x:c r="A2275" s="312" t="n">
        <x:f>ROW()-ROW($A$2)+1</x:f>
        <x:v>2274</x:v>
      </x:c>
      <x:c r="B2275" s="312" t="s">
        <x:v>13</x:v>
      </x:c>
      <x:c r="C2275" s="312" t="s">
        <x:v>10</x:v>
      </x:c>
      <x:c r="D2275" s="317">
        <x:v>4</x:v>
      </x:c>
      <x:c r="E2275" s="321">
        <x:v>6000</x:v>
      </x:c>
      <x:c r="F2275" s="321">
        <x:v>24000</x:v>
      </x:c>
      <x:c r="G2275" s="321">
        <x:v>8000</x:v>
      </x:c>
      <x:c r="H2275" s="312" t="s">
        <x:v>64</x:v>
      </x:c>
      <x:c r="I2275" s="312" t="s">
        <x:v>18</x:v>
      </x:c>
      <x:c r="J2275" s="316" t="n">
        <x:f>IFERROR(G2275/F2275,0)</x:f>
        <x:v>0.3333333333333333</x:v>
      </x:c>
      <x:c r="K2275" s="312" t="str">
        <x:f>IF(B2275="Bilinmeyen Personel","Kontrol","OK")</x:f>
        <x:v>OK</x:v>
      </x:c>
    </x:row>
    <x:row r="2276" hidden="1">
      <x:c r="A2276" s="312" t="n">
        <x:f>ROW()-ROW($A$2)+1</x:f>
        <x:v>2275</x:v>
      </x:c>
      <x:c r="B2276" s="312" t="s">
        <x:v>29</x:v>
      </x:c>
      <x:c r="C2276" s="312" t="s">
        <x:v>53</x:v>
      </x:c>
      <x:c r="D2276" s="317">
        <x:v>2</x:v>
      </x:c>
      <x:c r="E2276" s="321">
        <x:v>1200</x:v>
      </x:c>
      <x:c r="F2276" s="321">
        <x:v>2400</x:v>
      </x:c>
      <x:c r="G2276" s="321">
        <x:v>800</x:v>
      </x:c>
      <x:c r="H2276" s="312" t="s">
        <x:v>64</x:v>
      </x:c>
      <x:c r="I2276" s="312" t="s">
        <x:v>54</x:v>
      </x:c>
      <x:c r="J2276" s="316" t="n">
        <x:f>IFERROR(G2276/F2276,0)</x:f>
        <x:v>0.3333333333333333</x:v>
      </x:c>
      <x:c r="K2276" s="312" t="str">
        <x:f>IF(B2276="Bilinmeyen Personel","Kontrol","OK")</x:f>
        <x:v>OK</x:v>
      </x:c>
    </x:row>
    <x:row r="2277" hidden="1">
      <x:c r="A2277" s="312" t="n">
        <x:f>ROW()-ROW($A$2)+1</x:f>
        <x:v>2276</x:v>
      </x:c>
      <x:c r="B2277" s="312" t="s">
        <x:v>50</x:v>
      </x:c>
      <x:c r="C2277" s="312" t="s">
        <x:v>56</x:v>
      </x:c>
      <x:c r="D2277" s="317">
        <x:v>2</x:v>
      </x:c>
      <x:c r="E2277" s="321">
        <x:v>5300</x:v>
      </x:c>
      <x:c r="F2277" s="321">
        <x:v>10600</x:v>
      </x:c>
      <x:c r="G2277" s="321">
        <x:v>2600</x:v>
      </x:c>
      <x:c r="H2277" s="312" t="s">
        <x:v>64</x:v>
      </x:c>
      <x:c r="I2277" s="312" t="s">
        <x:v>42</x:v>
      </x:c>
      <x:c r="J2277" s="316" t="n">
        <x:f>IFERROR(G2277/F2277,0)</x:f>
        <x:v>0.24528301886792453</x:v>
      </x:c>
      <x:c r="K2277" s="312" t="str">
        <x:f>IF(B2277="Bilinmeyen Personel","Kontrol","OK")</x:f>
        <x:v>OK</x:v>
      </x:c>
    </x:row>
    <x:row r="2278" hidden="1">
      <x:c r="A2278" s="312" t="n">
        <x:f>ROW()-ROW($A$2)+1</x:f>
        <x:v>2277</x:v>
      </x:c>
      <x:c r="B2278" s="312" t="s">
        <x:v>38</x:v>
      </x:c>
      <x:c r="C2278" s="312" t="s">
        <x:v>17</x:v>
      </x:c>
      <x:c r="D2278" s="317">
        <x:v>4</x:v>
      </x:c>
      <x:c r="E2278" s="321">
        <x:v>8450</x:v>
      </x:c>
      <x:c r="F2278" s="321">
        <x:v>33800</x:v>
      </x:c>
      <x:c r="G2278" s="321">
        <x:v>9800</x:v>
      </x:c>
      <x:c r="H2278" s="312" t="s">
        <x:v>64</x:v>
      </x:c>
      <x:c r="I2278" s="312" t="s">
        <x:v>12</x:v>
      </x:c>
      <x:c r="J2278" s="316" t="n">
        <x:f>IFERROR(G2278/F2278,0)</x:f>
        <x:v>0.28994082840236685</x:v>
      </x:c>
      <x:c r="K2278" s="312" t="str">
        <x:f>IF(B2278="Bilinmeyen Personel","Kontrol","OK")</x:f>
        <x:v>OK</x:v>
      </x:c>
    </x:row>
    <x:row r="2279" hidden="1">
      <x:c r="A2279" s="312" t="n">
        <x:f>ROW()-ROW($A$2)+1</x:f>
        <x:v>2278</x:v>
      </x:c>
      <x:c r="B2279" s="312" t="s">
        <x:v>23</x:v>
      </x:c>
      <x:c r="C2279" s="312" t="s">
        <x:v>20</x:v>
      </x:c>
      <x:c r="D2279" s="317">
        <x:v>5</x:v>
      </x:c>
      <x:c r="E2279" s="321">
        <x:v>1350</x:v>
      </x:c>
      <x:c r="F2279" s="321">
        <x:v>6750</x:v>
      </x:c>
      <x:c r="G2279" s="321">
        <x:v>2750</x:v>
      </x:c>
      <x:c r="H2279" s="312" t="s">
        <x:v>64</x:v>
      </x:c>
      <x:c r="I2279" s="312" t="s">
        <x:v>42</x:v>
      </x:c>
      <x:c r="J2279" s="316" t="n">
        <x:f>IFERROR(G2279/F2279,0)</x:f>
        <x:v>0.4074074074074074</x:v>
      </x:c>
      <x:c r="K2279" s="312" t="str">
        <x:f>IF(B2279="Bilinmeyen Personel","Kontrol","OK")</x:f>
        <x:v>OK</x:v>
      </x:c>
    </x:row>
    <x:row r="2280" hidden="1">
      <x:c r="A2280" s="312" t="n">
        <x:f>ROW()-ROW($A$2)+1</x:f>
        <x:v>2279</x:v>
      </x:c>
      <x:c r="B2280" s="312" t="s">
        <x:v>32</x:v>
      </x:c>
      <x:c r="C2280" s="312" t="s">
        <x:v>34</x:v>
      </x:c>
      <x:c r="D2280" s="317">
        <x:v>2</x:v>
      </x:c>
      <x:c r="E2280" s="321">
        <x:v>1090</x:v>
      </x:c>
      <x:c r="F2280" s="321">
        <x:v>2180</x:v>
      </x:c>
      <x:c r="G2280" s="321">
        <x:v>580</x:v>
      </x:c>
      <x:c r="H2280" s="312" t="s">
        <x:v>64</x:v>
      </x:c>
      <x:c r="I2280" s="312" t="s">
        <x:v>28</x:v>
      </x:c>
      <x:c r="J2280" s="316" t="n">
        <x:f>IFERROR(G2280/F2280,0)</x:f>
        <x:v>0.26605504587155965</x:v>
      </x:c>
      <x:c r="K2280" s="312" t="str">
        <x:f>IF(B2280="Bilinmeyen Personel","Kontrol","OK")</x:f>
        <x:v>OK</x:v>
      </x:c>
    </x:row>
    <x:row r="2281" hidden="1">
      <x:c r="A2281" s="312" t="n">
        <x:f>ROW()-ROW($A$2)+1</x:f>
        <x:v>2280</x:v>
      </x:c>
      <x:c r="B2281" s="312" t="s">
        <x:v>23</x:v>
      </x:c>
      <x:c r="C2281" s="312" t="s">
        <x:v>22</x:v>
      </x:c>
      <x:c r="D2281" s="317">
        <x:v>4</x:v>
      </x:c>
      <x:c r="E2281" s="321">
        <x:v>2180</x:v>
      </x:c>
      <x:c r="F2281" s="321">
        <x:v>8720</x:v>
      </x:c>
      <x:c r="G2281" s="321">
        <x:v>2720</x:v>
      </x:c>
      <x:c r="H2281" s="312" t="s">
        <x:v>64</x:v>
      </x:c>
      <x:c r="I2281" s="312" t="s">
        <x:v>44</x:v>
      </x:c>
      <x:c r="J2281" s="316" t="n">
        <x:f>IFERROR(G2281/F2281,0)</x:f>
        <x:v>0.3119266055045872</x:v>
      </x:c>
      <x:c r="K2281" s="312" t="str">
        <x:f>IF(B2281="Bilinmeyen Personel","Kontrol","OK")</x:f>
        <x:v>OK</x:v>
      </x:c>
    </x:row>
    <x:row r="2282" hidden="1">
      <x:c r="A2282" s="312" t="n">
        <x:f>ROW()-ROW($A$2)+1</x:f>
        <x:v>2281</x:v>
      </x:c>
      <x:c r="B2282" s="312" t="s">
        <x:v>9</x:v>
      </x:c>
      <x:c r="C2282" s="312" t="s">
        <x:v>10</x:v>
      </x:c>
      <x:c r="D2282" s="317">
        <x:v>3</x:v>
      </x:c>
      <x:c r="E2282" s="321">
        <x:v>6000</x:v>
      </x:c>
      <x:c r="F2282" s="321">
        <x:v>18000</x:v>
      </x:c>
      <x:c r="G2282" s="321">
        <x:v>6000</x:v>
      </x:c>
      <x:c r="H2282" s="312" t="s">
        <x:v>64</x:v>
      </x:c>
      <x:c r="I2282" s="312" t="s">
        <x:v>28</x:v>
      </x:c>
      <x:c r="J2282" s="316" t="n">
        <x:f>IFERROR(G2282/F2282,0)</x:f>
        <x:v>0.3333333333333333</x:v>
      </x:c>
      <x:c r="K2282" s="312" t="str">
        <x:f>IF(B2282="Bilinmeyen Personel","Kontrol","OK")</x:f>
        <x:v>OK</x:v>
      </x:c>
    </x:row>
    <x:row r="2283" hidden="1">
      <x:c r="A2283" s="312" t="n">
        <x:f>ROW()-ROW($A$2)+1</x:f>
        <x:v>2282</x:v>
      </x:c>
      <x:c r="B2283" s="312" t="s">
        <x:v>13</x:v>
      </x:c>
      <x:c r="C2283" s="312" t="s">
        <x:v>14</x:v>
      </x:c>
      <x:c r="D2283" s="317">
        <x:v>2</x:v>
      </x:c>
      <x:c r="E2283" s="321">
        <x:v>1400</x:v>
      </x:c>
      <x:c r="F2283" s="321">
        <x:v>2800</x:v>
      </x:c>
      <x:c r="G2283" s="321">
        <x:v>1200</x:v>
      </x:c>
      <x:c r="H2283" s="312" t="s">
        <x:v>64</x:v>
      </x:c>
      <x:c r="I2283" s="312" t="s">
        <x:v>54</x:v>
      </x:c>
      <x:c r="J2283" s="316" t="n">
        <x:f>IFERROR(G2283/F2283,0)</x:f>
        <x:v>0.42857142857142855</x:v>
      </x:c>
      <x:c r="K2283" s="312" t="str">
        <x:f>IF(B2283="Bilinmeyen Personel","Kontrol","OK")</x:f>
        <x:v>OK</x:v>
      </x:c>
    </x:row>
    <x:row r="2284" hidden="1">
      <x:c r="A2284" s="312" t="n">
        <x:f>ROW()-ROW($A$2)+1</x:f>
        <x:v>2283</x:v>
      </x:c>
      <x:c r="B2284" s="312" t="s">
        <x:v>16</x:v>
      </x:c>
      <x:c r="C2284" s="312" t="s">
        <x:v>17</x:v>
      </x:c>
      <x:c r="D2284" s="317">
        <x:v>5</x:v>
      </x:c>
      <x:c r="E2284" s="321">
        <x:v>8450</x:v>
      </x:c>
      <x:c r="F2284" s="321">
        <x:v>42250</x:v>
      </x:c>
      <x:c r="G2284" s="321">
        <x:v>12250</x:v>
      </x:c>
      <x:c r="H2284" s="312" t="s">
        <x:v>64</x:v>
      </x:c>
      <x:c r="I2284" s="312" t="s">
        <x:v>44</x:v>
      </x:c>
      <x:c r="J2284" s="316" t="n">
        <x:f>IFERROR(G2284/F2284,0)</x:f>
        <x:v>0.28994082840236685</x:v>
      </x:c>
      <x:c r="K2284" s="312" t="str">
        <x:f>IF(B2284="Bilinmeyen Personel","Kontrol","OK")</x:f>
        <x:v>OK</x:v>
      </x:c>
    </x:row>
    <x:row r="2285" hidden="1">
      <x:c r="A2285" s="312" t="n">
        <x:f>ROW()-ROW($A$2)+1</x:f>
        <x:v>2284</x:v>
      </x:c>
      <x:c r="B2285" s="312" t="s">
        <x:v>19</x:v>
      </x:c>
      <x:c r="C2285" s="312" t="s">
        <x:v>20</x:v>
      </x:c>
      <x:c r="D2285" s="317">
        <x:v>5</x:v>
      </x:c>
      <x:c r="E2285" s="321">
        <x:v>1350</x:v>
      </x:c>
      <x:c r="F2285" s="321">
        <x:v>6750</x:v>
      </x:c>
      <x:c r="G2285" s="321">
        <x:v>2750</x:v>
      </x:c>
      <x:c r="H2285" s="312" t="s">
        <x:v>64</x:v>
      </x:c>
      <x:c r="I2285" s="312" t="s">
        <x:v>25</x:v>
      </x:c>
      <x:c r="J2285" s="316" t="n">
        <x:f>IFERROR(G2285/F2285,0)</x:f>
        <x:v>0.4074074074074074</x:v>
      </x:c>
      <x:c r="K2285" s="312" t="str">
        <x:f>IF(B2285="Bilinmeyen Personel","Kontrol","OK")</x:f>
        <x:v>OK</x:v>
      </x:c>
    </x:row>
    <x:row r="2286" hidden="1">
      <x:c r="A2286" s="312" t="n">
        <x:f>ROW()-ROW($A$2)+1</x:f>
        <x:v>2285</x:v>
      </x:c>
      <x:c r="B2286" s="312" t="s">
        <x:v>9</x:v>
      </x:c>
      <x:c r="C2286" s="312" t="s">
        <x:v>22</x:v>
      </x:c>
      <x:c r="D2286" s="317">
        <x:v>3</x:v>
      </x:c>
      <x:c r="E2286" s="321">
        <x:v>2180</x:v>
      </x:c>
      <x:c r="F2286" s="321">
        <x:v>6540</x:v>
      </x:c>
      <x:c r="G2286" s="321">
        <x:v>2040</x:v>
      </x:c>
      <x:c r="H2286" s="312" t="s">
        <x:v>64</x:v>
      </x:c>
      <x:c r="I2286" s="312" t="s">
        <x:v>21</x:v>
      </x:c>
      <x:c r="J2286" s="316" t="n">
        <x:f>IFERROR(G2286/F2286,0)</x:f>
        <x:v>0.3119266055045872</x:v>
      </x:c>
      <x:c r="K2286" s="312" t="str">
        <x:f>IF(B2286="Bilinmeyen Personel","Kontrol","OK")</x:f>
        <x:v>OK</x:v>
      </x:c>
    </x:row>
    <x:row r="2287" hidden="1">
      <x:c r="A2287" s="312" t="n">
        <x:f>ROW()-ROW($A$2)+1</x:f>
        <x:v>2286</x:v>
      </x:c>
      <x:c r="B2287" s="312" t="s">
        <x:v>23</x:v>
      </x:c>
      <x:c r="C2287" s="312" t="s">
        <x:v>24</x:v>
      </x:c>
      <x:c r="D2287" s="317">
        <x:v>2</x:v>
      </x:c>
      <x:c r="E2287" s="321">
        <x:v>7600</x:v>
      </x:c>
      <x:c r="F2287" s="321">
        <x:v>15200</x:v>
      </x:c>
      <x:c r="G2287" s="321">
        <x:v>3200</x:v>
      </x:c>
      <x:c r="H2287" s="312" t="s">
        <x:v>64</x:v>
      </x:c>
      <x:c r="I2287" s="312" t="s">
        <x:v>18</x:v>
      </x:c>
      <x:c r="J2287" s="316" t="n">
        <x:f>IFERROR(G2287/F2287,0)</x:f>
        <x:v>0.21052631578947367</x:v>
      </x:c>
      <x:c r="K2287" s="312" t="str">
        <x:f>IF(B2287="Bilinmeyen Personel","Kontrol","OK")</x:f>
        <x:v>OK</x:v>
      </x:c>
    </x:row>
    <x:row r="2288" hidden="1">
      <x:c r="A2288" s="312" t="n">
        <x:f>ROW()-ROW($A$2)+1</x:f>
        <x:v>2287</x:v>
      </x:c>
      <x:c r="B2288" s="312" t="s">
        <x:v>13</x:v>
      </x:c>
      <x:c r="C2288" s="312" t="s">
        <x:v>26</x:v>
      </x:c>
      <x:c r="D2288" s="317">
        <x:v>3</x:v>
      </x:c>
      <x:c r="E2288" s="321">
        <x:v>7250</x:v>
      </x:c>
      <x:c r="F2288" s="321">
        <x:v>21750</x:v>
      </x:c>
      <x:c r="G2288" s="321">
        <x:v>6750</x:v>
      </x:c>
      <x:c r="H2288" s="312" t="s">
        <x:v>64</x:v>
      </x:c>
      <x:c r="I2288" s="312" t="s">
        <x:v>25</x:v>
      </x:c>
      <x:c r="J2288" s="316" t="n">
        <x:f>IFERROR(G2288/F2288,0)</x:f>
        <x:v>0.3103448275862069</x:v>
      </x:c>
      <x:c r="K2288" s="312" t="str">
        <x:f>IF(B2288="Bilinmeyen Personel","Kontrol","OK")</x:f>
        <x:v>OK</x:v>
      </x:c>
    </x:row>
    <x:row r="2289" hidden="1">
      <x:c r="A2289" s="312" t="n">
        <x:f>ROW()-ROW($A$2)+1</x:f>
        <x:v>2288</x:v>
      </x:c>
      <x:c r="B2289" s="312" t="s">
        <x:v>19</x:v>
      </x:c>
      <x:c r="C2289" s="312" t="s">
        <x:v>27</x:v>
      </x:c>
      <x:c r="D2289" s="317">
        <x:v>3</x:v>
      </x:c>
      <x:c r="E2289" s="321">
        <x:v>1100</x:v>
      </x:c>
      <x:c r="F2289" s="321">
        <x:v>3300</x:v>
      </x:c>
      <x:c r="G2289" s="321">
        <x:v>900</x:v>
      </x:c>
      <x:c r="H2289" s="312" t="s">
        <x:v>64</x:v>
      </x:c>
      <x:c r="I2289" s="312" t="s">
        <x:v>15</x:v>
      </x:c>
      <x:c r="J2289" s="316" t="n">
        <x:f>IFERROR(G2289/F2289,0)</x:f>
        <x:v>0.2727272727272727</x:v>
      </x:c>
      <x:c r="K2289" s="312" t="str">
        <x:f>IF(B2289="Bilinmeyen Personel","Kontrol","OK")</x:f>
        <x:v>OK</x:v>
      </x:c>
    </x:row>
    <x:row r="2290" hidden="1">
      <x:c r="A2290" s="312" t="n">
        <x:f>ROW()-ROW($A$2)+1</x:f>
        <x:v>2289</x:v>
      </x:c>
      <x:c r="B2290" s="312" t="s">
        <x:v>29</x:v>
      </x:c>
      <x:c r="C2290" s="312" t="s">
        <x:v>10</x:v>
      </x:c>
      <x:c r="D2290" s="317">
        <x:v>3</x:v>
      </x:c>
      <x:c r="E2290" s="321">
        <x:v>6000</x:v>
      </x:c>
      <x:c r="F2290" s="321">
        <x:v>18000</x:v>
      </x:c>
      <x:c r="G2290" s="321">
        <x:v>6000</x:v>
      </x:c>
      <x:c r="H2290" s="312" t="s">
        <x:v>64</x:v>
      </x:c>
      <x:c r="I2290" s="312" t="s">
        <x:v>41</x:v>
      </x:c>
      <x:c r="J2290" s="316" t="n">
        <x:f>IFERROR(G2290/F2290,0)</x:f>
        <x:v>0.3333333333333333</x:v>
      </x:c>
      <x:c r="K2290" s="312" t="str">
        <x:f>IF(B2290="Bilinmeyen Personel","Kontrol","OK")</x:f>
        <x:v>OK</x:v>
      </x:c>
    </x:row>
    <x:row r="2291" hidden="1">
      <x:c r="A2291" s="312" t="n">
        <x:f>ROW()-ROW($A$2)+1</x:f>
        <x:v>2290</x:v>
      </x:c>
      <x:c r="B2291" s="312" t="s">
        <x:v>9</x:v>
      </x:c>
      <x:c r="C2291" s="312" t="s">
        <x:v>30</x:v>
      </x:c>
      <x:c r="D2291" s="317">
        <x:v>3</x:v>
      </x:c>
      <x:c r="E2291" s="321">
        <x:v>1200</x:v>
      </x:c>
      <x:c r="F2291" s="321">
        <x:v>3600</x:v>
      </x:c>
      <x:c r="G2291" s="321">
        <x:v>1200</x:v>
      </x:c>
      <x:c r="H2291" s="312" t="s">
        <x:v>64</x:v>
      </x:c>
      <x:c r="I2291" s="312" t="s">
        <x:v>31</x:v>
      </x:c>
      <x:c r="J2291" s="316" t="n">
        <x:f>IFERROR(G2291/F2291,0)</x:f>
        <x:v>0.3333333333333333</x:v>
      </x:c>
      <x:c r="K2291" s="312" t="str">
        <x:f>IF(B2291="Bilinmeyen Personel","Kontrol","OK")</x:f>
        <x:v>OK</x:v>
      </x:c>
    </x:row>
    <x:row r="2292" hidden="1">
      <x:c r="A2292" s="312" t="n">
        <x:f>ROW()-ROW($A$2)+1</x:f>
        <x:v>2291</x:v>
      </x:c>
      <x:c r="B2292" s="312" t="s">
        <x:v>32</x:v>
      </x:c>
      <x:c r="C2292" s="312" t="s">
        <x:v>33</x:v>
      </x:c>
      <x:c r="D2292" s="317">
        <x:v>2</x:v>
      </x:c>
      <x:c r="E2292" s="321">
        <x:v>1800</x:v>
      </x:c>
      <x:c r="F2292" s="321">
        <x:v>3600</x:v>
      </x:c>
      <x:c r="G2292" s="321">
        <x:v>2000</x:v>
      </x:c>
      <x:c r="H2292" s="312" t="s">
        <x:v>64</x:v>
      </x:c>
      <x:c r="I2292" s="312" t="s">
        <x:v>37</x:v>
      </x:c>
      <x:c r="J2292" s="316" t="n">
        <x:f>IFERROR(G2292/F2292,0)</x:f>
        <x:v>0.5555555555555556</x:v>
      </x:c>
      <x:c r="K2292" s="312" t="str">
        <x:f>IF(B2292="Bilinmeyen Personel","Kontrol","OK")</x:f>
        <x:v>OK</x:v>
      </x:c>
    </x:row>
    <x:row r="2293" hidden="1">
      <x:c r="A2293" s="312" t="n">
        <x:f>ROW()-ROW($A$2)+1</x:f>
        <x:v>2292</x:v>
      </x:c>
      <x:c r="B2293" s="312" t="s">
        <x:v>32</x:v>
      </x:c>
      <x:c r="C2293" s="312" t="s">
        <x:v>34</x:v>
      </x:c>
      <x:c r="D2293" s="317">
        <x:v>2</x:v>
      </x:c>
      <x:c r="E2293" s="321">
        <x:v>1090</x:v>
      </x:c>
      <x:c r="F2293" s="321">
        <x:v>2180</x:v>
      </x:c>
      <x:c r="G2293" s="321">
        <x:v>580</x:v>
      </x:c>
      <x:c r="H2293" s="312" t="s">
        <x:v>64</x:v>
      </x:c>
      <x:c r="I2293" s="312" t="s">
        <x:v>18</x:v>
      </x:c>
      <x:c r="J2293" s="316" t="n">
        <x:f>IFERROR(G2293/F2293,0)</x:f>
        <x:v>0.26605504587155965</x:v>
      </x:c>
      <x:c r="K2293" s="312" t="str">
        <x:f>IF(B2293="Bilinmeyen Personel","Kontrol","OK")</x:f>
        <x:v>OK</x:v>
      </x:c>
    </x:row>
    <x:row r="2294" hidden="1">
      <x:c r="A2294" s="312" t="n">
        <x:f>ROW()-ROW($A$2)+1</x:f>
        <x:v>2293</x:v>
      </x:c>
      <x:c r="B2294" s="312" t="s">
        <x:v>29</x:v>
      </x:c>
      <x:c r="C2294" s="312" t="s">
        <x:v>22</x:v>
      </x:c>
      <x:c r="D2294" s="317">
        <x:v>3</x:v>
      </x:c>
      <x:c r="E2294" s="321">
        <x:v>2180</x:v>
      </x:c>
      <x:c r="F2294" s="321">
        <x:v>6540</x:v>
      </x:c>
      <x:c r="G2294" s="321">
        <x:v>2040</x:v>
      </x:c>
      <x:c r="H2294" s="312" t="s">
        <x:v>64</x:v>
      </x:c>
      <x:c r="I2294" s="312" t="s">
        <x:v>41</x:v>
      </x:c>
      <x:c r="J2294" s="316" t="n">
        <x:f>IFERROR(G2294/F2294,0)</x:f>
        <x:v>0.3119266055045872</x:v>
      </x:c>
      <x:c r="K2294" s="312" t="str">
        <x:f>IF(B2294="Bilinmeyen Personel","Kontrol","OK")</x:f>
        <x:v>OK</x:v>
      </x:c>
    </x:row>
    <x:row r="2295" hidden="1">
      <x:c r="A2295" s="312" t="n">
        <x:f>ROW()-ROW($A$2)+1</x:f>
        <x:v>2294</x:v>
      </x:c>
      <x:c r="B2295" s="312" t="s">
        <x:v>35</x:v>
      </x:c>
      <x:c r="C2295" s="312" t="s">
        <x:v>33</x:v>
      </x:c>
      <x:c r="D2295" s="317">
        <x:v>2</x:v>
      </x:c>
      <x:c r="E2295" s="321">
        <x:v>1800</x:v>
      </x:c>
      <x:c r="F2295" s="321">
        <x:v>3600</x:v>
      </x:c>
      <x:c r="G2295" s="321">
        <x:v>2000</x:v>
      </x:c>
      <x:c r="H2295" s="312" t="s">
        <x:v>64</x:v>
      </x:c>
      <x:c r="I2295" s="312" t="s">
        <x:v>28</x:v>
      </x:c>
      <x:c r="J2295" s="316" t="n">
        <x:f>IFERROR(G2295/F2295,0)</x:f>
        <x:v>0.5555555555555556</x:v>
      </x:c>
      <x:c r="K2295" s="312" t="str">
        <x:f>IF(B2295="Bilinmeyen Personel","Kontrol","OK")</x:f>
        <x:v>OK</x:v>
      </x:c>
    </x:row>
    <x:row r="2296" hidden="1">
      <x:c r="A2296" s="312" t="n">
        <x:f>ROW()-ROW($A$2)+1</x:f>
        <x:v>2295</x:v>
      </x:c>
      <x:c r="B2296" s="312" t="s">
        <x:v>23</x:v>
      </x:c>
      <x:c r="C2296" s="312" t="s">
        <x:v>36</x:v>
      </x:c>
      <x:c r="D2296" s="317">
        <x:v>2</x:v>
      </x:c>
      <x:c r="E2296" s="321">
        <x:v>8000</x:v>
      </x:c>
      <x:c r="F2296" s="321">
        <x:v>16000</x:v>
      </x:c>
      <x:c r="G2296" s="321">
        <x:v>4000</x:v>
      </x:c>
      <x:c r="H2296" s="312" t="s">
        <x:v>64</x:v>
      </x:c>
      <x:c r="I2296" s="312" t="s">
        <x:v>21</x:v>
      </x:c>
      <x:c r="J2296" s="316" t="n">
        <x:f>IFERROR(G2296/F2296,0)</x:f>
        <x:v>0.25</x:v>
      </x:c>
      <x:c r="K2296" s="312" t="str">
        <x:f>IF(B2296="Bilinmeyen Personel","Kontrol","OK")</x:f>
        <x:v>OK</x:v>
      </x:c>
    </x:row>
    <x:row r="2297" hidden="1">
      <x:c r="A2297" s="312" t="n">
        <x:f>ROW()-ROW($A$2)+1</x:f>
        <x:v>2296</x:v>
      </x:c>
      <x:c r="B2297" s="312" t="s">
        <x:v>29</x:v>
      </x:c>
      <x:c r="C2297" s="312" t="s">
        <x:v>14</x:v>
      </x:c>
      <x:c r="D2297" s="317">
        <x:v>5</x:v>
      </x:c>
      <x:c r="E2297" s="321">
        <x:v>1400</x:v>
      </x:c>
      <x:c r="F2297" s="321">
        <x:v>7000</x:v>
      </x:c>
      <x:c r="G2297" s="321">
        <x:v>3000</x:v>
      </x:c>
      <x:c r="H2297" s="312" t="s">
        <x:v>64</x:v>
      </x:c>
      <x:c r="I2297" s="312" t="s">
        <x:v>18</x:v>
      </x:c>
      <x:c r="J2297" s="316" t="n">
        <x:f>IFERROR(G2297/F2297,0)</x:f>
        <x:v>0.42857142857142855</x:v>
      </x:c>
      <x:c r="K2297" s="312" t="str">
        <x:f>IF(B2297="Bilinmeyen Personel","Kontrol","OK")</x:f>
        <x:v>OK</x:v>
      </x:c>
    </x:row>
    <x:row r="2298" hidden="1">
      <x:c r="A2298" s="312" t="n">
        <x:f>ROW()-ROW($A$2)+1</x:f>
        <x:v>2297</x:v>
      </x:c>
      <x:c r="B2298" s="312" t="s">
        <x:v>38</x:v>
      </x:c>
      <x:c r="C2298" s="312" t="s">
        <x:v>39</x:v>
      </x:c>
      <x:c r="D2298" s="317">
        <x:v>3</x:v>
      </x:c>
      <x:c r="E2298" s="321">
        <x:v>10590</x:v>
      </x:c>
      <x:c r="F2298" s="321">
        <x:v>31770</x:v>
      </x:c>
      <x:c r="G2298" s="321">
        <x:v>13770</x:v>
      </x:c>
      <x:c r="H2298" s="312" t="s">
        <x:v>64</x:v>
      </x:c>
      <x:c r="I2298" s="312" t="s">
        <x:v>15</x:v>
      </x:c>
      <x:c r="J2298" s="316" t="n">
        <x:f>IFERROR(G2298/F2298,0)</x:f>
        <x:v>0.43342776203966005</x:v>
      </x:c>
      <x:c r="K2298" s="312" t="str">
        <x:f>IF(B2298="Bilinmeyen Personel","Kontrol","OK")</x:f>
        <x:v>OK</x:v>
      </x:c>
    </x:row>
    <x:row r="2299" hidden="1">
      <x:c r="A2299" s="312" t="n">
        <x:f>ROW()-ROW($A$2)+1</x:f>
        <x:v>2298</x:v>
      </x:c>
      <x:c r="B2299" s="312" t="s">
        <x:v>40</x:v>
      </x:c>
      <x:c r="C2299" s="312" t="s">
        <x:v>20</x:v>
      </x:c>
      <x:c r="D2299" s="317">
        <x:v>3</x:v>
      </x:c>
      <x:c r="E2299" s="321">
        <x:v>1350</x:v>
      </x:c>
      <x:c r="F2299" s="321">
        <x:v>4050</x:v>
      </x:c>
      <x:c r="G2299" s="321">
        <x:v>1650</x:v>
      </x:c>
      <x:c r="H2299" s="312" t="s">
        <x:v>64</x:v>
      </x:c>
      <x:c r="I2299" s="312" t="s">
        <x:v>44</x:v>
      </x:c>
      <x:c r="J2299" s="316" t="n">
        <x:f>IFERROR(G2299/F2299,0)</x:f>
        <x:v>0.4074074074074074</x:v>
      </x:c>
      <x:c r="K2299" s="312" t="str">
        <x:f>IF(B2299="Bilinmeyen Personel","Kontrol","OK")</x:f>
        <x:v>OK</x:v>
      </x:c>
    </x:row>
    <x:row r="2300" hidden="1">
      <x:c r="A2300" s="312" t="n">
        <x:f>ROW()-ROW($A$2)+1</x:f>
        <x:v>2299</x:v>
      </x:c>
      <x:c r="B2300" s="312" t="s">
        <x:v>32</x:v>
      </x:c>
      <x:c r="C2300" s="312" t="s">
        <x:v>14</x:v>
      </x:c>
      <x:c r="D2300" s="317">
        <x:v>3</x:v>
      </x:c>
      <x:c r="E2300" s="321">
        <x:v>1400</x:v>
      </x:c>
      <x:c r="F2300" s="321">
        <x:v>4200</x:v>
      </x:c>
      <x:c r="G2300" s="321">
        <x:v>1800</x:v>
      </x:c>
      <x:c r="H2300" s="312" t="s">
        <x:v>64</x:v>
      </x:c>
      <x:c r="I2300" s="312" t="s">
        <x:v>54</x:v>
      </x:c>
      <x:c r="J2300" s="316" t="n">
        <x:f>IFERROR(G2300/F2300,0)</x:f>
        <x:v>0.42857142857142855</x:v>
      </x:c>
      <x:c r="K2300" s="312" t="str">
        <x:f>IF(B2300="Bilinmeyen Personel","Kontrol","OK")</x:f>
        <x:v>OK</x:v>
      </x:c>
    </x:row>
    <x:row r="2301" hidden="1">
      <x:c r="A2301" s="312" t="n">
        <x:f>ROW()-ROW($A$2)+1</x:f>
        <x:v>2300</x:v>
      </x:c>
      <x:c r="B2301" s="312" t="s">
        <x:v>19</x:v>
      </x:c>
      <x:c r="C2301" s="312" t="s">
        <x:v>10</x:v>
      </x:c>
      <x:c r="D2301" s="317">
        <x:v>2</x:v>
      </x:c>
      <x:c r="E2301" s="321">
        <x:v>6000</x:v>
      </x:c>
      <x:c r="F2301" s="321">
        <x:v>12000</x:v>
      </x:c>
      <x:c r="G2301" s="321">
        <x:v>4000</x:v>
      </x:c>
      <x:c r="H2301" s="312" t="s">
        <x:v>64</x:v>
      </x:c>
      <x:c r="I2301" s="312" t="s">
        <x:v>25</x:v>
      </x:c>
      <x:c r="J2301" s="316" t="n">
        <x:f>IFERROR(G2301/F2301,0)</x:f>
        <x:v>0.3333333333333333</x:v>
      </x:c>
      <x:c r="K2301" s="312" t="str">
        <x:f>IF(B2301="Bilinmeyen Personel","Kontrol","OK")</x:f>
        <x:v>OK</x:v>
      </x:c>
    </x:row>
    <x:row r="2302" hidden="1">
      <x:c r="A2302" s="312" t="n">
        <x:f>ROW()-ROW($A$2)+1</x:f>
        <x:v>2301</x:v>
      </x:c>
      <x:c r="B2302" s="312" t="s">
        <x:v>38</x:v>
      </x:c>
      <x:c r="C2302" s="312" t="s">
        <x:v>27</x:v>
      </x:c>
      <x:c r="D2302" s="317">
        <x:v>5</x:v>
      </x:c>
      <x:c r="E2302" s="321">
        <x:v>1100</x:v>
      </x:c>
      <x:c r="F2302" s="321">
        <x:v>5500</x:v>
      </x:c>
      <x:c r="G2302" s="321">
        <x:v>1500</x:v>
      </x:c>
      <x:c r="H2302" s="312" t="s">
        <x:v>64</x:v>
      </x:c>
      <x:c r="I2302" s="312" t="s">
        <x:v>18</x:v>
      </x:c>
      <x:c r="J2302" s="316" t="n">
        <x:f>IFERROR(G2302/F2302,0)</x:f>
        <x:v>0.2727272727272727</x:v>
      </x:c>
      <x:c r="K2302" s="312" t="str">
        <x:f>IF(B2302="Bilinmeyen Personel","Kontrol","OK")</x:f>
        <x:v>OK</x:v>
      </x:c>
    </x:row>
    <x:row r="2303" hidden="1">
      <x:c r="A2303" s="312" t="n">
        <x:f>ROW()-ROW($A$2)+1</x:f>
        <x:v>2302</x:v>
      </x:c>
      <x:c r="B2303" s="312" t="s">
        <x:v>16</x:v>
      </x:c>
      <x:c r="C2303" s="312" t="s">
        <x:v>10</x:v>
      </x:c>
      <x:c r="D2303" s="317">
        <x:v>5</x:v>
      </x:c>
      <x:c r="E2303" s="321">
        <x:v>6000</x:v>
      </x:c>
      <x:c r="F2303" s="321">
        <x:v>30000</x:v>
      </x:c>
      <x:c r="G2303" s="321">
        <x:v>10000</x:v>
      </x:c>
      <x:c r="H2303" s="312" t="s">
        <x:v>64</x:v>
      </x:c>
      <x:c r="I2303" s="312" t="s">
        <x:v>31</x:v>
      </x:c>
      <x:c r="J2303" s="316" t="n">
        <x:f>IFERROR(G2303/F2303,0)</x:f>
        <x:v>0.3333333333333333</x:v>
      </x:c>
      <x:c r="K2303" s="312" t="str">
        <x:f>IF(B2303="Bilinmeyen Personel","Kontrol","OK")</x:f>
        <x:v>OK</x:v>
      </x:c>
    </x:row>
    <x:row r="2304" hidden="1">
      <x:c r="A2304" s="312" t="n">
        <x:f>ROW()-ROW($A$2)+1</x:f>
        <x:v>2303</x:v>
      </x:c>
      <x:c r="B2304" s="312" t="s">
        <x:v>40</x:v>
      </x:c>
      <x:c r="C2304" s="312" t="s">
        <x:v>43</x:v>
      </x:c>
      <x:c r="D2304" s="317">
        <x:v>5</x:v>
      </x:c>
      <x:c r="E2304" s="321">
        <x:v>1490</x:v>
      </x:c>
      <x:c r="F2304" s="321">
        <x:v>7450</x:v>
      </x:c>
      <x:c r="G2304" s="321">
        <x:v>3450</x:v>
      </x:c>
      <x:c r="H2304" s="312" t="s">
        <x:v>64</x:v>
      </x:c>
      <x:c r="I2304" s="312" t="s">
        <x:v>12</x:v>
      </x:c>
      <x:c r="J2304" s="316" t="n">
        <x:f>IFERROR(G2304/F2304,0)</x:f>
        <x:v>0.46308724832214765</x:v>
      </x:c>
      <x:c r="K2304" s="312" t="str">
        <x:f>IF(B2304="Bilinmeyen Personel","Kontrol","OK")</x:f>
        <x:v>OK</x:v>
      </x:c>
    </x:row>
    <x:row r="2305" hidden="1">
      <x:c r="A2305" s="312" t="n">
        <x:f>ROW()-ROW($A$2)+1</x:f>
        <x:v>2304</x:v>
      </x:c>
      <x:c r="B2305" s="312" t="s">
        <x:v>38</x:v>
      </x:c>
      <x:c r="C2305" s="312" t="s">
        <x:v>39</x:v>
      </x:c>
      <x:c r="D2305" s="317">
        <x:v>3</x:v>
      </x:c>
      <x:c r="E2305" s="321">
        <x:v>10590</x:v>
      </x:c>
      <x:c r="F2305" s="321">
        <x:v>31770</x:v>
      </x:c>
      <x:c r="G2305" s="321">
        <x:v>13770</x:v>
      </x:c>
      <x:c r="H2305" s="312" t="s">
        <x:v>64</x:v>
      </x:c>
      <x:c r="I2305" s="312" t="s">
        <x:v>18</x:v>
      </x:c>
      <x:c r="J2305" s="316" t="n">
        <x:f>IFERROR(G2305/F2305,0)</x:f>
        <x:v>0.43342776203966005</x:v>
      </x:c>
      <x:c r="K2305" s="312" t="str">
        <x:f>IF(B2305="Bilinmeyen Personel","Kontrol","OK")</x:f>
        <x:v>OK</x:v>
      </x:c>
    </x:row>
    <x:row r="2306" hidden="1">
      <x:c r="A2306" s="312" t="n">
        <x:f>ROW()-ROW($A$2)+1</x:f>
        <x:v>2305</x:v>
      </x:c>
      <x:c r="B2306" s="312" t="s">
        <x:v>16</x:v>
      </x:c>
      <x:c r="C2306" s="312" t="s">
        <x:v>36</x:v>
      </x:c>
      <x:c r="D2306" s="317">
        <x:v>4</x:v>
      </x:c>
      <x:c r="E2306" s="321">
        <x:v>8000</x:v>
      </x:c>
      <x:c r="F2306" s="321">
        <x:v>32000</x:v>
      </x:c>
      <x:c r="G2306" s="321">
        <x:v>8000</x:v>
      </x:c>
      <x:c r="H2306" s="312" t="s">
        <x:v>64</x:v>
      </x:c>
      <x:c r="I2306" s="312" t="s">
        <x:v>25</x:v>
      </x:c>
      <x:c r="J2306" s="316" t="n">
        <x:f>IFERROR(G2306/F2306,0)</x:f>
        <x:v>0.25</x:v>
      </x:c>
      <x:c r="K2306" s="312" t="str">
        <x:f>IF(B2306="Bilinmeyen Personel","Kontrol","OK")</x:f>
        <x:v>OK</x:v>
      </x:c>
    </x:row>
    <x:row r="2307" hidden="1">
      <x:c r="A2307" s="312" t="n">
        <x:f>ROW()-ROW($A$2)+1</x:f>
        <x:v>2306</x:v>
      </x:c>
      <x:c r="B2307" s="312" t="s">
        <x:v>32</x:v>
      </x:c>
      <x:c r="C2307" s="312" t="s">
        <x:v>27</x:v>
      </x:c>
      <x:c r="D2307" s="317">
        <x:v>2</x:v>
      </x:c>
      <x:c r="E2307" s="321">
        <x:v>1100</x:v>
      </x:c>
      <x:c r="F2307" s="321">
        <x:v>2200</x:v>
      </x:c>
      <x:c r="G2307" s="321">
        <x:v>600</x:v>
      </x:c>
      <x:c r="H2307" s="312" t="s">
        <x:v>64</x:v>
      </x:c>
      <x:c r="I2307" s="312" t="s">
        <x:v>37</x:v>
      </x:c>
      <x:c r="J2307" s="316" t="n">
        <x:f>IFERROR(G2307/F2307,0)</x:f>
        <x:v>0.2727272727272727</x:v>
      </x:c>
      <x:c r="K2307" s="312" t="str">
        <x:f>IF(B2307="Bilinmeyen Personel","Kontrol","OK")</x:f>
        <x:v>OK</x:v>
      </x:c>
    </x:row>
    <x:row r="2308" hidden="1">
      <x:c r="A2308" s="312" t="n">
        <x:f>ROW()-ROW($A$2)+1</x:f>
        <x:v>2307</x:v>
      </x:c>
      <x:c r="B2308" s="312" t="s">
        <x:v>40</x:v>
      </x:c>
      <x:c r="C2308" s="312" t="s">
        <x:v>30</x:v>
      </x:c>
      <x:c r="D2308" s="317">
        <x:v>5</x:v>
      </x:c>
      <x:c r="E2308" s="321">
        <x:v>1200</x:v>
      </x:c>
      <x:c r="F2308" s="321">
        <x:v>6000</x:v>
      </x:c>
      <x:c r="G2308" s="321">
        <x:v>2000</x:v>
      </x:c>
      <x:c r="H2308" s="312" t="s">
        <x:v>64</x:v>
      </x:c>
      <x:c r="I2308" s="312" t="s">
        <x:v>46</x:v>
      </x:c>
      <x:c r="J2308" s="316" t="n">
        <x:f>IFERROR(G2308/F2308,0)</x:f>
        <x:v>0.3333333333333333</x:v>
      </x:c>
      <x:c r="K2308" s="312" t="str">
        <x:f>IF(B2308="Bilinmeyen Personel","Kontrol","OK")</x:f>
        <x:v>OK</x:v>
      </x:c>
    </x:row>
    <x:row r="2309" hidden="1">
      <x:c r="A2309" s="312" t="n">
        <x:f>ROW()-ROW($A$2)+1</x:f>
        <x:v>2308</x:v>
      </x:c>
      <x:c r="B2309" s="312" t="s">
        <x:v>23</x:v>
      </x:c>
      <x:c r="C2309" s="312" t="s">
        <x:v>45</x:v>
      </x:c>
      <x:c r="D2309" s="317">
        <x:v>3</x:v>
      </x:c>
      <x:c r="E2309" s="321">
        <x:v>4200</x:v>
      </x:c>
      <x:c r="F2309" s="321">
        <x:v>12600</x:v>
      </x:c>
      <x:c r="G2309" s="321">
        <x:v>3600</x:v>
      </x:c>
      <x:c r="H2309" s="312" t="s">
        <x:v>64</x:v>
      </x:c>
      <x:c r="I2309" s="312" t="s">
        <x:v>46</x:v>
      </x:c>
      <x:c r="J2309" s="316" t="n">
        <x:f>IFERROR(G2309/F2309,0)</x:f>
        <x:v>0.2857142857142857</x:v>
      </x:c>
      <x:c r="K2309" s="312" t="str">
        <x:f>IF(B2309="Bilinmeyen Personel","Kontrol","OK")</x:f>
        <x:v>OK</x:v>
      </x:c>
    </x:row>
    <x:row r="2310" hidden="1">
      <x:c r="A2310" s="312" t="n">
        <x:f>ROW()-ROW($A$2)+1</x:f>
        <x:v>2309</x:v>
      </x:c>
      <x:c r="B2310" s="312" t="s">
        <x:v>13</x:v>
      </x:c>
      <x:c r="C2310" s="312" t="s">
        <x:v>47</x:v>
      </x:c>
      <x:c r="D2310" s="317">
        <x:v>5</x:v>
      </x:c>
      <x:c r="E2310" s="321">
        <x:v>5775</x:v>
      </x:c>
      <x:c r="F2310" s="321">
        <x:v>28875</x:v>
      </x:c>
      <x:c r="G2310" s="321">
        <x:v>8875</x:v>
      </x:c>
      <x:c r="H2310" s="312" t="s">
        <x:v>64</x:v>
      </x:c>
      <x:c r="I2310" s="312" t="s">
        <x:v>12</x:v>
      </x:c>
      <x:c r="J2310" s="316" t="n">
        <x:f>IFERROR(G2310/F2310,0)</x:f>
        <x:v>0.30735930735930733</x:v>
      </x:c>
      <x:c r="K2310" s="312" t="str">
        <x:f>IF(B2310="Bilinmeyen Personel","Kontrol","OK")</x:f>
        <x:v>OK</x:v>
      </x:c>
    </x:row>
    <x:row r="2311" hidden="1">
      <x:c r="A2311" s="312" t="n">
        <x:f>ROW()-ROW($A$2)+1</x:f>
        <x:v>2310</x:v>
      </x:c>
      <x:c r="B2311" s="312" t="s">
        <x:v>48</x:v>
      </x:c>
      <x:c r="C2311" s="312" t="s">
        <x:v>24</x:v>
      </x:c>
      <x:c r="D2311" s="317">
        <x:v>2</x:v>
      </x:c>
      <x:c r="E2311" s="321">
        <x:v>7600</x:v>
      </x:c>
      <x:c r="F2311" s="321">
        <x:v>15200</x:v>
      </x:c>
      <x:c r="G2311" s="321">
        <x:v>3200</x:v>
      </x:c>
      <x:c r="H2311" s="312" t="s">
        <x:v>64</x:v>
      </x:c>
      <x:c r="I2311" s="312" t="s">
        <x:v>21</x:v>
      </x:c>
      <x:c r="J2311" s="316" t="n">
        <x:f>IFERROR(G2311/F2311,0)</x:f>
        <x:v>0.21052631578947367</x:v>
      </x:c>
      <x:c r="K2311" s="312" t="str">
        <x:f>IF(B2311="Bilinmeyen Personel","Kontrol","OK")</x:f>
        <x:v>OK</x:v>
      </x:c>
    </x:row>
    <x:row r="2312" hidden="1">
      <x:c r="A2312" s="312" t="n">
        <x:f>ROW()-ROW($A$2)+1</x:f>
        <x:v>2311</x:v>
      </x:c>
      <x:c r="B2312" s="312" t="s">
        <x:v>13</x:v>
      </x:c>
      <x:c r="C2312" s="312" t="s">
        <x:v>26</x:v>
      </x:c>
      <x:c r="D2312" s="317">
        <x:v>4</x:v>
      </x:c>
      <x:c r="E2312" s="321">
        <x:v>7250</x:v>
      </x:c>
      <x:c r="F2312" s="321">
        <x:v>29000</x:v>
      </x:c>
      <x:c r="G2312" s="321">
        <x:v>9000</x:v>
      </x:c>
      <x:c r="H2312" s="312" t="s">
        <x:v>64</x:v>
      </x:c>
      <x:c r="I2312" s="312" t="s">
        <x:v>46</x:v>
      </x:c>
      <x:c r="J2312" s="316" t="n">
        <x:f>IFERROR(G2312/F2312,0)</x:f>
        <x:v>0.3103448275862069</x:v>
      </x:c>
      <x:c r="K2312" s="312" t="str">
        <x:f>IF(B2312="Bilinmeyen Personel","Kontrol","OK")</x:f>
        <x:v>OK</x:v>
      </x:c>
    </x:row>
    <x:row r="2313" hidden="1">
      <x:c r="A2313" s="312" t="n">
        <x:f>ROW()-ROW($A$2)+1</x:f>
        <x:v>2312</x:v>
      </x:c>
      <x:c r="B2313" s="312" t="s">
        <x:v>9</x:v>
      </x:c>
      <x:c r="C2313" s="312" t="s">
        <x:v>26</x:v>
      </x:c>
      <x:c r="D2313" s="317">
        <x:v>4</x:v>
      </x:c>
      <x:c r="E2313" s="321">
        <x:v>7250</x:v>
      </x:c>
      <x:c r="F2313" s="321">
        <x:v>29000</x:v>
      </x:c>
      <x:c r="G2313" s="321">
        <x:v>9000</x:v>
      </x:c>
      <x:c r="H2313" s="312" t="s">
        <x:v>64</x:v>
      </x:c>
      <x:c r="I2313" s="312" t="s">
        <x:v>31</x:v>
      </x:c>
      <x:c r="J2313" s="316" t="n">
        <x:f>IFERROR(G2313/F2313,0)</x:f>
        <x:v>0.3103448275862069</x:v>
      </x:c>
      <x:c r="K2313" s="312" t="str">
        <x:f>IF(B2313="Bilinmeyen Personel","Kontrol","OK")</x:f>
        <x:v>OK</x:v>
      </x:c>
    </x:row>
    <x:row r="2314" hidden="1">
      <x:c r="A2314" s="312" t="n">
        <x:f>ROW()-ROW($A$2)+1</x:f>
        <x:v>2313</x:v>
      </x:c>
      <x:c r="B2314" s="312" t="s">
        <x:v>38</x:v>
      </x:c>
      <x:c r="C2314" s="312" t="s">
        <x:v>26</x:v>
      </x:c>
      <x:c r="D2314" s="317">
        <x:v>2</x:v>
      </x:c>
      <x:c r="E2314" s="321">
        <x:v>7250</x:v>
      </x:c>
      <x:c r="F2314" s="321">
        <x:v>14500</x:v>
      </x:c>
      <x:c r="G2314" s="321">
        <x:v>4500</x:v>
      </x:c>
      <x:c r="H2314" s="312" t="s">
        <x:v>64</x:v>
      </x:c>
      <x:c r="I2314" s="312" t="s">
        <x:v>42</x:v>
      </x:c>
      <x:c r="J2314" s="316" t="n">
        <x:f>IFERROR(G2314/F2314,0)</x:f>
        <x:v>0.3103448275862069</x:v>
      </x:c>
      <x:c r="K2314" s="312" t="str">
        <x:f>IF(B2314="Bilinmeyen Personel","Kontrol","OK")</x:f>
        <x:v>OK</x:v>
      </x:c>
    </x:row>
    <x:row r="2315" hidden="1">
      <x:c r="A2315" s="312" t="n">
        <x:f>ROW()-ROW($A$2)+1</x:f>
        <x:v>2314</x:v>
      </x:c>
      <x:c r="B2315" s="312" t="s">
        <x:v>29</x:v>
      </x:c>
      <x:c r="C2315" s="312" t="s">
        <x:v>20</x:v>
      </x:c>
      <x:c r="D2315" s="317">
        <x:v>5</x:v>
      </x:c>
      <x:c r="E2315" s="321">
        <x:v>1350</x:v>
      </x:c>
      <x:c r="F2315" s="321">
        <x:v>6750</x:v>
      </x:c>
      <x:c r="G2315" s="321">
        <x:v>2750</x:v>
      </x:c>
      <x:c r="H2315" s="312" t="s">
        <x:v>64</x:v>
      </x:c>
      <x:c r="I2315" s="312" t="s">
        <x:v>12</x:v>
      </x:c>
      <x:c r="J2315" s="316" t="n">
        <x:f>IFERROR(G2315/F2315,0)</x:f>
        <x:v>0.4074074074074074</x:v>
      </x:c>
      <x:c r="K2315" s="312" t="str">
        <x:f>IF(B2315="Bilinmeyen Personel","Kontrol","OK")</x:f>
        <x:v>OK</x:v>
      </x:c>
    </x:row>
    <x:row r="2316" hidden="1">
      <x:c r="A2316" s="312" t="n">
        <x:f>ROW()-ROW($A$2)+1</x:f>
        <x:v>2315</x:v>
      </x:c>
      <x:c r="B2316" s="312" t="s">
        <x:v>13</x:v>
      </x:c>
      <x:c r="C2316" s="312" t="s">
        <x:v>26</x:v>
      </x:c>
      <x:c r="D2316" s="317">
        <x:v>2</x:v>
      </x:c>
      <x:c r="E2316" s="321">
        <x:v>7250</x:v>
      </x:c>
      <x:c r="F2316" s="321">
        <x:v>14500</x:v>
      </x:c>
      <x:c r="G2316" s="321">
        <x:v>4500</x:v>
      </x:c>
      <x:c r="H2316" s="312" t="s">
        <x:v>64</x:v>
      </x:c>
      <x:c r="I2316" s="312" t="s">
        <x:v>25</x:v>
      </x:c>
      <x:c r="J2316" s="316" t="n">
        <x:f>IFERROR(G2316/F2316,0)</x:f>
        <x:v>0.3103448275862069</x:v>
      </x:c>
      <x:c r="K2316" s="312" t="str">
        <x:f>IF(B2316="Bilinmeyen Personel","Kontrol","OK")</x:f>
        <x:v>OK</x:v>
      </x:c>
    </x:row>
    <x:row r="2317" hidden="1">
      <x:c r="A2317" s="312" t="n">
        <x:f>ROW()-ROW($A$2)+1</x:f>
        <x:v>2316</x:v>
      </x:c>
      <x:c r="B2317" s="312" t="s">
        <x:v>32</x:v>
      </x:c>
      <x:c r="C2317" s="312" t="s">
        <x:v>24</x:v>
      </x:c>
      <x:c r="D2317" s="317">
        <x:v>2</x:v>
      </x:c>
      <x:c r="E2317" s="321">
        <x:v>7600</x:v>
      </x:c>
      <x:c r="F2317" s="321">
        <x:v>15200</x:v>
      </x:c>
      <x:c r="G2317" s="321">
        <x:v>3200</x:v>
      </x:c>
      <x:c r="H2317" s="312" t="s">
        <x:v>64</x:v>
      </x:c>
      <x:c r="I2317" s="312" t="s">
        <x:v>18</x:v>
      </x:c>
      <x:c r="J2317" s="316" t="n">
        <x:f>IFERROR(G2317/F2317,0)</x:f>
        <x:v>0.21052631578947367</x:v>
      </x:c>
      <x:c r="K2317" s="312" t="str">
        <x:f>IF(B2317="Bilinmeyen Personel","Kontrol","OK")</x:f>
        <x:v>OK</x:v>
      </x:c>
    </x:row>
    <x:row r="2318" hidden="1">
      <x:c r="A2318" s="312" t="n">
        <x:f>ROW()-ROW($A$2)+1</x:f>
        <x:v>2317</x:v>
      </x:c>
      <x:c r="B2318" s="312" t="s">
        <x:v>50</x:v>
      </x:c>
      <x:c r="C2318" s="312" t="s">
        <x:v>24</x:v>
      </x:c>
      <x:c r="D2318" s="317">
        <x:v>4</x:v>
      </x:c>
      <x:c r="E2318" s="321">
        <x:v>7600</x:v>
      </x:c>
      <x:c r="F2318" s="321">
        <x:v>30400</x:v>
      </x:c>
      <x:c r="G2318" s="321">
        <x:v>6400</x:v>
      </x:c>
      <x:c r="H2318" s="312" t="s">
        <x:v>64</x:v>
      </x:c>
      <x:c r="I2318" s="312" t="s">
        <x:v>37</x:v>
      </x:c>
      <x:c r="J2318" s="316" t="n">
        <x:f>IFERROR(G2318/F2318,0)</x:f>
        <x:v>0.21052631578947367</x:v>
      </x:c>
      <x:c r="K2318" s="312" t="str">
        <x:f>IF(B2318="Bilinmeyen Personel","Kontrol","OK")</x:f>
        <x:v>OK</x:v>
      </x:c>
    </x:row>
    <x:row r="2319" hidden="1">
      <x:c r="A2319" s="312" t="n">
        <x:f>ROW()-ROW($A$2)+1</x:f>
        <x:v>2318</x:v>
      </x:c>
      <x:c r="B2319" s="312" t="s">
        <x:v>13</x:v>
      </x:c>
      <x:c r="C2319" s="312" t="s">
        <x:v>43</x:v>
      </x:c>
      <x:c r="D2319" s="317">
        <x:v>3</x:v>
      </x:c>
      <x:c r="E2319" s="321">
        <x:v>1490</x:v>
      </x:c>
      <x:c r="F2319" s="321">
        <x:v>4470</x:v>
      </x:c>
      <x:c r="G2319" s="321">
        <x:v>2070</x:v>
      </x:c>
      <x:c r="H2319" s="312" t="s">
        <x:v>64</x:v>
      </x:c>
      <x:c r="I2319" s="312" t="s">
        <x:v>44</x:v>
      </x:c>
      <x:c r="J2319" s="316" t="n">
        <x:f>IFERROR(G2319/F2319,0)</x:f>
        <x:v>0.46308724832214765</x:v>
      </x:c>
      <x:c r="K2319" s="312" t="str">
        <x:f>IF(B2319="Bilinmeyen Personel","Kontrol","OK")</x:f>
        <x:v>OK</x:v>
      </x:c>
    </x:row>
    <x:row r="2320" hidden="1">
      <x:c r="A2320" s="312" t="n">
        <x:f>ROW()-ROW($A$2)+1</x:f>
        <x:v>2319</x:v>
      </x:c>
      <x:c r="B2320" s="312" t="s">
        <x:v>29</x:v>
      </x:c>
      <x:c r="C2320" s="312" t="s">
        <x:v>51</x:v>
      </x:c>
      <x:c r="D2320" s="317">
        <x:v>4</x:v>
      </x:c>
      <x:c r="E2320" s="321">
        <x:v>2900</x:v>
      </x:c>
      <x:c r="F2320" s="321">
        <x:v>11600</x:v>
      </x:c>
      <x:c r="G2320" s="321">
        <x:v>3600</x:v>
      </x:c>
      <x:c r="H2320" s="312" t="s">
        <x:v>64</x:v>
      </x:c>
      <x:c r="I2320" s="312" t="s">
        <x:v>28</x:v>
      </x:c>
      <x:c r="J2320" s="316" t="n">
        <x:f>IFERROR(G2320/F2320,0)</x:f>
        <x:v>0.3103448275862069</x:v>
      </x:c>
      <x:c r="K2320" s="312" t="str">
        <x:f>IF(B2320="Bilinmeyen Personel","Kontrol","OK")</x:f>
        <x:v>OK</x:v>
      </x:c>
    </x:row>
    <x:row r="2321" hidden="1">
      <x:c r="A2321" s="312" t="n">
        <x:f>ROW()-ROW($A$2)+1</x:f>
        <x:v>2320</x:v>
      </x:c>
      <x:c r="B2321" s="312" t="s">
        <x:v>40</x:v>
      </x:c>
      <x:c r="C2321" s="312" t="s">
        <x:v>43</x:v>
      </x:c>
      <x:c r="D2321" s="317">
        <x:v>2</x:v>
      </x:c>
      <x:c r="E2321" s="321">
        <x:v>1490</x:v>
      </x:c>
      <x:c r="F2321" s="321">
        <x:v>2980</x:v>
      </x:c>
      <x:c r="G2321" s="321">
        <x:v>1380</x:v>
      </x:c>
      <x:c r="H2321" s="312" t="s">
        <x:v>64</x:v>
      </x:c>
      <x:c r="I2321" s="312" t="s">
        <x:v>41</x:v>
      </x:c>
      <x:c r="J2321" s="316" t="n">
        <x:f>IFERROR(G2321/F2321,0)</x:f>
        <x:v>0.46308724832214765</x:v>
      </x:c>
      <x:c r="K2321" s="312" t="str">
        <x:f>IF(B2321="Bilinmeyen Personel","Kontrol","OK")</x:f>
        <x:v>OK</x:v>
      </x:c>
    </x:row>
    <x:row r="2322" hidden="1">
      <x:c r="A2322" s="312" t="n">
        <x:f>ROW()-ROW($A$2)+1</x:f>
        <x:v>2321</x:v>
      </x:c>
      <x:c r="B2322" s="312" t="s">
        <x:v>40</x:v>
      </x:c>
      <x:c r="C2322" s="312" t="s">
        <x:v>34</x:v>
      </x:c>
      <x:c r="D2322" s="317">
        <x:v>4</x:v>
      </x:c>
      <x:c r="E2322" s="321">
        <x:v>1090</x:v>
      </x:c>
      <x:c r="F2322" s="321">
        <x:v>4360</x:v>
      </x:c>
      <x:c r="G2322" s="321">
        <x:v>1160</x:v>
      </x:c>
      <x:c r="H2322" s="312" t="s">
        <x:v>64</x:v>
      </x:c>
      <x:c r="I2322" s="312" t="s">
        <x:v>28</x:v>
      </x:c>
      <x:c r="J2322" s="316" t="n">
        <x:f>IFERROR(G2322/F2322,0)</x:f>
        <x:v>0.26605504587155965</x:v>
      </x:c>
      <x:c r="K2322" s="312" t="str">
        <x:f>IF(B2322="Bilinmeyen Personel","Kontrol","OK")</x:f>
        <x:v>OK</x:v>
      </x:c>
    </x:row>
    <x:row r="2323" hidden="1">
      <x:c r="A2323" s="312" t="n">
        <x:f>ROW()-ROW($A$2)+1</x:f>
        <x:v>2322</x:v>
      </x:c>
      <x:c r="B2323" s="312" t="s">
        <x:v>29</x:v>
      </x:c>
      <x:c r="C2323" s="312" t="s">
        <x:v>30</x:v>
      </x:c>
      <x:c r="D2323" s="317">
        <x:v>4</x:v>
      </x:c>
      <x:c r="E2323" s="321">
        <x:v>1200</x:v>
      </x:c>
      <x:c r="F2323" s="321">
        <x:v>4800</x:v>
      </x:c>
      <x:c r="G2323" s="321">
        <x:v>1600</x:v>
      </x:c>
      <x:c r="H2323" s="312" t="s">
        <x:v>64</x:v>
      </x:c>
      <x:c r="I2323" s="312" t="s">
        <x:v>31</x:v>
      </x:c>
      <x:c r="J2323" s="316" t="n">
        <x:f>IFERROR(G2323/F2323,0)</x:f>
        <x:v>0.3333333333333333</x:v>
      </x:c>
      <x:c r="K2323" s="312" t="str">
        <x:f>IF(B2323="Bilinmeyen Personel","Kontrol","OK")</x:f>
        <x:v>OK</x:v>
      </x:c>
    </x:row>
    <x:row r="2324" hidden="1">
      <x:c r="A2324" s="312" t="n">
        <x:f>ROW()-ROW($A$2)+1</x:f>
        <x:v>2323</x:v>
      </x:c>
      <x:c r="B2324" s="312" t="s">
        <x:v>38</x:v>
      </x:c>
      <x:c r="C2324" s="312" t="s">
        <x:v>39</x:v>
      </x:c>
      <x:c r="D2324" s="317">
        <x:v>3</x:v>
      </x:c>
      <x:c r="E2324" s="321">
        <x:v>10590</x:v>
      </x:c>
      <x:c r="F2324" s="321">
        <x:v>31770</x:v>
      </x:c>
      <x:c r="G2324" s="321">
        <x:v>13770</x:v>
      </x:c>
      <x:c r="H2324" s="312" t="s">
        <x:v>64</x:v>
      </x:c>
      <x:c r="I2324" s="312" t="s">
        <x:v>25</x:v>
      </x:c>
      <x:c r="J2324" s="316" t="n">
        <x:f>IFERROR(G2324/F2324,0)</x:f>
        <x:v>0.43342776203966005</x:v>
      </x:c>
      <x:c r="K2324" s="312" t="str">
        <x:f>IF(B2324="Bilinmeyen Personel","Kontrol","OK")</x:f>
        <x:v>OK</x:v>
      </x:c>
    </x:row>
    <x:row r="2325" hidden="1">
      <x:c r="A2325" s="312" t="n">
        <x:f>ROW()-ROW($A$2)+1</x:f>
        <x:v>2324</x:v>
      </x:c>
      <x:c r="B2325" s="312" t="s">
        <x:v>32</x:v>
      </x:c>
      <x:c r="C2325" s="312" t="s">
        <x:v>45</x:v>
      </x:c>
      <x:c r="D2325" s="317">
        <x:v>2</x:v>
      </x:c>
      <x:c r="E2325" s="321">
        <x:v>4200</x:v>
      </x:c>
      <x:c r="F2325" s="321">
        <x:v>8400</x:v>
      </x:c>
      <x:c r="G2325" s="321">
        <x:v>2400</x:v>
      </x:c>
      <x:c r="H2325" s="312" t="s">
        <x:v>64</x:v>
      </x:c>
      <x:c r="I2325" s="312" t="s">
        <x:v>28</x:v>
      </x:c>
      <x:c r="J2325" s="316" t="n">
        <x:f>IFERROR(G2325/F2325,0)</x:f>
        <x:v>0.2857142857142857</x:v>
      </x:c>
      <x:c r="K2325" s="312" t="str">
        <x:f>IF(B2325="Bilinmeyen Personel","Kontrol","OK")</x:f>
        <x:v>OK</x:v>
      </x:c>
    </x:row>
    <x:row r="2326" hidden="1">
      <x:c r="A2326" s="312" t="n">
        <x:f>ROW()-ROW($A$2)+1</x:f>
        <x:v>2325</x:v>
      </x:c>
      <x:c r="B2326" s="312" t="s">
        <x:v>19</x:v>
      </x:c>
      <x:c r="C2326" s="312" t="s">
        <x:v>45</x:v>
      </x:c>
      <x:c r="D2326" s="317">
        <x:v>5</x:v>
      </x:c>
      <x:c r="E2326" s="321">
        <x:v>4200</x:v>
      </x:c>
      <x:c r="F2326" s="321">
        <x:v>21000</x:v>
      </x:c>
      <x:c r="G2326" s="321">
        <x:v>6000</x:v>
      </x:c>
      <x:c r="H2326" s="312" t="s">
        <x:v>64</x:v>
      </x:c>
      <x:c r="I2326" s="312" t="s">
        <x:v>44</x:v>
      </x:c>
      <x:c r="J2326" s="316" t="n">
        <x:f>IFERROR(G2326/F2326,0)</x:f>
        <x:v>0.2857142857142857</x:v>
      </x:c>
      <x:c r="K2326" s="312" t="str">
        <x:f>IF(B2326="Bilinmeyen Personel","Kontrol","OK")</x:f>
        <x:v>OK</x:v>
      </x:c>
    </x:row>
    <x:row r="2327" hidden="1">
      <x:c r="A2327" s="312" t="n">
        <x:f>ROW()-ROW($A$2)+1</x:f>
        <x:v>2326</x:v>
      </x:c>
      <x:c r="B2327" s="312" t="s">
        <x:v>35</x:v>
      </x:c>
      <x:c r="C2327" s="312" t="s">
        <x:v>39</x:v>
      </x:c>
      <x:c r="D2327" s="317">
        <x:v>2</x:v>
      </x:c>
      <x:c r="E2327" s="321">
        <x:v>10590</x:v>
      </x:c>
      <x:c r="F2327" s="321">
        <x:v>21180</x:v>
      </x:c>
      <x:c r="G2327" s="321">
        <x:v>9180</x:v>
      </x:c>
      <x:c r="H2327" s="312" t="s">
        <x:v>64</x:v>
      </x:c>
      <x:c r="I2327" s="312" t="s">
        <x:v>44</x:v>
      </x:c>
      <x:c r="J2327" s="316" t="n">
        <x:f>IFERROR(G2327/F2327,0)</x:f>
        <x:v>0.43342776203966005</x:v>
      </x:c>
      <x:c r="K2327" s="312" t="str">
        <x:f>IF(B2327="Bilinmeyen Personel","Kontrol","OK")</x:f>
        <x:v>OK</x:v>
      </x:c>
    </x:row>
    <x:row r="2328" hidden="1">
      <x:c r="A2328" s="312" t="n">
        <x:f>ROW()-ROW($A$2)+1</x:f>
        <x:v>2327</x:v>
      </x:c>
      <x:c r="B2328" s="312" t="s">
        <x:v>50</x:v>
      </x:c>
      <x:c r="C2328" s="312" t="s">
        <x:v>52</x:v>
      </x:c>
      <x:c r="D2328" s="317">
        <x:v>3</x:v>
      </x:c>
      <x:c r="E2328" s="321">
        <x:v>1250</x:v>
      </x:c>
      <x:c r="F2328" s="321">
        <x:v>3750</x:v>
      </x:c>
      <x:c r="G2328" s="321">
        <x:v>1350</x:v>
      </x:c>
      <x:c r="H2328" s="312" t="s">
        <x:v>64</x:v>
      </x:c>
      <x:c r="I2328" s="312" t="s">
        <x:v>46</x:v>
      </x:c>
      <x:c r="J2328" s="316" t="n">
        <x:f>IFERROR(G2328/F2328,0)</x:f>
        <x:v>0.36</x:v>
      </x:c>
      <x:c r="K2328" s="312" t="str">
        <x:f>IF(B2328="Bilinmeyen Personel","Kontrol","OK")</x:f>
        <x:v>OK</x:v>
      </x:c>
    </x:row>
    <x:row r="2329" hidden="1">
      <x:c r="A2329" s="312" t="n">
        <x:f>ROW()-ROW($A$2)+1</x:f>
        <x:v>2328</x:v>
      </x:c>
      <x:c r="B2329" s="312" t="s">
        <x:v>9</x:v>
      </x:c>
      <x:c r="C2329" s="312" t="s">
        <x:v>43</x:v>
      </x:c>
      <x:c r="D2329" s="317">
        <x:v>5</x:v>
      </x:c>
      <x:c r="E2329" s="321">
        <x:v>1490</x:v>
      </x:c>
      <x:c r="F2329" s="321">
        <x:v>7450</x:v>
      </x:c>
      <x:c r="G2329" s="321">
        <x:v>3450</x:v>
      </x:c>
      <x:c r="H2329" s="312" t="s">
        <x:v>64</x:v>
      </x:c>
      <x:c r="I2329" s="312" t="s">
        <x:v>44</x:v>
      </x:c>
      <x:c r="J2329" s="316" t="n">
        <x:f>IFERROR(G2329/F2329,0)</x:f>
        <x:v>0.46308724832214765</x:v>
      </x:c>
      <x:c r="K2329" s="312" t="str">
        <x:f>IF(B2329="Bilinmeyen Personel","Kontrol","OK")</x:f>
        <x:v>OK</x:v>
      </x:c>
    </x:row>
    <x:row r="2330" hidden="1">
      <x:c r="A2330" s="312" t="n">
        <x:f>ROW()-ROW($A$2)+1</x:f>
        <x:v>2329</x:v>
      </x:c>
      <x:c r="B2330" s="312" t="s">
        <x:v>32</x:v>
      </x:c>
      <x:c r="C2330" s="312" t="s">
        <x:v>30</x:v>
      </x:c>
      <x:c r="D2330" s="317">
        <x:v>3</x:v>
      </x:c>
      <x:c r="E2330" s="321">
        <x:v>1200</x:v>
      </x:c>
      <x:c r="F2330" s="321">
        <x:v>3600</x:v>
      </x:c>
      <x:c r="G2330" s="321">
        <x:v>1200</x:v>
      </x:c>
      <x:c r="H2330" s="312" t="s">
        <x:v>64</x:v>
      </x:c>
      <x:c r="I2330" s="312" t="s">
        <x:v>42</x:v>
      </x:c>
      <x:c r="J2330" s="316" t="n">
        <x:f>IFERROR(G2330/F2330,0)</x:f>
        <x:v>0.3333333333333333</x:v>
      </x:c>
      <x:c r="K2330" s="312" t="str">
        <x:f>IF(B2330="Bilinmeyen Personel","Kontrol","OK")</x:f>
        <x:v>OK</x:v>
      </x:c>
    </x:row>
    <x:row r="2331" hidden="1">
      <x:c r="A2331" s="312" t="n">
        <x:f>ROW()-ROW($A$2)+1</x:f>
        <x:v>2330</x:v>
      </x:c>
      <x:c r="B2331" s="312" t="s">
        <x:v>16</x:v>
      </x:c>
      <x:c r="C2331" s="312" t="s">
        <x:v>22</x:v>
      </x:c>
      <x:c r="D2331" s="317">
        <x:v>4</x:v>
      </x:c>
      <x:c r="E2331" s="321">
        <x:v>2180</x:v>
      </x:c>
      <x:c r="F2331" s="321">
        <x:v>8720</x:v>
      </x:c>
      <x:c r="G2331" s="321">
        <x:v>2720</x:v>
      </x:c>
      <x:c r="H2331" s="312" t="s">
        <x:v>64</x:v>
      </x:c>
      <x:c r="I2331" s="312" t="s">
        <x:v>21</x:v>
      </x:c>
      <x:c r="J2331" s="316" t="n">
        <x:f>IFERROR(G2331/F2331,0)</x:f>
        <x:v>0.3119266055045872</x:v>
      </x:c>
      <x:c r="K2331" s="312" t="str">
        <x:f>IF(B2331="Bilinmeyen Personel","Kontrol","OK")</x:f>
        <x:v>OK</x:v>
      </x:c>
    </x:row>
    <x:row r="2332" hidden="1">
      <x:c r="A2332" s="312" t="n">
        <x:f>ROW()-ROW($A$2)+1</x:f>
        <x:v>2331</x:v>
      </x:c>
      <x:c r="B2332" s="312" t="s">
        <x:v>40</x:v>
      </x:c>
      <x:c r="C2332" s="312" t="s">
        <x:v>53</x:v>
      </x:c>
      <x:c r="D2332" s="317">
        <x:v>5</x:v>
      </x:c>
      <x:c r="E2332" s="321">
        <x:v>1200</x:v>
      </x:c>
      <x:c r="F2332" s="321">
        <x:v>6000</x:v>
      </x:c>
      <x:c r="G2332" s="321">
        <x:v>2000</x:v>
      </x:c>
      <x:c r="H2332" s="312" t="s">
        <x:v>64</x:v>
      </x:c>
      <x:c r="I2332" s="312" t="s">
        <x:v>18</x:v>
      </x:c>
      <x:c r="J2332" s="316" t="n">
        <x:f>IFERROR(G2332/F2332,0)</x:f>
        <x:v>0.3333333333333333</x:v>
      </x:c>
      <x:c r="K2332" s="312" t="str">
        <x:f>IF(B2332="Bilinmeyen Personel","Kontrol","OK")</x:f>
        <x:v>OK</x:v>
      </x:c>
    </x:row>
    <x:row r="2333" hidden="1">
      <x:c r="A2333" s="312" t="n">
        <x:f>ROW()-ROW($A$2)+1</x:f>
        <x:v>2332</x:v>
      </x:c>
      <x:c r="B2333" s="312" t="s">
        <x:v>9</x:v>
      </x:c>
      <x:c r="C2333" s="312" t="s">
        <x:v>33</x:v>
      </x:c>
      <x:c r="D2333" s="317">
        <x:v>2</x:v>
      </x:c>
      <x:c r="E2333" s="321">
        <x:v>1800</x:v>
      </x:c>
      <x:c r="F2333" s="321">
        <x:v>3600</x:v>
      </x:c>
      <x:c r="G2333" s="321">
        <x:v>2000</x:v>
      </x:c>
      <x:c r="H2333" s="312" t="s">
        <x:v>64</x:v>
      </x:c>
      <x:c r="I2333" s="312" t="s">
        <x:v>28</x:v>
      </x:c>
      <x:c r="J2333" s="316" t="n">
        <x:f>IFERROR(G2333/F2333,0)</x:f>
        <x:v>0.5555555555555556</x:v>
      </x:c>
      <x:c r="K2333" s="312" t="str">
        <x:f>IF(B2333="Bilinmeyen Personel","Kontrol","OK")</x:f>
        <x:v>OK</x:v>
      </x:c>
    </x:row>
    <x:row r="2334" hidden="1">
      <x:c r="A2334" s="312" t="n">
        <x:f>ROW()-ROW($A$2)+1</x:f>
        <x:v>2333</x:v>
      </x:c>
      <x:c r="B2334" s="312" t="s">
        <x:v>16</x:v>
      </x:c>
      <x:c r="C2334" s="312" t="s">
        <x:v>24</x:v>
      </x:c>
      <x:c r="D2334" s="317">
        <x:v>2</x:v>
      </x:c>
      <x:c r="E2334" s="321">
        <x:v>7600</x:v>
      </x:c>
      <x:c r="F2334" s="321">
        <x:v>15200</x:v>
      </x:c>
      <x:c r="G2334" s="321">
        <x:v>3200</x:v>
      </x:c>
      <x:c r="H2334" s="312" t="s">
        <x:v>64</x:v>
      </x:c>
      <x:c r="I2334" s="312" t="s">
        <x:v>25</x:v>
      </x:c>
      <x:c r="J2334" s="316" t="n">
        <x:f>IFERROR(G2334/F2334,0)</x:f>
        <x:v>0.21052631578947367</x:v>
      </x:c>
      <x:c r="K2334" s="312" t="str">
        <x:f>IF(B2334="Bilinmeyen Personel","Kontrol","OK")</x:f>
        <x:v>OK</x:v>
      </x:c>
    </x:row>
    <x:row r="2335" hidden="1">
      <x:c r="A2335" s="312" t="n">
        <x:f>ROW()-ROW($A$2)+1</x:f>
        <x:v>2334</x:v>
      </x:c>
      <x:c r="B2335" s="312" t="s">
        <x:v>35</x:v>
      </x:c>
      <x:c r="C2335" s="312" t="s">
        <x:v>55</x:v>
      </x:c>
      <x:c r="D2335" s="317">
        <x:v>2</x:v>
      </x:c>
      <x:c r="E2335" s="321">
        <x:v>7530</x:v>
      </x:c>
      <x:c r="F2335" s="321">
        <x:v>15060</x:v>
      </x:c>
      <x:c r="G2335" s="321">
        <x:v>3060</x:v>
      </x:c>
      <x:c r="H2335" s="312" t="s">
        <x:v>64</x:v>
      </x:c>
      <x:c r="I2335" s="312" t="s">
        <x:v>42</x:v>
      </x:c>
      <x:c r="J2335" s="316" t="n">
        <x:f>IFERROR(G2335/F2335,0)</x:f>
        <x:v>0.20318725099601595</x:v>
      </x:c>
      <x:c r="K2335" s="312" t="str">
        <x:f>IF(B2335="Bilinmeyen Personel","Kontrol","OK")</x:f>
        <x:v>OK</x:v>
      </x:c>
    </x:row>
    <x:row r="2336" hidden="1">
      <x:c r="A2336" s="312" t="n">
        <x:f>ROW()-ROW($A$2)+1</x:f>
        <x:v>2335</x:v>
      </x:c>
      <x:c r="B2336" s="312" t="s">
        <x:v>50</x:v>
      </x:c>
      <x:c r="C2336" s="312" t="s">
        <x:v>43</x:v>
      </x:c>
      <x:c r="D2336" s="317">
        <x:v>5</x:v>
      </x:c>
      <x:c r="E2336" s="321">
        <x:v>1490</x:v>
      </x:c>
      <x:c r="F2336" s="321">
        <x:v>7450</x:v>
      </x:c>
      <x:c r="G2336" s="321">
        <x:v>3450</x:v>
      </x:c>
      <x:c r="H2336" s="312" t="s">
        <x:v>64</x:v>
      </x:c>
      <x:c r="I2336" s="312" t="s">
        <x:v>44</x:v>
      </x:c>
      <x:c r="J2336" s="316" t="n">
        <x:f>IFERROR(G2336/F2336,0)</x:f>
        <x:v>0.46308724832214765</x:v>
      </x:c>
      <x:c r="K2336" s="312" t="str">
        <x:f>IF(B2336="Bilinmeyen Personel","Kontrol","OK")</x:f>
        <x:v>OK</x:v>
      </x:c>
    </x:row>
    <x:row r="2337" hidden="1">
      <x:c r="A2337" s="312" t="n">
        <x:f>ROW()-ROW($A$2)+1</x:f>
        <x:v>2336</x:v>
      </x:c>
      <x:c r="B2337" s="312" t="s">
        <x:v>9</x:v>
      </x:c>
      <x:c r="C2337" s="312" t="s">
        <x:v>56</x:v>
      </x:c>
      <x:c r="D2337" s="317">
        <x:v>3</x:v>
      </x:c>
      <x:c r="E2337" s="321">
        <x:v>5300</x:v>
      </x:c>
      <x:c r="F2337" s="321">
        <x:v>15900</x:v>
      </x:c>
      <x:c r="G2337" s="321">
        <x:v>3900</x:v>
      </x:c>
      <x:c r="H2337" s="312" t="s">
        <x:v>64</x:v>
      </x:c>
      <x:c r="I2337" s="312" t="s">
        <x:v>28</x:v>
      </x:c>
      <x:c r="J2337" s="316" t="n">
        <x:f>IFERROR(G2337/F2337,0)</x:f>
        <x:v>0.24528301886792453</x:v>
      </x:c>
      <x:c r="K2337" s="312" t="str">
        <x:f>IF(B2337="Bilinmeyen Personel","Kontrol","OK")</x:f>
        <x:v>OK</x:v>
      </x:c>
    </x:row>
    <x:row r="2338" hidden="1">
      <x:c r="A2338" s="312" t="n">
        <x:f>ROW()-ROW($A$2)+1</x:f>
        <x:v>2337</x:v>
      </x:c>
      <x:c r="B2338" s="312" t="s">
        <x:v>23</x:v>
      </x:c>
      <x:c r="C2338" s="312" t="s">
        <x:v>30</x:v>
      </x:c>
      <x:c r="D2338" s="317">
        <x:v>5</x:v>
      </x:c>
      <x:c r="E2338" s="321">
        <x:v>1200</x:v>
      </x:c>
      <x:c r="F2338" s="321">
        <x:v>6000</x:v>
      </x:c>
      <x:c r="G2338" s="321">
        <x:v>2000</x:v>
      </x:c>
      <x:c r="H2338" s="312" t="s">
        <x:v>64</x:v>
      </x:c>
      <x:c r="I2338" s="312" t="s">
        <x:v>25</x:v>
      </x:c>
      <x:c r="J2338" s="316" t="n">
        <x:f>IFERROR(G2338/F2338,0)</x:f>
        <x:v>0.3333333333333333</x:v>
      </x:c>
      <x:c r="K2338" s="312" t="str">
        <x:f>IF(B2338="Bilinmeyen Personel","Kontrol","OK")</x:f>
        <x:v>OK</x:v>
      </x:c>
    </x:row>
    <x:row r="2339" hidden="1">
      <x:c r="A2339" s="312" t="n">
        <x:f>ROW()-ROW($A$2)+1</x:f>
        <x:v>2338</x:v>
      </x:c>
      <x:c r="B2339" s="312" t="s">
        <x:v>40</x:v>
      </x:c>
      <x:c r="C2339" s="312" t="s">
        <x:v>34</x:v>
      </x:c>
      <x:c r="D2339" s="317">
        <x:v>4</x:v>
      </x:c>
      <x:c r="E2339" s="321">
        <x:v>1090</x:v>
      </x:c>
      <x:c r="F2339" s="321">
        <x:v>4360</x:v>
      </x:c>
      <x:c r="G2339" s="321">
        <x:v>1160</x:v>
      </x:c>
      <x:c r="H2339" s="312" t="s">
        <x:v>64</x:v>
      </x:c>
      <x:c r="I2339" s="312" t="s">
        <x:v>18</x:v>
      </x:c>
      <x:c r="J2339" s="316" t="n">
        <x:f>IFERROR(G2339/F2339,0)</x:f>
        <x:v>0.26605504587155965</x:v>
      </x:c>
      <x:c r="K2339" s="312" t="str">
        <x:f>IF(B2339="Bilinmeyen Personel","Kontrol","OK")</x:f>
        <x:v>OK</x:v>
      </x:c>
    </x:row>
    <x:row r="2340" hidden="1">
      <x:c r="A2340" s="312" t="n">
        <x:f>ROW()-ROW($A$2)+1</x:f>
        <x:v>2339</x:v>
      </x:c>
      <x:c r="B2340" s="312" t="s">
        <x:v>23</x:v>
      </x:c>
      <x:c r="C2340" s="312" t="s">
        <x:v>26</x:v>
      </x:c>
      <x:c r="D2340" s="317">
        <x:v>3</x:v>
      </x:c>
      <x:c r="E2340" s="321">
        <x:v>7250</x:v>
      </x:c>
      <x:c r="F2340" s="321">
        <x:v>21750</x:v>
      </x:c>
      <x:c r="G2340" s="321">
        <x:v>6750</x:v>
      </x:c>
      <x:c r="H2340" s="312" t="s">
        <x:v>64</x:v>
      </x:c>
      <x:c r="I2340" s="312" t="s">
        <x:v>15</x:v>
      </x:c>
      <x:c r="J2340" s="316" t="n">
        <x:f>IFERROR(G2340/F2340,0)</x:f>
        <x:v>0.3103448275862069</x:v>
      </x:c>
      <x:c r="K2340" s="312" t="str">
        <x:f>IF(B2340="Bilinmeyen Personel","Kontrol","OK")</x:f>
        <x:v>OK</x:v>
      </x:c>
    </x:row>
    <x:row r="2341" hidden="1">
      <x:c r="A2341" s="312" t="n">
        <x:f>ROW()-ROW($A$2)+1</x:f>
        <x:v>2340</x:v>
      </x:c>
      <x:c r="B2341" s="312" t="s">
        <x:v>48</x:v>
      </x:c>
      <x:c r="C2341" s="312" t="s">
        <x:v>14</x:v>
      </x:c>
      <x:c r="D2341" s="317">
        <x:v>5</x:v>
      </x:c>
      <x:c r="E2341" s="321">
        <x:v>1400</x:v>
      </x:c>
      <x:c r="F2341" s="321">
        <x:v>7000</x:v>
      </x:c>
      <x:c r="G2341" s="321">
        <x:v>3000</x:v>
      </x:c>
      <x:c r="H2341" s="312" t="s">
        <x:v>64</x:v>
      </x:c>
      <x:c r="I2341" s="312" t="s">
        <x:v>54</x:v>
      </x:c>
      <x:c r="J2341" s="316" t="n">
        <x:f>IFERROR(G2341/F2341,0)</x:f>
        <x:v>0.42857142857142855</x:v>
      </x:c>
      <x:c r="K2341" s="312" t="str">
        <x:f>IF(B2341="Bilinmeyen Personel","Kontrol","OK")</x:f>
        <x:v>OK</x:v>
      </x:c>
    </x:row>
    <x:row r="2342" hidden="1">
      <x:c r="A2342" s="312" t="n">
        <x:f>ROW()-ROW($A$2)+1</x:f>
        <x:v>2341</x:v>
      </x:c>
      <x:c r="B2342" s="312" t="s">
        <x:v>16</x:v>
      </x:c>
      <x:c r="C2342" s="312" t="s">
        <x:v>57</x:v>
      </x:c>
      <x:c r="D2342" s="317">
        <x:v>4</x:v>
      </x:c>
      <x:c r="E2342" s="321">
        <x:v>1500</x:v>
      </x:c>
      <x:c r="F2342" s="321">
        <x:v>6000</x:v>
      </x:c>
      <x:c r="G2342" s="321">
        <x:v>2800</x:v>
      </x:c>
      <x:c r="H2342" s="312" t="s">
        <x:v>64</x:v>
      </x:c>
      <x:c r="I2342" s="312" t="s">
        <x:v>46</x:v>
      </x:c>
      <x:c r="J2342" s="316" t="n">
        <x:f>IFERROR(G2342/F2342,0)</x:f>
        <x:v>0.4666666666666667</x:v>
      </x:c>
      <x:c r="K2342" s="312" t="str">
        <x:f>IF(B2342="Bilinmeyen Personel","Kontrol","OK")</x:f>
        <x:v>OK</x:v>
      </x:c>
    </x:row>
    <x:row r="2343" hidden="1">
      <x:c r="A2343" s="312" t="n">
        <x:f>ROW()-ROW($A$2)+1</x:f>
        <x:v>2342</x:v>
      </x:c>
      <x:c r="B2343" s="312" t="s">
        <x:v>35</x:v>
      </x:c>
      <x:c r="C2343" s="312" t="s">
        <x:v>20</x:v>
      </x:c>
      <x:c r="D2343" s="317">
        <x:v>4</x:v>
      </x:c>
      <x:c r="E2343" s="321">
        <x:v>1350</x:v>
      </x:c>
      <x:c r="F2343" s="321">
        <x:v>5400</x:v>
      </x:c>
      <x:c r="G2343" s="321">
        <x:v>2200</x:v>
      </x:c>
      <x:c r="H2343" s="312" t="s">
        <x:v>64</x:v>
      </x:c>
      <x:c r="I2343" s="312" t="s">
        <x:v>15</x:v>
      </x:c>
      <x:c r="J2343" s="316" t="n">
        <x:f>IFERROR(G2343/F2343,0)</x:f>
        <x:v>0.4074074074074074</x:v>
      </x:c>
      <x:c r="K2343" s="312" t="str">
        <x:f>IF(B2343="Bilinmeyen Personel","Kontrol","OK")</x:f>
        <x:v>OK</x:v>
      </x:c>
    </x:row>
    <x:row r="2344" hidden="1">
      <x:c r="A2344" s="312" t="n">
        <x:f>ROW()-ROW($A$2)+1</x:f>
        <x:v>2343</x:v>
      </x:c>
      <x:c r="B2344" s="312" t="s">
        <x:v>35</x:v>
      </x:c>
      <x:c r="C2344" s="312" t="s">
        <x:v>30</x:v>
      </x:c>
      <x:c r="D2344" s="317">
        <x:v>5</x:v>
      </x:c>
      <x:c r="E2344" s="321">
        <x:v>1200</x:v>
      </x:c>
      <x:c r="F2344" s="321">
        <x:v>6000</x:v>
      </x:c>
      <x:c r="G2344" s="321">
        <x:v>2000</x:v>
      </x:c>
      <x:c r="H2344" s="312" t="s">
        <x:v>64</x:v>
      </x:c>
      <x:c r="I2344" s="312" t="s">
        <x:v>25</x:v>
      </x:c>
      <x:c r="J2344" s="316" t="n">
        <x:f>IFERROR(G2344/F2344,0)</x:f>
        <x:v>0.3333333333333333</x:v>
      </x:c>
      <x:c r="K2344" s="312" t="str">
        <x:f>IF(B2344="Bilinmeyen Personel","Kontrol","OK")</x:f>
        <x:v>OK</x:v>
      </x:c>
    </x:row>
    <x:row r="2345" hidden="1">
      <x:c r="A2345" s="312" t="n">
        <x:f>ROW()-ROW($A$2)+1</x:f>
        <x:v>2344</x:v>
      </x:c>
      <x:c r="B2345" s="312" t="s">
        <x:v>13</x:v>
      </x:c>
      <x:c r="C2345" s="312" t="s">
        <x:v>55</x:v>
      </x:c>
      <x:c r="D2345" s="317">
        <x:v>5</x:v>
      </x:c>
      <x:c r="E2345" s="321">
        <x:v>7530</x:v>
      </x:c>
      <x:c r="F2345" s="321">
        <x:v>37650</x:v>
      </x:c>
      <x:c r="G2345" s="321">
        <x:v>7650</x:v>
      </x:c>
      <x:c r="H2345" s="312" t="s">
        <x:v>64</x:v>
      </x:c>
      <x:c r="I2345" s="312" t="s">
        <x:v>31</x:v>
      </x:c>
      <x:c r="J2345" s="316" t="n">
        <x:f>IFERROR(G2345/F2345,0)</x:f>
        <x:v>0.20318725099601595</x:v>
      </x:c>
      <x:c r="K2345" s="312" t="str">
        <x:f>IF(B2345="Bilinmeyen Personel","Kontrol","OK")</x:f>
        <x:v>OK</x:v>
      </x:c>
    </x:row>
    <x:row r="2346" hidden="1">
      <x:c r="A2346" s="312" t="n">
        <x:f>ROW()-ROW($A$2)+1</x:f>
        <x:v>2345</x:v>
      </x:c>
      <x:c r="B2346" s="312" t="s">
        <x:v>48</x:v>
      </x:c>
      <x:c r="C2346" s="312" t="s">
        <x:v>30</x:v>
      </x:c>
      <x:c r="D2346" s="317">
        <x:v>3</x:v>
      </x:c>
      <x:c r="E2346" s="321">
        <x:v>1200</x:v>
      </x:c>
      <x:c r="F2346" s="321">
        <x:v>3600</x:v>
      </x:c>
      <x:c r="G2346" s="321">
        <x:v>1200</x:v>
      </x:c>
      <x:c r="H2346" s="312" t="s">
        <x:v>64</x:v>
      </x:c>
      <x:c r="I2346" s="312" t="s">
        <x:v>31</x:v>
      </x:c>
      <x:c r="J2346" s="316" t="n">
        <x:f>IFERROR(G2346/F2346,0)</x:f>
        <x:v>0.3333333333333333</x:v>
      </x:c>
      <x:c r="K2346" s="312" t="str">
        <x:f>IF(B2346="Bilinmeyen Personel","Kontrol","OK")</x:f>
        <x:v>OK</x:v>
      </x:c>
    </x:row>
    <x:row r="2347" hidden="1">
      <x:c r="A2347" s="312" t="n">
        <x:f>ROW()-ROW($A$2)+1</x:f>
        <x:v>2346</x:v>
      </x:c>
      <x:c r="B2347" s="312" t="s">
        <x:v>38</x:v>
      </x:c>
      <x:c r="C2347" s="312" t="s">
        <x:v>33</x:v>
      </x:c>
      <x:c r="D2347" s="317">
        <x:v>3</x:v>
      </x:c>
      <x:c r="E2347" s="321">
        <x:v>1800</x:v>
      </x:c>
      <x:c r="F2347" s="321">
        <x:v>5400</x:v>
      </x:c>
      <x:c r="G2347" s="321">
        <x:v>3000</x:v>
      </x:c>
      <x:c r="H2347" s="312" t="s">
        <x:v>64</x:v>
      </x:c>
      <x:c r="I2347" s="312" t="s">
        <x:v>42</x:v>
      </x:c>
      <x:c r="J2347" s="316" t="n">
        <x:f>IFERROR(G2347/F2347,0)</x:f>
        <x:v>0.5555555555555556</x:v>
      </x:c>
      <x:c r="K2347" s="312" t="str">
        <x:f>IF(B2347="Bilinmeyen Personel","Kontrol","OK")</x:f>
        <x:v>OK</x:v>
      </x:c>
    </x:row>
    <x:row r="2348" hidden="1">
      <x:c r="A2348" s="312" t="n">
        <x:f>ROW()-ROW($A$2)+1</x:f>
        <x:v>2347</x:v>
      </x:c>
      <x:c r="B2348" s="312" t="s">
        <x:v>9</x:v>
      </x:c>
      <x:c r="C2348" s="312" t="s">
        <x:v>26</x:v>
      </x:c>
      <x:c r="D2348" s="317">
        <x:v>2</x:v>
      </x:c>
      <x:c r="E2348" s="321">
        <x:v>7250</x:v>
      </x:c>
      <x:c r="F2348" s="321">
        <x:v>14500</x:v>
      </x:c>
      <x:c r="G2348" s="321">
        <x:v>4500</x:v>
      </x:c>
      <x:c r="H2348" s="312" t="s">
        <x:v>65</x:v>
      </x:c>
      <x:c r="I2348" s="312" t="s">
        <x:v>28</x:v>
      </x:c>
      <x:c r="J2348" s="316" t="n">
        <x:f>IFERROR(G2348/F2348,0)</x:f>
        <x:v>0.3103448275862069</x:v>
      </x:c>
      <x:c r="K2348" s="312" t="str">
        <x:f>IF(B2348="Bilinmeyen Personel","Kontrol","OK")</x:f>
        <x:v>OK</x:v>
      </x:c>
    </x:row>
    <x:row r="2349" hidden="1">
      <x:c r="A2349" s="312" t="n">
        <x:f>ROW()-ROW($A$2)+1</x:f>
        <x:v>2348</x:v>
      </x:c>
      <x:c r="B2349" s="312" t="s">
        <x:v>40</x:v>
      </x:c>
      <x:c r="C2349" s="312" t="s">
        <x:v>43</x:v>
      </x:c>
      <x:c r="D2349" s="317">
        <x:v>2</x:v>
      </x:c>
      <x:c r="E2349" s="321">
        <x:v>1490</x:v>
      </x:c>
      <x:c r="F2349" s="321">
        <x:v>2980</x:v>
      </x:c>
      <x:c r="G2349" s="321">
        <x:v>1380</x:v>
      </x:c>
      <x:c r="H2349" s="312" t="s">
        <x:v>65</x:v>
      </x:c>
      <x:c r="I2349" s="312" t="s">
        <x:v>44</x:v>
      </x:c>
      <x:c r="J2349" s="316" t="n">
        <x:f>IFERROR(G2349/F2349,0)</x:f>
        <x:v>0.46308724832214765</x:v>
      </x:c>
      <x:c r="K2349" s="312" t="str">
        <x:f>IF(B2349="Bilinmeyen Personel","Kontrol","OK")</x:f>
        <x:v>OK</x:v>
      </x:c>
    </x:row>
    <x:row r="2350" hidden="1">
      <x:c r="A2350" s="312" t="n">
        <x:f>ROW()-ROW($A$2)+1</x:f>
        <x:v>2349</x:v>
      </x:c>
      <x:c r="B2350" s="312" t="s">
        <x:v>40</x:v>
      </x:c>
      <x:c r="C2350" s="312" t="s">
        <x:v>53</x:v>
      </x:c>
      <x:c r="D2350" s="317">
        <x:v>3</x:v>
      </x:c>
      <x:c r="E2350" s="321">
        <x:v>1200</x:v>
      </x:c>
      <x:c r="F2350" s="321">
        <x:v>3600</x:v>
      </x:c>
      <x:c r="G2350" s="321">
        <x:v>1200</x:v>
      </x:c>
      <x:c r="H2350" s="312" t="s">
        <x:v>65</x:v>
      </x:c>
      <x:c r="I2350" s="312" t="s">
        <x:v>46</x:v>
      </x:c>
      <x:c r="J2350" s="316" t="n">
        <x:f>IFERROR(G2350/F2350,0)</x:f>
        <x:v>0.3333333333333333</x:v>
      </x:c>
      <x:c r="K2350" s="312" t="str">
        <x:f>IF(B2350="Bilinmeyen Personel","Kontrol","OK")</x:f>
        <x:v>OK</x:v>
      </x:c>
    </x:row>
    <x:row r="2351" hidden="1">
      <x:c r="A2351" s="312" t="n">
        <x:f>ROW()-ROW($A$2)+1</x:f>
        <x:v>2350</x:v>
      </x:c>
      <x:c r="B2351" s="312" t="s">
        <x:v>13</x:v>
      </x:c>
      <x:c r="C2351" s="312" t="s">
        <x:v>36</x:v>
      </x:c>
      <x:c r="D2351" s="317">
        <x:v>4</x:v>
      </x:c>
      <x:c r="E2351" s="321">
        <x:v>8000</x:v>
      </x:c>
      <x:c r="F2351" s="321">
        <x:v>32000</x:v>
      </x:c>
      <x:c r="G2351" s="321">
        <x:v>8000</x:v>
      </x:c>
      <x:c r="H2351" s="312" t="s">
        <x:v>65</x:v>
      </x:c>
      <x:c r="I2351" s="312" t="s">
        <x:v>18</x:v>
      </x:c>
      <x:c r="J2351" s="316" t="n">
        <x:f>IFERROR(G2351/F2351,0)</x:f>
        <x:v>0.25</x:v>
      </x:c>
      <x:c r="K2351" s="312" t="str">
        <x:f>IF(B2351="Bilinmeyen Personel","Kontrol","OK")</x:f>
        <x:v>OK</x:v>
      </x:c>
    </x:row>
    <x:row r="2352" hidden="1">
      <x:c r="A2352" s="312" t="n">
        <x:f>ROW()-ROW($A$2)+1</x:f>
        <x:v>2351</x:v>
      </x:c>
      <x:c r="B2352" s="312" t="s">
        <x:v>32</x:v>
      </x:c>
      <x:c r="C2352" s="312" t="s">
        <x:v>14</x:v>
      </x:c>
      <x:c r="D2352" s="317">
        <x:v>2</x:v>
      </x:c>
      <x:c r="E2352" s="321">
        <x:v>1400</x:v>
      </x:c>
      <x:c r="F2352" s="321">
        <x:v>2800</x:v>
      </x:c>
      <x:c r="G2352" s="321">
        <x:v>1200</x:v>
      </x:c>
      <x:c r="H2352" s="312" t="s">
        <x:v>65</x:v>
      </x:c>
      <x:c r="I2352" s="312" t="s">
        <x:v>15</x:v>
      </x:c>
      <x:c r="J2352" s="316" t="n">
        <x:f>IFERROR(G2352/F2352,0)</x:f>
        <x:v>0.42857142857142855</x:v>
      </x:c>
      <x:c r="K2352" s="312" t="str">
        <x:f>IF(B2352="Bilinmeyen Personel","Kontrol","OK")</x:f>
        <x:v>OK</x:v>
      </x:c>
    </x:row>
    <x:row r="2353" hidden="1">
      <x:c r="A2353" s="312" t="n">
        <x:f>ROW()-ROW($A$2)+1</x:f>
        <x:v>2352</x:v>
      </x:c>
      <x:c r="B2353" s="312" t="s">
        <x:v>29</x:v>
      </x:c>
      <x:c r="C2353" s="312" t="s">
        <x:v>20</x:v>
      </x:c>
      <x:c r="D2353" s="317">
        <x:v>2</x:v>
      </x:c>
      <x:c r="E2353" s="321">
        <x:v>1350</x:v>
      </x:c>
      <x:c r="F2353" s="321">
        <x:v>2700</x:v>
      </x:c>
      <x:c r="G2353" s="321">
        <x:v>1100</x:v>
      </x:c>
      <x:c r="H2353" s="312" t="s">
        <x:v>65</x:v>
      </x:c>
      <x:c r="I2353" s="312" t="s">
        <x:v>18</x:v>
      </x:c>
      <x:c r="J2353" s="316" t="n">
        <x:f>IFERROR(G2353/F2353,0)</x:f>
        <x:v>0.4074074074074074</x:v>
      </x:c>
      <x:c r="K2353" s="312" t="str">
        <x:f>IF(B2353="Bilinmeyen Personel","Kontrol","OK")</x:f>
        <x:v>OK</x:v>
      </x:c>
    </x:row>
    <x:row r="2354" hidden="1">
      <x:c r="A2354" s="312" t="n">
        <x:f>ROW()-ROW($A$2)+1</x:f>
        <x:v>2353</x:v>
      </x:c>
      <x:c r="B2354" s="312" t="s">
        <x:v>38</x:v>
      </x:c>
      <x:c r="C2354" s="312" t="s">
        <x:v>53</x:v>
      </x:c>
      <x:c r="D2354" s="317">
        <x:v>5</x:v>
      </x:c>
      <x:c r="E2354" s="321">
        <x:v>1200</x:v>
      </x:c>
      <x:c r="F2354" s="321">
        <x:v>6000</x:v>
      </x:c>
      <x:c r="G2354" s="321">
        <x:v>2000</x:v>
      </x:c>
      <x:c r="H2354" s="312" t="s">
        <x:v>65</x:v>
      </x:c>
      <x:c r="I2354" s="312" t="s">
        <x:v>18</x:v>
      </x:c>
      <x:c r="J2354" s="316" t="n">
        <x:f>IFERROR(G2354/F2354,0)</x:f>
        <x:v>0.3333333333333333</x:v>
      </x:c>
      <x:c r="K2354" s="312" t="str">
        <x:f>IF(B2354="Bilinmeyen Personel","Kontrol","OK")</x:f>
        <x:v>OK</x:v>
      </x:c>
    </x:row>
    <x:row r="2355" hidden="1">
      <x:c r="A2355" s="312" t="n">
        <x:f>ROW()-ROW($A$2)+1</x:f>
        <x:v>2354</x:v>
      </x:c>
      <x:c r="B2355" s="312" t="s">
        <x:v>32</x:v>
      </x:c>
      <x:c r="C2355" s="312" t="s">
        <x:v>56</x:v>
      </x:c>
      <x:c r="D2355" s="317">
        <x:v>5</x:v>
      </x:c>
      <x:c r="E2355" s="321">
        <x:v>5300</x:v>
      </x:c>
      <x:c r="F2355" s="321">
        <x:v>26500</x:v>
      </x:c>
      <x:c r="G2355" s="321">
        <x:v>6500</x:v>
      </x:c>
      <x:c r="H2355" s="312" t="s">
        <x:v>65</x:v>
      </x:c>
      <x:c r="I2355" s="312" t="s">
        <x:v>44</x:v>
      </x:c>
      <x:c r="J2355" s="316" t="n">
        <x:f>IFERROR(G2355/F2355,0)</x:f>
        <x:v>0.24528301886792453</x:v>
      </x:c>
      <x:c r="K2355" s="312" t="str">
        <x:f>IF(B2355="Bilinmeyen Personel","Kontrol","OK")</x:f>
        <x:v>OK</x:v>
      </x:c>
    </x:row>
    <x:row r="2356" hidden="1">
      <x:c r="A2356" s="312" t="n">
        <x:f>ROW()-ROW($A$2)+1</x:f>
        <x:v>2355</x:v>
      </x:c>
      <x:c r="B2356" s="312" t="s">
        <x:v>40</x:v>
      </x:c>
      <x:c r="C2356" s="312" t="s">
        <x:v>39</x:v>
      </x:c>
      <x:c r="D2356" s="317">
        <x:v>4</x:v>
      </x:c>
      <x:c r="E2356" s="321">
        <x:v>10590</x:v>
      </x:c>
      <x:c r="F2356" s="321">
        <x:v>42360</x:v>
      </x:c>
      <x:c r="G2356" s="321">
        <x:v>18360</x:v>
      </x:c>
      <x:c r="H2356" s="312" t="s">
        <x:v>65</x:v>
      </x:c>
      <x:c r="I2356" s="312" t="s">
        <x:v>44</x:v>
      </x:c>
      <x:c r="J2356" s="316" t="n">
        <x:f>IFERROR(G2356/F2356,0)</x:f>
        <x:v>0.43342776203966005</x:v>
      </x:c>
      <x:c r="K2356" s="312" t="str">
        <x:f>IF(B2356="Bilinmeyen Personel","Kontrol","OK")</x:f>
        <x:v>OK</x:v>
      </x:c>
    </x:row>
    <x:row r="2357" hidden="1">
      <x:c r="A2357" s="312" t="n">
        <x:f>ROW()-ROW($A$2)+1</x:f>
        <x:v>2356</x:v>
      </x:c>
      <x:c r="B2357" s="312" t="s">
        <x:v>23</x:v>
      </x:c>
      <x:c r="C2357" s="312" t="s">
        <x:v>52</x:v>
      </x:c>
      <x:c r="D2357" s="317">
        <x:v>5</x:v>
      </x:c>
      <x:c r="E2357" s="321">
        <x:v>1250</x:v>
      </x:c>
      <x:c r="F2357" s="321">
        <x:v>6250</x:v>
      </x:c>
      <x:c r="G2357" s="321">
        <x:v>2250</x:v>
      </x:c>
      <x:c r="H2357" s="312" t="s">
        <x:v>65</x:v>
      </x:c>
      <x:c r="I2357" s="312" t="s">
        <x:v>54</x:v>
      </x:c>
      <x:c r="J2357" s="316" t="n">
        <x:f>IFERROR(G2357/F2357,0)</x:f>
        <x:v>0.36</x:v>
      </x:c>
      <x:c r="K2357" s="312" t="str">
        <x:f>IF(B2357="Bilinmeyen Personel","Kontrol","OK")</x:f>
        <x:v>OK</x:v>
      </x:c>
    </x:row>
    <x:row r="2358" hidden="1">
      <x:c r="A2358" s="312" t="n">
        <x:f>ROW()-ROW($A$2)+1</x:f>
        <x:v>2357</x:v>
      </x:c>
      <x:c r="B2358" s="312" t="s">
        <x:v>50</x:v>
      </x:c>
      <x:c r="C2358" s="312" t="s">
        <x:v>53</x:v>
      </x:c>
      <x:c r="D2358" s="317">
        <x:v>5</x:v>
      </x:c>
      <x:c r="E2358" s="321">
        <x:v>1200</x:v>
      </x:c>
      <x:c r="F2358" s="321">
        <x:v>6000</x:v>
      </x:c>
      <x:c r="G2358" s="321">
        <x:v>2000</x:v>
      </x:c>
      <x:c r="H2358" s="312" t="s">
        <x:v>65</x:v>
      </x:c>
      <x:c r="I2358" s="312" t="s">
        <x:v>15</x:v>
      </x:c>
      <x:c r="J2358" s="316" t="n">
        <x:f>IFERROR(G2358/F2358,0)</x:f>
        <x:v>0.3333333333333333</x:v>
      </x:c>
      <x:c r="K2358" s="312" t="str">
        <x:f>IF(B2358="Bilinmeyen Personel","Kontrol","OK")</x:f>
        <x:v>OK</x:v>
      </x:c>
    </x:row>
    <x:row r="2359" hidden="1">
      <x:c r="A2359" s="312" t="n">
        <x:f>ROW()-ROW($A$2)+1</x:f>
        <x:v>2358</x:v>
      </x:c>
      <x:c r="B2359" s="312" t="s">
        <x:v>23</x:v>
      </x:c>
      <x:c r="C2359" s="312" t="s">
        <x:v>14</x:v>
      </x:c>
      <x:c r="D2359" s="317">
        <x:v>4</x:v>
      </x:c>
      <x:c r="E2359" s="321">
        <x:v>1400</x:v>
      </x:c>
      <x:c r="F2359" s="321">
        <x:v>5600</x:v>
      </x:c>
      <x:c r="G2359" s="321">
        <x:v>2400</x:v>
      </x:c>
      <x:c r="H2359" s="312" t="s">
        <x:v>65</x:v>
      </x:c>
      <x:c r="I2359" s="312" t="s">
        <x:v>21</x:v>
      </x:c>
      <x:c r="J2359" s="316" t="n">
        <x:f>IFERROR(G2359/F2359,0)</x:f>
        <x:v>0.42857142857142855</x:v>
      </x:c>
      <x:c r="K2359" s="312" t="str">
        <x:f>IF(B2359="Bilinmeyen Personel","Kontrol","OK")</x:f>
        <x:v>OK</x:v>
      </x:c>
    </x:row>
    <x:row r="2360" hidden="1">
      <x:c r="A2360" s="312" t="n">
        <x:f>ROW()-ROW($A$2)+1</x:f>
        <x:v>2359</x:v>
      </x:c>
      <x:c r="B2360" s="312" t="s">
        <x:v>50</x:v>
      </x:c>
      <x:c r="C2360" s="312" t="s">
        <x:v>55</x:v>
      </x:c>
      <x:c r="D2360" s="317">
        <x:v>4</x:v>
      </x:c>
      <x:c r="E2360" s="321">
        <x:v>7530</x:v>
      </x:c>
      <x:c r="F2360" s="321">
        <x:v>30120</x:v>
      </x:c>
      <x:c r="G2360" s="321">
        <x:v>6120</x:v>
      </x:c>
      <x:c r="H2360" s="312" t="s">
        <x:v>65</x:v>
      </x:c>
      <x:c r="I2360" s="312" t="s">
        <x:v>28</x:v>
      </x:c>
      <x:c r="J2360" s="316" t="n">
        <x:f>IFERROR(G2360/F2360,0)</x:f>
        <x:v>0.20318725099601595</x:v>
      </x:c>
      <x:c r="K2360" s="312" t="str">
        <x:f>IF(B2360="Bilinmeyen Personel","Kontrol","OK")</x:f>
        <x:v>OK</x:v>
      </x:c>
    </x:row>
    <x:row r="2361" hidden="1">
      <x:c r="A2361" s="312" t="n">
        <x:f>ROW()-ROW($A$2)+1</x:f>
        <x:v>2360</x:v>
      </x:c>
      <x:c r="B2361" s="312" t="s">
        <x:v>32</x:v>
      </x:c>
      <x:c r="C2361" s="312" t="s">
        <x:v>24</x:v>
      </x:c>
      <x:c r="D2361" s="317">
        <x:v>5</x:v>
      </x:c>
      <x:c r="E2361" s="321">
        <x:v>7600</x:v>
      </x:c>
      <x:c r="F2361" s="321">
        <x:v>38000</x:v>
      </x:c>
      <x:c r="G2361" s="321">
        <x:v>8000</x:v>
      </x:c>
      <x:c r="H2361" s="312" t="s">
        <x:v>65</x:v>
      </x:c>
      <x:c r="I2361" s="312" t="s">
        <x:v>28</x:v>
      </x:c>
      <x:c r="J2361" s="316" t="n">
        <x:f>IFERROR(G2361/F2361,0)</x:f>
        <x:v>0.21052631578947367</x:v>
      </x:c>
      <x:c r="K2361" s="312" t="str">
        <x:f>IF(B2361="Bilinmeyen Personel","Kontrol","OK")</x:f>
        <x:v>OK</x:v>
      </x:c>
    </x:row>
    <x:row r="2362" hidden="1">
      <x:c r="A2362" s="312" t="n">
        <x:f>ROW()-ROW($A$2)+1</x:f>
        <x:v>2361</x:v>
      </x:c>
      <x:c r="B2362" s="312" t="s">
        <x:v>50</x:v>
      </x:c>
      <x:c r="C2362" s="312" t="s">
        <x:v>57</x:v>
      </x:c>
      <x:c r="D2362" s="317">
        <x:v>5</x:v>
      </x:c>
      <x:c r="E2362" s="321">
        <x:v>1500</x:v>
      </x:c>
      <x:c r="F2362" s="321">
        <x:v>7500</x:v>
      </x:c>
      <x:c r="G2362" s="321">
        <x:v>3500</x:v>
      </x:c>
      <x:c r="H2362" s="312" t="s">
        <x:v>65</x:v>
      </x:c>
      <x:c r="I2362" s="312" t="s">
        <x:v>21</x:v>
      </x:c>
      <x:c r="J2362" s="316" t="n">
        <x:f>IFERROR(G2362/F2362,0)</x:f>
        <x:v>0.4666666666666667</x:v>
      </x:c>
      <x:c r="K2362" s="312" t="str">
        <x:f>IF(B2362="Bilinmeyen Personel","Kontrol","OK")</x:f>
        <x:v>OK</x:v>
      </x:c>
    </x:row>
    <x:row r="2363" hidden="1">
      <x:c r="A2363" s="312" t="n">
        <x:f>ROW()-ROW($A$2)+1</x:f>
        <x:v>2362</x:v>
      </x:c>
      <x:c r="B2363" s="312" t="s">
        <x:v>40</x:v>
      </x:c>
      <x:c r="C2363" s="312" t="s">
        <x:v>22</x:v>
      </x:c>
      <x:c r="D2363" s="317">
        <x:v>3</x:v>
      </x:c>
      <x:c r="E2363" s="321">
        <x:v>2180</x:v>
      </x:c>
      <x:c r="F2363" s="321">
        <x:v>6540</x:v>
      </x:c>
      <x:c r="G2363" s="321">
        <x:v>2040</x:v>
      </x:c>
      <x:c r="H2363" s="312" t="s">
        <x:v>65</x:v>
      </x:c>
      <x:c r="I2363" s="312" t="s">
        <x:v>18</x:v>
      </x:c>
      <x:c r="J2363" s="316" t="n">
        <x:f>IFERROR(G2363/F2363,0)</x:f>
        <x:v>0.3119266055045872</x:v>
      </x:c>
      <x:c r="K2363" s="312" t="str">
        <x:f>IF(B2363="Bilinmeyen Personel","Kontrol","OK")</x:f>
        <x:v>OK</x:v>
      </x:c>
    </x:row>
    <x:row r="2364" hidden="1">
      <x:c r="A2364" s="312" t="n">
        <x:f>ROW()-ROW($A$2)+1</x:f>
        <x:v>2363</x:v>
      </x:c>
      <x:c r="B2364" s="312" t="s">
        <x:v>19</x:v>
      </x:c>
      <x:c r="C2364" s="312" t="s">
        <x:v>22</x:v>
      </x:c>
      <x:c r="D2364" s="317">
        <x:v>2</x:v>
      </x:c>
      <x:c r="E2364" s="321">
        <x:v>2180</x:v>
      </x:c>
      <x:c r="F2364" s="321">
        <x:v>4360</x:v>
      </x:c>
      <x:c r="G2364" s="321">
        <x:v>1360</x:v>
      </x:c>
      <x:c r="H2364" s="312" t="s">
        <x:v>65</x:v>
      </x:c>
      <x:c r="I2364" s="312" t="s">
        <x:v>25</x:v>
      </x:c>
      <x:c r="J2364" s="316" t="n">
        <x:f>IFERROR(G2364/F2364,0)</x:f>
        <x:v>0.3119266055045872</x:v>
      </x:c>
      <x:c r="K2364" s="312" t="str">
        <x:f>IF(B2364="Bilinmeyen Personel","Kontrol","OK")</x:f>
        <x:v>OK</x:v>
      </x:c>
    </x:row>
    <x:row r="2365" hidden="1">
      <x:c r="A2365" s="312" t="n">
        <x:f>ROW()-ROW($A$2)+1</x:f>
        <x:v>2364</x:v>
      </x:c>
      <x:c r="B2365" s="312" t="s">
        <x:v>40</x:v>
      </x:c>
      <x:c r="C2365" s="312" t="s">
        <x:v>47</x:v>
      </x:c>
      <x:c r="D2365" s="317">
        <x:v>4</x:v>
      </x:c>
      <x:c r="E2365" s="321">
        <x:v>5775</x:v>
      </x:c>
      <x:c r="F2365" s="321">
        <x:v>23100</x:v>
      </x:c>
      <x:c r="G2365" s="321">
        <x:v>7100</x:v>
      </x:c>
      <x:c r="H2365" s="312" t="s">
        <x:v>65</x:v>
      </x:c>
      <x:c r="I2365" s="312" t="s">
        <x:v>42</x:v>
      </x:c>
      <x:c r="J2365" s="316" t="n">
        <x:f>IFERROR(G2365/F2365,0)</x:f>
        <x:v>0.30735930735930733</x:v>
      </x:c>
      <x:c r="K2365" s="312" t="str">
        <x:f>IF(B2365="Bilinmeyen Personel","Kontrol","OK")</x:f>
        <x:v>OK</x:v>
      </x:c>
    </x:row>
    <x:row r="2366" hidden="1">
      <x:c r="A2366" s="312" t="n">
        <x:f>ROW()-ROW($A$2)+1</x:f>
        <x:v>2365</x:v>
      </x:c>
      <x:c r="B2366" s="312" t="s">
        <x:v>40</x:v>
      </x:c>
      <x:c r="C2366" s="312" t="s">
        <x:v>27</x:v>
      </x:c>
      <x:c r="D2366" s="317">
        <x:v>4</x:v>
      </x:c>
      <x:c r="E2366" s="321">
        <x:v>1100</x:v>
      </x:c>
      <x:c r="F2366" s="321">
        <x:v>4400</x:v>
      </x:c>
      <x:c r="G2366" s="321">
        <x:v>1200</x:v>
      </x:c>
      <x:c r="H2366" s="312" t="s">
        <x:v>65</x:v>
      </x:c>
      <x:c r="I2366" s="312" t="s">
        <x:v>37</x:v>
      </x:c>
      <x:c r="J2366" s="316" t="n">
        <x:f>IFERROR(G2366/F2366,0)</x:f>
        <x:v>0.2727272727272727</x:v>
      </x:c>
      <x:c r="K2366" s="312" t="str">
        <x:f>IF(B2366="Bilinmeyen Personel","Kontrol","OK")</x:f>
        <x:v>OK</x:v>
      </x:c>
    </x:row>
    <x:row r="2367" hidden="1">
      <x:c r="A2367" s="312" t="n">
        <x:f>ROW()-ROW($A$2)+1</x:f>
        <x:v>2366</x:v>
      </x:c>
      <x:c r="B2367" s="312" t="s">
        <x:v>48</x:v>
      </x:c>
      <x:c r="C2367" s="312" t="s">
        <x:v>47</x:v>
      </x:c>
      <x:c r="D2367" s="317">
        <x:v>4</x:v>
      </x:c>
      <x:c r="E2367" s="321">
        <x:v>5775</x:v>
      </x:c>
      <x:c r="F2367" s="321">
        <x:v>23100</x:v>
      </x:c>
      <x:c r="G2367" s="321">
        <x:v>7100</x:v>
      </x:c>
      <x:c r="H2367" s="312" t="s">
        <x:v>65</x:v>
      </x:c>
      <x:c r="I2367" s="312" t="s">
        <x:v>42</x:v>
      </x:c>
      <x:c r="J2367" s="316" t="n">
        <x:f>IFERROR(G2367/F2367,0)</x:f>
        <x:v>0.30735930735930733</x:v>
      </x:c>
      <x:c r="K2367" s="312" t="str">
        <x:f>IF(B2367="Bilinmeyen Personel","Kontrol","OK")</x:f>
        <x:v>OK</x:v>
      </x:c>
    </x:row>
    <x:row r="2368" hidden="1">
      <x:c r="A2368" s="312" t="n">
        <x:f>ROW()-ROW($A$2)+1</x:f>
        <x:v>2367</x:v>
      </x:c>
      <x:c r="B2368" s="312" t="s">
        <x:v>35</x:v>
      </x:c>
      <x:c r="C2368" s="312" t="s">
        <x:v>20</x:v>
      </x:c>
      <x:c r="D2368" s="317">
        <x:v>2</x:v>
      </x:c>
      <x:c r="E2368" s="321">
        <x:v>1350</x:v>
      </x:c>
      <x:c r="F2368" s="321">
        <x:v>2700</x:v>
      </x:c>
      <x:c r="G2368" s="321">
        <x:v>1100</x:v>
      </x:c>
      <x:c r="H2368" s="312" t="s">
        <x:v>65</x:v>
      </x:c>
      <x:c r="I2368" s="312" t="s">
        <x:v>31</x:v>
      </x:c>
      <x:c r="J2368" s="316" t="n">
        <x:f>IFERROR(G2368/F2368,0)</x:f>
        <x:v>0.4074074074074074</x:v>
      </x:c>
      <x:c r="K2368" s="312" t="str">
        <x:f>IF(B2368="Bilinmeyen Personel","Kontrol","OK")</x:f>
        <x:v>OK</x:v>
      </x:c>
    </x:row>
    <x:row r="2369" hidden="1">
      <x:c r="A2369" s="312" t="n">
        <x:f>ROW()-ROW($A$2)+1</x:f>
        <x:v>2368</x:v>
      </x:c>
      <x:c r="B2369" s="312" t="s">
        <x:v>9</x:v>
      </x:c>
      <x:c r="C2369" s="312" t="s">
        <x:v>24</x:v>
      </x:c>
      <x:c r="D2369" s="317">
        <x:v>5</x:v>
      </x:c>
      <x:c r="E2369" s="321">
        <x:v>7600</x:v>
      </x:c>
      <x:c r="F2369" s="321">
        <x:v>38000</x:v>
      </x:c>
      <x:c r="G2369" s="321">
        <x:v>8000</x:v>
      </x:c>
      <x:c r="H2369" s="312" t="s">
        <x:v>65</x:v>
      </x:c>
      <x:c r="I2369" s="312" t="s">
        <x:v>28</x:v>
      </x:c>
      <x:c r="J2369" s="316" t="n">
        <x:f>IFERROR(G2369/F2369,0)</x:f>
        <x:v>0.21052631578947367</x:v>
      </x:c>
      <x:c r="K2369" s="312" t="str">
        <x:f>IF(B2369="Bilinmeyen Personel","Kontrol","OK")</x:f>
        <x:v>OK</x:v>
      </x:c>
    </x:row>
    <x:row r="2370" hidden="1">
      <x:c r="A2370" s="312" t="n">
        <x:f>ROW()-ROW($A$2)+1</x:f>
        <x:v>2369</x:v>
      </x:c>
      <x:c r="B2370" s="312" t="s">
        <x:v>16</x:v>
      </x:c>
      <x:c r="C2370" s="312" t="s">
        <x:v>26</x:v>
      </x:c>
      <x:c r="D2370" s="317">
        <x:v>2</x:v>
      </x:c>
      <x:c r="E2370" s="321">
        <x:v>7250</x:v>
      </x:c>
      <x:c r="F2370" s="321">
        <x:v>14500</x:v>
      </x:c>
      <x:c r="G2370" s="321">
        <x:v>4500</x:v>
      </x:c>
      <x:c r="H2370" s="312" t="s">
        <x:v>65</x:v>
      </x:c>
      <x:c r="I2370" s="312" t="s">
        <x:v>46</x:v>
      </x:c>
      <x:c r="J2370" s="316" t="n">
        <x:f>IFERROR(G2370/F2370,0)</x:f>
        <x:v>0.3103448275862069</x:v>
      </x:c>
      <x:c r="K2370" s="312" t="str">
        <x:f>IF(B2370="Bilinmeyen Personel","Kontrol","OK")</x:f>
        <x:v>OK</x:v>
      </x:c>
    </x:row>
    <x:row r="2371" hidden="1">
      <x:c r="A2371" s="312" t="n">
        <x:f>ROW()-ROW($A$2)+1</x:f>
        <x:v>2370</x:v>
      </x:c>
      <x:c r="B2371" s="312" t="s">
        <x:v>50</x:v>
      </x:c>
      <x:c r="C2371" s="312" t="s">
        <x:v>43</x:v>
      </x:c>
      <x:c r="D2371" s="317">
        <x:v>4</x:v>
      </x:c>
      <x:c r="E2371" s="321">
        <x:v>1490</x:v>
      </x:c>
      <x:c r="F2371" s="321">
        <x:v>5960</x:v>
      </x:c>
      <x:c r="G2371" s="321">
        <x:v>2760</x:v>
      </x:c>
      <x:c r="H2371" s="312" t="s">
        <x:v>65</x:v>
      </x:c>
      <x:c r="I2371" s="312" t="s">
        <x:v>37</x:v>
      </x:c>
      <x:c r="J2371" s="316" t="n">
        <x:f>IFERROR(G2371/F2371,0)</x:f>
        <x:v>0.46308724832214765</x:v>
      </x:c>
      <x:c r="K2371" s="312" t="str">
        <x:f>IF(B2371="Bilinmeyen Personel","Kontrol","OK")</x:f>
        <x:v>OK</x:v>
      </x:c>
    </x:row>
    <x:row r="2372" hidden="1">
      <x:c r="A2372" s="312" t="n">
        <x:f>ROW()-ROW($A$2)+1</x:f>
        <x:v>2371</x:v>
      </x:c>
      <x:c r="B2372" s="312" t="s">
        <x:v>19</x:v>
      </x:c>
      <x:c r="C2372" s="312" t="s">
        <x:v>43</x:v>
      </x:c>
      <x:c r="D2372" s="317">
        <x:v>4</x:v>
      </x:c>
      <x:c r="E2372" s="321">
        <x:v>1490</x:v>
      </x:c>
      <x:c r="F2372" s="321">
        <x:v>5960</x:v>
      </x:c>
      <x:c r="G2372" s="321">
        <x:v>2760</x:v>
      </x:c>
      <x:c r="H2372" s="312" t="s">
        <x:v>65</x:v>
      </x:c>
      <x:c r="I2372" s="312" t="s">
        <x:v>54</x:v>
      </x:c>
      <x:c r="J2372" s="316" t="n">
        <x:f>IFERROR(G2372/F2372,0)</x:f>
        <x:v>0.46308724832214765</x:v>
      </x:c>
      <x:c r="K2372" s="312" t="str">
        <x:f>IF(B2372="Bilinmeyen Personel","Kontrol","OK")</x:f>
        <x:v>OK</x:v>
      </x:c>
    </x:row>
    <x:row r="2373" hidden="1">
      <x:c r="A2373" s="312" t="n">
        <x:f>ROW()-ROW($A$2)+1</x:f>
        <x:v>2372</x:v>
      </x:c>
      <x:c r="B2373" s="312" t="s">
        <x:v>38</x:v>
      </x:c>
      <x:c r="C2373" s="312" t="s">
        <x:v>34</x:v>
      </x:c>
      <x:c r="D2373" s="317">
        <x:v>2</x:v>
      </x:c>
      <x:c r="E2373" s="321">
        <x:v>1090</x:v>
      </x:c>
      <x:c r="F2373" s="321">
        <x:v>2180</x:v>
      </x:c>
      <x:c r="G2373" s="321">
        <x:v>580</x:v>
      </x:c>
      <x:c r="H2373" s="312" t="s">
        <x:v>65</x:v>
      </x:c>
      <x:c r="I2373" s="312" t="s">
        <x:v>42</x:v>
      </x:c>
      <x:c r="J2373" s="316" t="n">
        <x:f>IFERROR(G2373/F2373,0)</x:f>
        <x:v>0.26605504587155965</x:v>
      </x:c>
      <x:c r="K2373" s="312" t="str">
        <x:f>IF(B2373="Bilinmeyen Personel","Kontrol","OK")</x:f>
        <x:v>OK</x:v>
      </x:c>
    </x:row>
    <x:row r="2374" hidden="1">
      <x:c r="A2374" s="312" t="n">
        <x:f>ROW()-ROW($A$2)+1</x:f>
        <x:v>2373</x:v>
      </x:c>
      <x:c r="B2374" s="312" t="s">
        <x:v>38</x:v>
      </x:c>
      <x:c r="C2374" s="312" t="s">
        <x:v>30</x:v>
      </x:c>
      <x:c r="D2374" s="317">
        <x:v>3</x:v>
      </x:c>
      <x:c r="E2374" s="321">
        <x:v>1200</x:v>
      </x:c>
      <x:c r="F2374" s="321">
        <x:v>3600</x:v>
      </x:c>
      <x:c r="G2374" s="321">
        <x:v>1200</x:v>
      </x:c>
      <x:c r="H2374" s="312" t="s">
        <x:v>65</x:v>
      </x:c>
      <x:c r="I2374" s="312" t="s">
        <x:v>42</x:v>
      </x:c>
      <x:c r="J2374" s="316" t="n">
        <x:f>IFERROR(G2374/F2374,0)</x:f>
        <x:v>0.3333333333333333</x:v>
      </x:c>
      <x:c r="K2374" s="312" t="str">
        <x:f>IF(B2374="Bilinmeyen Personel","Kontrol","OK")</x:f>
        <x:v>OK</x:v>
      </x:c>
    </x:row>
    <x:row r="2375" hidden="1">
      <x:c r="A2375" s="312" t="n">
        <x:f>ROW()-ROW($A$2)+1</x:f>
        <x:v>2374</x:v>
      </x:c>
      <x:c r="B2375" s="312" t="s">
        <x:v>50</x:v>
      </x:c>
      <x:c r="C2375" s="312" t="s">
        <x:v>34</x:v>
      </x:c>
      <x:c r="D2375" s="317">
        <x:v>5</x:v>
      </x:c>
      <x:c r="E2375" s="321">
        <x:v>1090</x:v>
      </x:c>
      <x:c r="F2375" s="321">
        <x:v>5450</x:v>
      </x:c>
      <x:c r="G2375" s="321">
        <x:v>1450</x:v>
      </x:c>
      <x:c r="H2375" s="312" t="s">
        <x:v>65</x:v>
      </x:c>
      <x:c r="I2375" s="312" t="s">
        <x:v>41</x:v>
      </x:c>
      <x:c r="J2375" s="316" t="n">
        <x:f>IFERROR(G2375/F2375,0)</x:f>
        <x:v>0.26605504587155965</x:v>
      </x:c>
      <x:c r="K2375" s="312" t="str">
        <x:f>IF(B2375="Bilinmeyen Personel","Kontrol","OK")</x:f>
        <x:v>OK</x:v>
      </x:c>
    </x:row>
    <x:row r="2376" hidden="1">
      <x:c r="A2376" s="312" t="n">
        <x:f>ROW()-ROW($A$2)+1</x:f>
        <x:v>2375</x:v>
      </x:c>
      <x:c r="B2376" s="312" t="s">
        <x:v>50</x:v>
      </x:c>
      <x:c r="C2376" s="312" t="s">
        <x:v>22</x:v>
      </x:c>
      <x:c r="D2376" s="317">
        <x:v>2</x:v>
      </x:c>
      <x:c r="E2376" s="321">
        <x:v>2180</x:v>
      </x:c>
      <x:c r="F2376" s="321">
        <x:v>4360</x:v>
      </x:c>
      <x:c r="G2376" s="321">
        <x:v>1360</x:v>
      </x:c>
      <x:c r="H2376" s="312" t="s">
        <x:v>65</x:v>
      </x:c>
      <x:c r="I2376" s="312" t="s">
        <x:v>28</x:v>
      </x:c>
      <x:c r="J2376" s="316" t="n">
        <x:f>IFERROR(G2376/F2376,0)</x:f>
        <x:v>0.3119266055045872</x:v>
      </x:c>
      <x:c r="K2376" s="312" t="str">
        <x:f>IF(B2376="Bilinmeyen Personel","Kontrol","OK")</x:f>
        <x:v>OK</x:v>
      </x:c>
    </x:row>
    <x:row r="2377" hidden="1">
      <x:c r="A2377" s="312" t="n">
        <x:f>ROW()-ROW($A$2)+1</x:f>
        <x:v>2376</x:v>
      </x:c>
      <x:c r="B2377" s="312" t="s">
        <x:v>16</x:v>
      </x:c>
      <x:c r="C2377" s="312" t="s">
        <x:v>56</x:v>
      </x:c>
      <x:c r="D2377" s="317">
        <x:v>2</x:v>
      </x:c>
      <x:c r="E2377" s="321">
        <x:v>5300</x:v>
      </x:c>
      <x:c r="F2377" s="321">
        <x:v>10600</x:v>
      </x:c>
      <x:c r="G2377" s="321">
        <x:v>2600</x:v>
      </x:c>
      <x:c r="H2377" s="312" t="s">
        <x:v>65</x:v>
      </x:c>
      <x:c r="I2377" s="312" t="s">
        <x:v>12</x:v>
      </x:c>
      <x:c r="J2377" s="316" t="n">
        <x:f>IFERROR(G2377/F2377,0)</x:f>
        <x:v>0.24528301886792453</x:v>
      </x:c>
      <x:c r="K2377" s="312" t="str">
        <x:f>IF(B2377="Bilinmeyen Personel","Kontrol","OK")</x:f>
        <x:v>OK</x:v>
      </x:c>
    </x:row>
    <x:row r="2378" hidden="1">
      <x:c r="A2378" s="312" t="n">
        <x:f>ROW()-ROW($A$2)+1</x:f>
        <x:v>2377</x:v>
      </x:c>
      <x:c r="B2378" s="312" t="s">
        <x:v>50</x:v>
      </x:c>
      <x:c r="C2378" s="312" t="s">
        <x:v>56</x:v>
      </x:c>
      <x:c r="D2378" s="317">
        <x:v>3</x:v>
      </x:c>
      <x:c r="E2378" s="321">
        <x:v>5300</x:v>
      </x:c>
      <x:c r="F2378" s="321">
        <x:v>15900</x:v>
      </x:c>
      <x:c r="G2378" s="321">
        <x:v>3900</x:v>
      </x:c>
      <x:c r="H2378" s="312" t="s">
        <x:v>65</x:v>
      </x:c>
      <x:c r="I2378" s="312" t="s">
        <x:v>28</x:v>
      </x:c>
      <x:c r="J2378" s="316" t="n">
        <x:f>IFERROR(G2378/F2378,0)</x:f>
        <x:v>0.24528301886792453</x:v>
      </x:c>
      <x:c r="K2378" s="312" t="str">
        <x:f>IF(B2378="Bilinmeyen Personel","Kontrol","OK")</x:f>
        <x:v>OK</x:v>
      </x:c>
    </x:row>
    <x:row r="2379" hidden="1">
      <x:c r="A2379" s="312" t="n">
        <x:f>ROW()-ROW($A$2)+1</x:f>
        <x:v>2378</x:v>
      </x:c>
      <x:c r="B2379" s="312" t="s">
        <x:v>29</x:v>
      </x:c>
      <x:c r="C2379" s="312" t="s">
        <x:v>26</x:v>
      </x:c>
      <x:c r="D2379" s="317">
        <x:v>4</x:v>
      </x:c>
      <x:c r="E2379" s="321">
        <x:v>7250</x:v>
      </x:c>
      <x:c r="F2379" s="321">
        <x:v>29000</x:v>
      </x:c>
      <x:c r="G2379" s="321">
        <x:v>9000</x:v>
      </x:c>
      <x:c r="H2379" s="312" t="s">
        <x:v>65</x:v>
      </x:c>
      <x:c r="I2379" s="312" t="s">
        <x:v>46</x:v>
      </x:c>
      <x:c r="J2379" s="316" t="n">
        <x:f>IFERROR(G2379/F2379,0)</x:f>
        <x:v>0.3103448275862069</x:v>
      </x:c>
      <x:c r="K2379" s="312" t="str">
        <x:f>IF(B2379="Bilinmeyen Personel","Kontrol","OK")</x:f>
        <x:v>OK</x:v>
      </x:c>
    </x:row>
    <x:row r="2380" hidden="1">
      <x:c r="A2380" s="312" t="n">
        <x:f>ROW()-ROW($A$2)+1</x:f>
        <x:v>2379</x:v>
      </x:c>
      <x:c r="B2380" s="312" t="s">
        <x:v>29</x:v>
      </x:c>
      <x:c r="C2380" s="312" t="s">
        <x:v>53</x:v>
      </x:c>
      <x:c r="D2380" s="317">
        <x:v>3</x:v>
      </x:c>
      <x:c r="E2380" s="321">
        <x:v>1200</x:v>
      </x:c>
      <x:c r="F2380" s="321">
        <x:v>3600</x:v>
      </x:c>
      <x:c r="G2380" s="321">
        <x:v>1200</x:v>
      </x:c>
      <x:c r="H2380" s="312" t="s">
        <x:v>65</x:v>
      </x:c>
      <x:c r="I2380" s="312" t="s">
        <x:v>44</x:v>
      </x:c>
      <x:c r="J2380" s="316" t="n">
        <x:f>IFERROR(G2380/F2380,0)</x:f>
        <x:v>0.3333333333333333</x:v>
      </x:c>
      <x:c r="K2380" s="312" t="str">
        <x:f>IF(B2380="Bilinmeyen Personel","Kontrol","OK")</x:f>
        <x:v>OK</x:v>
      </x:c>
    </x:row>
    <x:row r="2381" hidden="1">
      <x:c r="A2381" s="312" t="n">
        <x:f>ROW()-ROW($A$2)+1</x:f>
        <x:v>2380</x:v>
      </x:c>
      <x:c r="B2381" s="312" t="s">
        <x:v>19</x:v>
      </x:c>
      <x:c r="C2381" s="312" t="s">
        <x:v>10</x:v>
      </x:c>
      <x:c r="D2381" s="317">
        <x:v>3</x:v>
      </x:c>
      <x:c r="E2381" s="321">
        <x:v>6000</x:v>
      </x:c>
      <x:c r="F2381" s="321">
        <x:v>18000</x:v>
      </x:c>
      <x:c r="G2381" s="321">
        <x:v>6000</x:v>
      </x:c>
      <x:c r="H2381" s="312" t="s">
        <x:v>65</x:v>
      </x:c>
      <x:c r="I2381" s="312" t="s">
        <x:v>41</x:v>
      </x:c>
      <x:c r="J2381" s="316" t="n">
        <x:f>IFERROR(G2381/F2381,0)</x:f>
        <x:v>0.3333333333333333</x:v>
      </x:c>
      <x:c r="K2381" s="312" t="str">
        <x:f>IF(B2381="Bilinmeyen Personel","Kontrol","OK")</x:f>
        <x:v>OK</x:v>
      </x:c>
    </x:row>
    <x:row r="2382" hidden="1">
      <x:c r="A2382" s="312" t="n">
        <x:f>ROW()-ROW($A$2)+1</x:f>
        <x:v>2381</x:v>
      </x:c>
      <x:c r="B2382" s="312" t="s">
        <x:v>16</x:v>
      </x:c>
      <x:c r="C2382" s="312" t="s">
        <x:v>17</x:v>
      </x:c>
      <x:c r="D2382" s="317">
        <x:v>3</x:v>
      </x:c>
      <x:c r="E2382" s="321">
        <x:v>8450</x:v>
      </x:c>
      <x:c r="F2382" s="321">
        <x:v>25350</x:v>
      </x:c>
      <x:c r="G2382" s="321">
        <x:v>7350</x:v>
      </x:c>
      <x:c r="H2382" s="312" t="s">
        <x:v>65</x:v>
      </x:c>
      <x:c r="I2382" s="312" t="s">
        <x:v>44</x:v>
      </x:c>
      <x:c r="J2382" s="316" t="n">
        <x:f>IFERROR(G2382/F2382,0)</x:f>
        <x:v>0.28994082840236685</x:v>
      </x:c>
      <x:c r="K2382" s="312" t="str">
        <x:f>IF(B2382="Bilinmeyen Personel","Kontrol","OK")</x:f>
        <x:v>OK</x:v>
      </x:c>
    </x:row>
    <x:row r="2383" hidden="1">
      <x:c r="A2383" s="312" t="n">
        <x:f>ROW()-ROW($A$2)+1</x:f>
        <x:v>2382</x:v>
      </x:c>
      <x:c r="B2383" s="312" t="s">
        <x:v>32</x:v>
      </x:c>
      <x:c r="C2383" s="312" t="s">
        <x:v>45</x:v>
      </x:c>
      <x:c r="D2383" s="317">
        <x:v>4</x:v>
      </x:c>
      <x:c r="E2383" s="321">
        <x:v>4200</x:v>
      </x:c>
      <x:c r="F2383" s="321">
        <x:v>16800</x:v>
      </x:c>
      <x:c r="G2383" s="321">
        <x:v>4800</x:v>
      </x:c>
      <x:c r="H2383" s="312" t="s">
        <x:v>65</x:v>
      </x:c>
      <x:c r="I2383" s="312" t="s">
        <x:v>15</x:v>
      </x:c>
      <x:c r="J2383" s="316" t="n">
        <x:f>IFERROR(G2383/F2383,0)</x:f>
        <x:v>0.2857142857142857</x:v>
      </x:c>
      <x:c r="K2383" s="312" t="str">
        <x:f>IF(B2383="Bilinmeyen Personel","Kontrol","OK")</x:f>
        <x:v>OK</x:v>
      </x:c>
    </x:row>
    <x:row r="2384" hidden="1">
      <x:c r="A2384" s="312" t="n">
        <x:f>ROW()-ROW($A$2)+1</x:f>
        <x:v>2383</x:v>
      </x:c>
      <x:c r="B2384" s="312" t="s">
        <x:v>32</x:v>
      </x:c>
      <x:c r="C2384" s="312" t="s">
        <x:v>39</x:v>
      </x:c>
      <x:c r="D2384" s="317">
        <x:v>2</x:v>
      </x:c>
      <x:c r="E2384" s="321">
        <x:v>10590</x:v>
      </x:c>
      <x:c r="F2384" s="321">
        <x:v>21180</x:v>
      </x:c>
      <x:c r="G2384" s="321">
        <x:v>9180</x:v>
      </x:c>
      <x:c r="H2384" s="312" t="s">
        <x:v>65</x:v>
      </x:c>
      <x:c r="I2384" s="312" t="s">
        <x:v>54</x:v>
      </x:c>
      <x:c r="J2384" s="316" t="n">
        <x:f>IFERROR(G2384/F2384,0)</x:f>
        <x:v>0.43342776203966005</x:v>
      </x:c>
      <x:c r="K2384" s="312" t="str">
        <x:f>IF(B2384="Bilinmeyen Personel","Kontrol","OK")</x:f>
        <x:v>OK</x:v>
      </x:c>
    </x:row>
    <x:row r="2385" hidden="1">
      <x:c r="A2385" s="312" t="n">
        <x:f>ROW()-ROW($A$2)+1</x:f>
        <x:v>2384</x:v>
      </x:c>
      <x:c r="B2385" s="312" t="s">
        <x:v>29</x:v>
      </x:c>
      <x:c r="C2385" s="312" t="s">
        <x:v>53</x:v>
      </x:c>
      <x:c r="D2385" s="317">
        <x:v>3</x:v>
      </x:c>
      <x:c r="E2385" s="321">
        <x:v>1200</x:v>
      </x:c>
      <x:c r="F2385" s="321">
        <x:v>3600</x:v>
      </x:c>
      <x:c r="G2385" s="321">
        <x:v>1200</x:v>
      </x:c>
      <x:c r="H2385" s="312" t="s">
        <x:v>65</x:v>
      </x:c>
      <x:c r="I2385" s="312" t="s">
        <x:v>18</x:v>
      </x:c>
      <x:c r="J2385" s="316" t="n">
        <x:f>IFERROR(G2385/F2385,0)</x:f>
        <x:v>0.3333333333333333</x:v>
      </x:c>
      <x:c r="K2385" s="312" t="str">
        <x:f>IF(B2385="Bilinmeyen Personel","Kontrol","OK")</x:f>
        <x:v>OK</x:v>
      </x:c>
    </x:row>
    <x:row r="2386" hidden="1">
      <x:c r="A2386" s="312" t="n">
        <x:f>ROW()-ROW($A$2)+1</x:f>
        <x:v>2385</x:v>
      </x:c>
      <x:c r="B2386" s="312" t="s">
        <x:v>48</x:v>
      </x:c>
      <x:c r="C2386" s="312" t="s">
        <x:v>27</x:v>
      </x:c>
      <x:c r="D2386" s="317">
        <x:v>4</x:v>
      </x:c>
      <x:c r="E2386" s="321">
        <x:v>1100</x:v>
      </x:c>
      <x:c r="F2386" s="321">
        <x:v>4400</x:v>
      </x:c>
      <x:c r="G2386" s="321">
        <x:v>1200</x:v>
      </x:c>
      <x:c r="H2386" s="312" t="s">
        <x:v>65</x:v>
      </x:c>
      <x:c r="I2386" s="312" t="s">
        <x:v>37</x:v>
      </x:c>
      <x:c r="J2386" s="316" t="n">
        <x:f>IFERROR(G2386/F2386,0)</x:f>
        <x:v>0.2727272727272727</x:v>
      </x:c>
      <x:c r="K2386" s="312" t="str">
        <x:f>IF(B2386="Bilinmeyen Personel","Kontrol","OK")</x:f>
        <x:v>OK</x:v>
      </x:c>
    </x:row>
    <x:row r="2387" hidden="1">
      <x:c r="A2387" s="312" t="n">
        <x:f>ROW()-ROW($A$2)+1</x:f>
        <x:v>2386</x:v>
      </x:c>
      <x:c r="B2387" s="312" t="s">
        <x:v>40</x:v>
      </x:c>
      <x:c r="C2387" s="312" t="s">
        <x:v>58</x:v>
      </x:c>
      <x:c r="D2387" s="317">
        <x:v>3</x:v>
      </x:c>
      <x:c r="E2387" s="321">
        <x:v>3700</x:v>
      </x:c>
      <x:c r="F2387" s="321">
        <x:v>11100</x:v>
      </x:c>
      <x:c r="G2387" s="321">
        <x:v>2100</x:v>
      </x:c>
      <x:c r="H2387" s="312" t="s">
        <x:v>65</x:v>
      </x:c>
      <x:c r="I2387" s="312" t="s">
        <x:v>15</x:v>
      </x:c>
      <x:c r="J2387" s="316" t="n">
        <x:f>IFERROR(G2387/F2387,0)</x:f>
        <x:v>0.1891891891891892</x:v>
      </x:c>
      <x:c r="K2387" s="312" t="str">
        <x:f>IF(B2387="Bilinmeyen Personel","Kontrol","OK")</x:f>
        <x:v>OK</x:v>
      </x:c>
    </x:row>
    <x:row r="2388" hidden="1">
      <x:c r="A2388" s="312" t="n">
        <x:f>ROW()-ROW($A$2)+1</x:f>
        <x:v>2387</x:v>
      </x:c>
      <x:c r="B2388" s="312" t="s">
        <x:v>13</x:v>
      </x:c>
      <x:c r="C2388" s="312" t="s">
        <x:v>58</x:v>
      </x:c>
      <x:c r="D2388" s="317">
        <x:v>5</x:v>
      </x:c>
      <x:c r="E2388" s="321">
        <x:v>3700</x:v>
      </x:c>
      <x:c r="F2388" s="321">
        <x:v>18500</x:v>
      </x:c>
      <x:c r="G2388" s="321">
        <x:v>3500</x:v>
      </x:c>
      <x:c r="H2388" s="312" t="s">
        <x:v>65</x:v>
      </x:c>
      <x:c r="I2388" s="312" t="s">
        <x:v>41</x:v>
      </x:c>
      <x:c r="J2388" s="316" t="n">
        <x:f>IFERROR(G2388/F2388,0)</x:f>
        <x:v>0.1891891891891892</x:v>
      </x:c>
      <x:c r="K2388" s="312" t="str">
        <x:f>IF(B2388="Bilinmeyen Personel","Kontrol","OK")</x:f>
        <x:v>OK</x:v>
      </x:c>
    </x:row>
    <x:row r="2389" hidden="1">
      <x:c r="A2389" s="312" t="n">
        <x:f>ROW()-ROW($A$2)+1</x:f>
        <x:v>2388</x:v>
      </x:c>
      <x:c r="B2389" s="312" t="s">
        <x:v>32</x:v>
      </x:c>
      <x:c r="C2389" s="312" t="s">
        <x:v>27</x:v>
      </x:c>
      <x:c r="D2389" s="317">
        <x:v>4</x:v>
      </x:c>
      <x:c r="E2389" s="321">
        <x:v>1100</x:v>
      </x:c>
      <x:c r="F2389" s="321">
        <x:v>4400</x:v>
      </x:c>
      <x:c r="G2389" s="321">
        <x:v>1200</x:v>
      </x:c>
      <x:c r="H2389" s="312" t="s">
        <x:v>65</x:v>
      </x:c>
      <x:c r="I2389" s="312" t="s">
        <x:v>42</x:v>
      </x:c>
      <x:c r="J2389" s="316" t="n">
        <x:f>IFERROR(G2389/F2389,0)</x:f>
        <x:v>0.2727272727272727</x:v>
      </x:c>
      <x:c r="K2389" s="312" t="str">
        <x:f>IF(B2389="Bilinmeyen Personel","Kontrol","OK")</x:f>
        <x:v>OK</x:v>
      </x:c>
    </x:row>
    <x:row r="2390" hidden="1">
      <x:c r="A2390" s="312" t="n">
        <x:f>ROW()-ROW($A$2)+1</x:f>
        <x:v>2389</x:v>
      </x:c>
      <x:c r="B2390" s="312" t="s">
        <x:v>29</x:v>
      </x:c>
      <x:c r="C2390" s="312" t="s">
        <x:v>58</x:v>
      </x:c>
      <x:c r="D2390" s="317">
        <x:v>3</x:v>
      </x:c>
      <x:c r="E2390" s="321">
        <x:v>3700</x:v>
      </x:c>
      <x:c r="F2390" s="321">
        <x:v>11100</x:v>
      </x:c>
      <x:c r="G2390" s="321">
        <x:v>2100</x:v>
      </x:c>
      <x:c r="H2390" s="312" t="s">
        <x:v>65</x:v>
      </x:c>
      <x:c r="I2390" s="312" t="s">
        <x:v>28</x:v>
      </x:c>
      <x:c r="J2390" s="316" t="n">
        <x:f>IFERROR(G2390/F2390,0)</x:f>
        <x:v>0.1891891891891892</x:v>
      </x:c>
      <x:c r="K2390" s="312" t="str">
        <x:f>IF(B2390="Bilinmeyen Personel","Kontrol","OK")</x:f>
        <x:v>OK</x:v>
      </x:c>
    </x:row>
    <x:row r="2391" hidden="1">
      <x:c r="A2391" s="312" t="n">
        <x:f>ROW()-ROW($A$2)+1</x:f>
        <x:v>2390</x:v>
      </x:c>
      <x:c r="B2391" s="312" t="s">
        <x:v>48</x:v>
      </x:c>
      <x:c r="C2391" s="312" t="s">
        <x:v>43</x:v>
      </x:c>
      <x:c r="D2391" s="317">
        <x:v>3</x:v>
      </x:c>
      <x:c r="E2391" s="321">
        <x:v>1490</x:v>
      </x:c>
      <x:c r="F2391" s="321">
        <x:v>4470</x:v>
      </x:c>
      <x:c r="G2391" s="321">
        <x:v>2070</x:v>
      </x:c>
      <x:c r="H2391" s="312" t="s">
        <x:v>65</x:v>
      </x:c>
      <x:c r="I2391" s="312" t="s">
        <x:v>31</x:v>
      </x:c>
      <x:c r="J2391" s="316" t="n">
        <x:f>IFERROR(G2391/F2391,0)</x:f>
        <x:v>0.46308724832214765</x:v>
      </x:c>
      <x:c r="K2391" s="312" t="str">
        <x:f>IF(B2391="Bilinmeyen Personel","Kontrol","OK")</x:f>
        <x:v>OK</x:v>
      </x:c>
    </x:row>
    <x:row r="2392" hidden="1">
      <x:c r="A2392" s="312" t="n">
        <x:f>ROW()-ROW($A$2)+1</x:f>
        <x:v>2391</x:v>
      </x:c>
      <x:c r="B2392" s="312" t="s">
        <x:v>40</x:v>
      </x:c>
      <x:c r="C2392" s="312" t="s">
        <x:v>57</x:v>
      </x:c>
      <x:c r="D2392" s="317">
        <x:v>2</x:v>
      </x:c>
      <x:c r="E2392" s="321">
        <x:v>1500</x:v>
      </x:c>
      <x:c r="F2392" s="321">
        <x:v>3000</x:v>
      </x:c>
      <x:c r="G2392" s="321">
        <x:v>1400</x:v>
      </x:c>
      <x:c r="H2392" s="312" t="s">
        <x:v>65</x:v>
      </x:c>
      <x:c r="I2392" s="312" t="s">
        <x:v>28</x:v>
      </x:c>
      <x:c r="J2392" s="316" t="n">
        <x:f>IFERROR(G2392/F2392,0)</x:f>
        <x:v>0.4666666666666667</x:v>
      </x:c>
      <x:c r="K2392" s="312" t="str">
        <x:f>IF(B2392="Bilinmeyen Personel","Kontrol","OK")</x:f>
        <x:v>OK</x:v>
      </x:c>
    </x:row>
    <x:row r="2393" hidden="1">
      <x:c r="A2393" s="312" t="n">
        <x:f>ROW()-ROW($A$2)+1</x:f>
        <x:v>2392</x:v>
      </x:c>
      <x:c r="B2393" s="312" t="s">
        <x:v>38</x:v>
      </x:c>
      <x:c r="C2393" s="312" t="s">
        <x:v>34</x:v>
      </x:c>
      <x:c r="D2393" s="317">
        <x:v>2</x:v>
      </x:c>
      <x:c r="E2393" s="321">
        <x:v>1090</x:v>
      </x:c>
      <x:c r="F2393" s="321">
        <x:v>2180</x:v>
      </x:c>
      <x:c r="G2393" s="321">
        <x:v>580</x:v>
      </x:c>
      <x:c r="H2393" s="312" t="s">
        <x:v>65</x:v>
      </x:c>
      <x:c r="I2393" s="312" t="s">
        <x:v>25</x:v>
      </x:c>
      <x:c r="J2393" s="316" t="n">
        <x:f>IFERROR(G2393/F2393,0)</x:f>
        <x:v>0.26605504587155965</x:v>
      </x:c>
      <x:c r="K2393" s="312" t="str">
        <x:f>IF(B2393="Bilinmeyen Personel","Kontrol","OK")</x:f>
        <x:v>OK</x:v>
      </x:c>
    </x:row>
    <x:row r="2394" hidden="1">
      <x:c r="A2394" s="312" t="n">
        <x:f>ROW()-ROW($A$2)+1</x:f>
        <x:v>2393</x:v>
      </x:c>
      <x:c r="B2394" s="312" t="s">
        <x:v>48</x:v>
      </x:c>
      <x:c r="C2394" s="312" t="s">
        <x:v>33</x:v>
      </x:c>
      <x:c r="D2394" s="317">
        <x:v>2</x:v>
      </x:c>
      <x:c r="E2394" s="321">
        <x:v>1800</x:v>
      </x:c>
      <x:c r="F2394" s="321">
        <x:v>3600</x:v>
      </x:c>
      <x:c r="G2394" s="321">
        <x:v>2000</x:v>
      </x:c>
      <x:c r="H2394" s="312" t="s">
        <x:v>65</x:v>
      </x:c>
      <x:c r="I2394" s="312" t="s">
        <x:v>15</x:v>
      </x:c>
      <x:c r="J2394" s="316" t="n">
        <x:f>IFERROR(G2394/F2394,0)</x:f>
        <x:v>0.5555555555555556</x:v>
      </x:c>
      <x:c r="K2394" s="312" t="str">
        <x:f>IF(B2394="Bilinmeyen Personel","Kontrol","OK")</x:f>
        <x:v>OK</x:v>
      </x:c>
    </x:row>
    <x:row r="2395" hidden="1">
      <x:c r="A2395" s="312" t="n">
        <x:f>ROW()-ROW($A$2)+1</x:f>
        <x:v>2394</x:v>
      </x:c>
      <x:c r="B2395" s="312" t="s">
        <x:v>35</x:v>
      </x:c>
      <x:c r="C2395" s="312" t="s">
        <x:v>55</x:v>
      </x:c>
      <x:c r="D2395" s="317">
        <x:v>5</x:v>
      </x:c>
      <x:c r="E2395" s="321">
        <x:v>7530</x:v>
      </x:c>
      <x:c r="F2395" s="321">
        <x:v>37650</x:v>
      </x:c>
      <x:c r="G2395" s="321">
        <x:v>7650</x:v>
      </x:c>
      <x:c r="H2395" s="312" t="s">
        <x:v>65</x:v>
      </x:c>
      <x:c r="I2395" s="312" t="s">
        <x:v>41</x:v>
      </x:c>
      <x:c r="J2395" s="316" t="n">
        <x:f>IFERROR(G2395/F2395,0)</x:f>
        <x:v>0.20318725099601595</x:v>
      </x:c>
      <x:c r="K2395" s="312" t="str">
        <x:f>IF(B2395="Bilinmeyen Personel","Kontrol","OK")</x:f>
        <x:v>OK</x:v>
      </x:c>
    </x:row>
    <x:row r="2396" hidden="1">
      <x:c r="A2396" s="312" t="n">
        <x:f>ROW()-ROW($A$2)+1</x:f>
        <x:v>2395</x:v>
      </x:c>
      <x:c r="B2396" s="312" t="s">
        <x:v>32</x:v>
      </x:c>
      <x:c r="C2396" s="312" t="s">
        <x:v>27</x:v>
      </x:c>
      <x:c r="D2396" s="317">
        <x:v>3</x:v>
      </x:c>
      <x:c r="E2396" s="321">
        <x:v>1100</x:v>
      </x:c>
      <x:c r="F2396" s="321">
        <x:v>3300</x:v>
      </x:c>
      <x:c r="G2396" s="321">
        <x:v>900</x:v>
      </x:c>
      <x:c r="H2396" s="312" t="s">
        <x:v>65</x:v>
      </x:c>
      <x:c r="I2396" s="312" t="s">
        <x:v>42</x:v>
      </x:c>
      <x:c r="J2396" s="316" t="n">
        <x:f>IFERROR(G2396/F2396,0)</x:f>
        <x:v>0.2727272727272727</x:v>
      </x:c>
      <x:c r="K2396" s="312" t="str">
        <x:f>IF(B2396="Bilinmeyen Personel","Kontrol","OK")</x:f>
        <x:v>OK</x:v>
      </x:c>
    </x:row>
    <x:row r="2397" hidden="1">
      <x:c r="A2397" s="312" t="n">
        <x:f>ROW()-ROW($A$2)+1</x:f>
        <x:v>2396</x:v>
      </x:c>
      <x:c r="B2397" s="312" t="s">
        <x:v>40</x:v>
      </x:c>
      <x:c r="C2397" s="312" t="s">
        <x:v>20</x:v>
      </x:c>
      <x:c r="D2397" s="317">
        <x:v>3</x:v>
      </x:c>
      <x:c r="E2397" s="321">
        <x:v>1350</x:v>
      </x:c>
      <x:c r="F2397" s="321">
        <x:v>4050</x:v>
      </x:c>
      <x:c r="G2397" s="321">
        <x:v>1650</x:v>
      </x:c>
      <x:c r="H2397" s="312" t="s">
        <x:v>65</x:v>
      </x:c>
      <x:c r="I2397" s="312" t="s">
        <x:v>41</x:v>
      </x:c>
      <x:c r="J2397" s="316" t="n">
        <x:f>IFERROR(G2397/F2397,0)</x:f>
        <x:v>0.4074074074074074</x:v>
      </x:c>
      <x:c r="K2397" s="312" t="str">
        <x:f>IF(B2397="Bilinmeyen Personel","Kontrol","OK")</x:f>
        <x:v>OK</x:v>
      </x:c>
    </x:row>
    <x:row r="2398" hidden="1">
      <x:c r="A2398" s="312" t="n">
        <x:f>ROW()-ROW($A$2)+1</x:f>
        <x:v>2397</x:v>
      </x:c>
      <x:c r="B2398" s="312" t="s">
        <x:v>38</x:v>
      </x:c>
      <x:c r="C2398" s="312" t="s">
        <x:v>20</x:v>
      </x:c>
      <x:c r="D2398" s="317">
        <x:v>2</x:v>
      </x:c>
      <x:c r="E2398" s="321">
        <x:v>1350</x:v>
      </x:c>
      <x:c r="F2398" s="321">
        <x:v>2700</x:v>
      </x:c>
      <x:c r="G2398" s="321">
        <x:v>1100</x:v>
      </x:c>
      <x:c r="H2398" s="312" t="s">
        <x:v>65</x:v>
      </x:c>
      <x:c r="I2398" s="312" t="s">
        <x:v>21</x:v>
      </x:c>
      <x:c r="J2398" s="316" t="n">
        <x:f>IFERROR(G2398/F2398,0)</x:f>
        <x:v>0.4074074074074074</x:v>
      </x:c>
      <x:c r="K2398" s="312" t="str">
        <x:f>IF(B2398="Bilinmeyen Personel","Kontrol","OK")</x:f>
        <x:v>OK</x:v>
      </x:c>
    </x:row>
    <x:row r="2399" hidden="1">
      <x:c r="A2399" s="312" t="n">
        <x:f>ROW()-ROW($A$2)+1</x:f>
        <x:v>2398</x:v>
      </x:c>
      <x:c r="B2399" s="312" t="s">
        <x:v>35</x:v>
      </x:c>
      <x:c r="C2399" s="312" t="s">
        <x:v>34</x:v>
      </x:c>
      <x:c r="D2399" s="317">
        <x:v>3</x:v>
      </x:c>
      <x:c r="E2399" s="321">
        <x:v>1090</x:v>
      </x:c>
      <x:c r="F2399" s="321">
        <x:v>3270</x:v>
      </x:c>
      <x:c r="G2399" s="321">
        <x:v>870</x:v>
      </x:c>
      <x:c r="H2399" s="312" t="s">
        <x:v>65</x:v>
      </x:c>
      <x:c r="I2399" s="312" t="s">
        <x:v>46</x:v>
      </x:c>
      <x:c r="J2399" s="316" t="n">
        <x:f>IFERROR(G2399/F2399,0)</x:f>
        <x:v>0.26605504587155965</x:v>
      </x:c>
      <x:c r="K2399" s="312" t="str">
        <x:f>IF(B2399="Bilinmeyen Personel","Kontrol","OK")</x:f>
        <x:v>OK</x:v>
      </x:c>
    </x:row>
    <x:row r="2400" hidden="1">
      <x:c r="A2400" s="312" t="n">
        <x:f>ROW()-ROW($A$2)+1</x:f>
        <x:v>2399</x:v>
      </x:c>
      <x:c r="B2400" s="312" t="s">
        <x:v>35</x:v>
      </x:c>
      <x:c r="C2400" s="312" t="s">
        <x:v>45</x:v>
      </x:c>
      <x:c r="D2400" s="317">
        <x:v>2</x:v>
      </x:c>
      <x:c r="E2400" s="321">
        <x:v>4200</x:v>
      </x:c>
      <x:c r="F2400" s="321">
        <x:v>8400</x:v>
      </x:c>
      <x:c r="G2400" s="321">
        <x:v>2400</x:v>
      </x:c>
      <x:c r="H2400" s="312" t="s">
        <x:v>65</x:v>
      </x:c>
      <x:c r="I2400" s="312" t="s">
        <x:v>42</x:v>
      </x:c>
      <x:c r="J2400" s="316" t="n">
        <x:f>IFERROR(G2400/F2400,0)</x:f>
        <x:v>0.2857142857142857</x:v>
      </x:c>
      <x:c r="K2400" s="312" t="str">
        <x:f>IF(B2400="Bilinmeyen Personel","Kontrol","OK")</x:f>
        <x:v>OK</x:v>
      </x:c>
    </x:row>
    <x:row r="2401" hidden="1">
      <x:c r="A2401" s="312" t="n">
        <x:f>ROW()-ROW($A$2)+1</x:f>
        <x:v>2400</x:v>
      </x:c>
      <x:c r="B2401" s="312" t="s">
        <x:v>40</x:v>
      </x:c>
      <x:c r="C2401" s="312" t="s">
        <x:v>33</x:v>
      </x:c>
      <x:c r="D2401" s="317">
        <x:v>2</x:v>
      </x:c>
      <x:c r="E2401" s="321">
        <x:v>1800</x:v>
      </x:c>
      <x:c r="F2401" s="321">
        <x:v>3600</x:v>
      </x:c>
      <x:c r="G2401" s="321">
        <x:v>2000</x:v>
      </x:c>
      <x:c r="H2401" s="312" t="s">
        <x:v>65</x:v>
      </x:c>
      <x:c r="I2401" s="312" t="s">
        <x:v>15</x:v>
      </x:c>
      <x:c r="J2401" s="316" t="n">
        <x:f>IFERROR(G2401/F2401,0)</x:f>
        <x:v>0.5555555555555556</x:v>
      </x:c>
      <x:c r="K2401" s="312" t="str">
        <x:f>IF(B2401="Bilinmeyen Personel","Kontrol","OK")</x:f>
        <x:v>OK</x:v>
      </x:c>
    </x:row>
    <x:row r="2402" hidden="1">
      <x:c r="A2402" s="312" t="n">
        <x:f>ROW()-ROW($A$2)+1</x:f>
        <x:v>2401</x:v>
      </x:c>
      <x:c r="B2402" s="312" t="s">
        <x:v>50</x:v>
      </x:c>
      <x:c r="C2402" s="312" t="s">
        <x:v>34</x:v>
      </x:c>
      <x:c r="D2402" s="317">
        <x:v>5</x:v>
      </x:c>
      <x:c r="E2402" s="321">
        <x:v>1090</x:v>
      </x:c>
      <x:c r="F2402" s="321">
        <x:v>5450</x:v>
      </x:c>
      <x:c r="G2402" s="321">
        <x:v>1450</x:v>
      </x:c>
      <x:c r="H2402" s="312" t="s">
        <x:v>65</x:v>
      </x:c>
      <x:c r="I2402" s="312" t="s">
        <x:v>46</x:v>
      </x:c>
      <x:c r="J2402" s="316" t="n">
        <x:f>IFERROR(G2402/F2402,0)</x:f>
        <x:v>0.26605504587155965</x:v>
      </x:c>
      <x:c r="K2402" s="312" t="str">
        <x:f>IF(B2402="Bilinmeyen Personel","Kontrol","OK")</x:f>
        <x:v>OK</x:v>
      </x:c>
    </x:row>
    <x:row r="2403" hidden="1">
      <x:c r="A2403" s="312" t="n">
        <x:f>ROW()-ROW($A$2)+1</x:f>
        <x:v>2402</x:v>
      </x:c>
      <x:c r="B2403" s="312" t="s">
        <x:v>9</x:v>
      </x:c>
      <x:c r="C2403" s="312" t="s">
        <x:v>24</x:v>
      </x:c>
      <x:c r="D2403" s="317">
        <x:v>5</x:v>
      </x:c>
      <x:c r="E2403" s="321">
        <x:v>7600</x:v>
      </x:c>
      <x:c r="F2403" s="321">
        <x:v>38000</x:v>
      </x:c>
      <x:c r="G2403" s="321">
        <x:v>8000</x:v>
      </x:c>
      <x:c r="H2403" s="312" t="s">
        <x:v>65</x:v>
      </x:c>
      <x:c r="I2403" s="312" t="s">
        <x:v>41</x:v>
      </x:c>
      <x:c r="J2403" s="316" t="n">
        <x:f>IFERROR(G2403/F2403,0)</x:f>
        <x:v>0.21052631578947367</x:v>
      </x:c>
      <x:c r="K2403" s="312" t="str">
        <x:f>IF(B2403="Bilinmeyen Personel","Kontrol","OK")</x:f>
        <x:v>OK</x:v>
      </x:c>
    </x:row>
    <x:row r="2404" hidden="1">
      <x:c r="A2404" s="312" t="n">
        <x:f>ROW()-ROW($A$2)+1</x:f>
        <x:v>2403</x:v>
      </x:c>
      <x:c r="B2404" s="312" t="s">
        <x:v>38</x:v>
      </x:c>
      <x:c r="C2404" s="312" t="s">
        <x:v>24</x:v>
      </x:c>
      <x:c r="D2404" s="317">
        <x:v>3</x:v>
      </x:c>
      <x:c r="E2404" s="321">
        <x:v>7600</x:v>
      </x:c>
      <x:c r="F2404" s="321">
        <x:v>22800</x:v>
      </x:c>
      <x:c r="G2404" s="321">
        <x:v>4800</x:v>
      </x:c>
      <x:c r="H2404" s="312" t="s">
        <x:v>65</x:v>
      </x:c>
      <x:c r="I2404" s="312" t="s">
        <x:v>37</x:v>
      </x:c>
      <x:c r="J2404" s="316" t="n">
        <x:f>IFERROR(G2404/F2404,0)</x:f>
        <x:v>0.21052631578947367</x:v>
      </x:c>
      <x:c r="K2404" s="312" t="str">
        <x:f>IF(B2404="Bilinmeyen Personel","Kontrol","OK")</x:f>
        <x:v>OK</x:v>
      </x:c>
    </x:row>
    <x:row r="2405" hidden="1">
      <x:c r="A2405" s="312" t="n">
        <x:f>ROW()-ROW($A$2)+1</x:f>
        <x:v>2404</x:v>
      </x:c>
      <x:c r="B2405" s="312" t="s">
        <x:v>16</x:v>
      </x:c>
      <x:c r="C2405" s="312" t="s">
        <x:v>58</x:v>
      </x:c>
      <x:c r="D2405" s="317">
        <x:v>3</x:v>
      </x:c>
      <x:c r="E2405" s="321">
        <x:v>3700</x:v>
      </x:c>
      <x:c r="F2405" s="321">
        <x:v>11100</x:v>
      </x:c>
      <x:c r="G2405" s="321">
        <x:v>2100</x:v>
      </x:c>
      <x:c r="H2405" s="312" t="s">
        <x:v>65</x:v>
      </x:c>
      <x:c r="I2405" s="312" t="s">
        <x:v>46</x:v>
      </x:c>
      <x:c r="J2405" s="316" t="n">
        <x:f>IFERROR(G2405/F2405,0)</x:f>
        <x:v>0.1891891891891892</x:v>
      </x:c>
      <x:c r="K2405" s="312" t="str">
        <x:f>IF(B2405="Bilinmeyen Personel","Kontrol","OK")</x:f>
        <x:v>OK</x:v>
      </x:c>
    </x:row>
    <x:row r="2406" hidden="1">
      <x:c r="A2406" s="312" t="n">
        <x:f>ROW()-ROW($A$2)+1</x:f>
        <x:v>2405</x:v>
      </x:c>
      <x:c r="B2406" s="312" t="s">
        <x:v>23</x:v>
      </x:c>
      <x:c r="C2406" s="312" t="s">
        <x:v>26</x:v>
      </x:c>
      <x:c r="D2406" s="317">
        <x:v>5</x:v>
      </x:c>
      <x:c r="E2406" s="321">
        <x:v>7250</x:v>
      </x:c>
      <x:c r="F2406" s="321">
        <x:v>36250</x:v>
      </x:c>
      <x:c r="G2406" s="321">
        <x:v>11250</x:v>
      </x:c>
      <x:c r="H2406" s="312" t="s">
        <x:v>65</x:v>
      </x:c>
      <x:c r="I2406" s="312" t="s">
        <x:v>44</x:v>
      </x:c>
      <x:c r="J2406" s="316" t="n">
        <x:f>IFERROR(G2406/F2406,0)</x:f>
        <x:v>0.3103448275862069</x:v>
      </x:c>
      <x:c r="K2406" s="312" t="str">
        <x:f>IF(B2406="Bilinmeyen Personel","Kontrol","OK")</x:f>
        <x:v>OK</x:v>
      </x:c>
    </x:row>
    <x:row r="2407" hidden="1">
      <x:c r="A2407" s="312" t="n">
        <x:f>ROW()-ROW($A$2)+1</x:f>
        <x:v>2406</x:v>
      </x:c>
      <x:c r="B2407" s="312" t="s">
        <x:v>13</x:v>
      </x:c>
      <x:c r="C2407" s="312" t="s">
        <x:v>24</x:v>
      </x:c>
      <x:c r="D2407" s="317">
        <x:v>5</x:v>
      </x:c>
      <x:c r="E2407" s="321">
        <x:v>7600</x:v>
      </x:c>
      <x:c r="F2407" s="321">
        <x:v>38000</x:v>
      </x:c>
      <x:c r="G2407" s="321">
        <x:v>8000</x:v>
      </x:c>
      <x:c r="H2407" s="312" t="s">
        <x:v>65</x:v>
      </x:c>
      <x:c r="I2407" s="312" t="s">
        <x:v>21</x:v>
      </x:c>
      <x:c r="J2407" s="316" t="n">
        <x:f>IFERROR(G2407/F2407,0)</x:f>
        <x:v>0.21052631578947367</x:v>
      </x:c>
      <x:c r="K2407" s="312" t="str">
        <x:f>IF(B2407="Bilinmeyen Personel","Kontrol","OK")</x:f>
        <x:v>OK</x:v>
      </x:c>
    </x:row>
    <x:row r="2408" hidden="1">
      <x:c r="A2408" s="312" t="n">
        <x:f>ROW()-ROW($A$2)+1</x:f>
        <x:v>2407</x:v>
      </x:c>
      <x:c r="B2408" s="312" t="s">
        <x:v>48</x:v>
      </x:c>
      <x:c r="C2408" s="312" t="s">
        <x:v>45</x:v>
      </x:c>
      <x:c r="D2408" s="317">
        <x:v>4</x:v>
      </x:c>
      <x:c r="E2408" s="321">
        <x:v>4200</x:v>
      </x:c>
      <x:c r="F2408" s="321">
        <x:v>16800</x:v>
      </x:c>
      <x:c r="G2408" s="321">
        <x:v>4800</x:v>
      </x:c>
      <x:c r="H2408" s="312" t="s">
        <x:v>65</x:v>
      </x:c>
      <x:c r="I2408" s="312" t="s">
        <x:v>54</x:v>
      </x:c>
      <x:c r="J2408" s="316" t="n">
        <x:f>IFERROR(G2408/F2408,0)</x:f>
        <x:v>0.2857142857142857</x:v>
      </x:c>
      <x:c r="K2408" s="312" t="str">
        <x:f>IF(B2408="Bilinmeyen Personel","Kontrol","OK")</x:f>
        <x:v>OK</x:v>
      </x:c>
    </x:row>
    <x:row r="2409" hidden="1">
      <x:c r="A2409" s="312" t="n">
        <x:f>ROW()-ROW($A$2)+1</x:f>
        <x:v>2408</x:v>
      </x:c>
      <x:c r="B2409" s="312" t="s">
        <x:v>32</x:v>
      </x:c>
      <x:c r="C2409" s="312" t="s">
        <x:v>52</x:v>
      </x:c>
      <x:c r="D2409" s="317">
        <x:v>5</x:v>
      </x:c>
      <x:c r="E2409" s="321">
        <x:v>1250</x:v>
      </x:c>
      <x:c r="F2409" s="321">
        <x:v>6250</x:v>
      </x:c>
      <x:c r="G2409" s="321">
        <x:v>2250</x:v>
      </x:c>
      <x:c r="H2409" s="312" t="s">
        <x:v>65</x:v>
      </x:c>
      <x:c r="I2409" s="312" t="s">
        <x:v>25</x:v>
      </x:c>
      <x:c r="J2409" s="316" t="n">
        <x:f>IFERROR(G2409/F2409,0)</x:f>
        <x:v>0.36</x:v>
      </x:c>
      <x:c r="K2409" s="312" t="str">
        <x:f>IF(B2409="Bilinmeyen Personel","Kontrol","OK")</x:f>
        <x:v>OK</x:v>
      </x:c>
    </x:row>
    <x:row r="2410" hidden="1">
      <x:c r="A2410" s="312" t="n">
        <x:f>ROW()-ROW($A$2)+1</x:f>
        <x:v>2409</x:v>
      </x:c>
      <x:c r="B2410" s="312" t="s">
        <x:v>38</x:v>
      </x:c>
      <x:c r="C2410" s="312" t="s">
        <x:v>34</x:v>
      </x:c>
      <x:c r="D2410" s="317">
        <x:v>2</x:v>
      </x:c>
      <x:c r="E2410" s="321">
        <x:v>1090</x:v>
      </x:c>
      <x:c r="F2410" s="321">
        <x:v>2180</x:v>
      </x:c>
      <x:c r="G2410" s="321">
        <x:v>580</x:v>
      </x:c>
      <x:c r="H2410" s="312" t="s">
        <x:v>65</x:v>
      </x:c>
      <x:c r="I2410" s="312" t="s">
        <x:v>37</x:v>
      </x:c>
      <x:c r="J2410" s="316" t="n">
        <x:f>IFERROR(G2410/F2410,0)</x:f>
        <x:v>0.26605504587155965</x:v>
      </x:c>
      <x:c r="K2410" s="312" t="str">
        <x:f>IF(B2410="Bilinmeyen Personel","Kontrol","OK")</x:f>
        <x:v>OK</x:v>
      </x:c>
    </x:row>
    <x:row r="2411" hidden="1">
      <x:c r="A2411" s="312" t="n">
        <x:f>ROW()-ROW($A$2)+1</x:f>
        <x:v>2410</x:v>
      </x:c>
      <x:c r="B2411" s="312" t="s">
        <x:v>19</x:v>
      </x:c>
      <x:c r="C2411" s="312" t="s">
        <x:v>22</x:v>
      </x:c>
      <x:c r="D2411" s="317">
        <x:v>3</x:v>
      </x:c>
      <x:c r="E2411" s="321">
        <x:v>2180</x:v>
      </x:c>
      <x:c r="F2411" s="321">
        <x:v>6540</x:v>
      </x:c>
      <x:c r="G2411" s="321">
        <x:v>2040</x:v>
      </x:c>
      <x:c r="H2411" s="312" t="s">
        <x:v>65</x:v>
      </x:c>
      <x:c r="I2411" s="312" t="s">
        <x:v>54</x:v>
      </x:c>
      <x:c r="J2411" s="316" t="n">
        <x:f>IFERROR(G2411/F2411,0)</x:f>
        <x:v>0.3119266055045872</x:v>
      </x:c>
      <x:c r="K2411" s="312" t="str">
        <x:f>IF(B2411="Bilinmeyen Personel","Kontrol","OK")</x:f>
        <x:v>OK</x:v>
      </x:c>
    </x:row>
    <x:row r="2412" hidden="1">
      <x:c r="A2412" s="312" t="n">
        <x:f>ROW()-ROW($A$2)+1</x:f>
        <x:v>2411</x:v>
      </x:c>
      <x:c r="B2412" s="312" t="s">
        <x:v>50</x:v>
      </x:c>
      <x:c r="C2412" s="312" t="s">
        <x:v>58</x:v>
      </x:c>
      <x:c r="D2412" s="317">
        <x:v>2</x:v>
      </x:c>
      <x:c r="E2412" s="321">
        <x:v>3700</x:v>
      </x:c>
      <x:c r="F2412" s="321">
        <x:v>7400</x:v>
      </x:c>
      <x:c r="G2412" s="321">
        <x:v>1400</x:v>
      </x:c>
      <x:c r="H2412" s="312" t="s">
        <x:v>65</x:v>
      </x:c>
      <x:c r="I2412" s="312" t="s">
        <x:v>25</x:v>
      </x:c>
      <x:c r="J2412" s="316" t="n">
        <x:f>IFERROR(G2412/F2412,0)</x:f>
        <x:v>0.1891891891891892</x:v>
      </x:c>
      <x:c r="K2412" s="312" t="str">
        <x:f>IF(B2412="Bilinmeyen Personel","Kontrol","OK")</x:f>
        <x:v>OK</x:v>
      </x:c>
    </x:row>
    <x:row r="2413" hidden="1">
      <x:c r="A2413" s="312" t="n">
        <x:f>ROW()-ROW($A$2)+1</x:f>
        <x:v>2412</x:v>
      </x:c>
      <x:c r="B2413" s="312" t="s">
        <x:v>40</x:v>
      </x:c>
      <x:c r="C2413" s="312" t="s">
        <x:v>10</x:v>
      </x:c>
      <x:c r="D2413" s="317">
        <x:v>2</x:v>
      </x:c>
      <x:c r="E2413" s="321">
        <x:v>6000</x:v>
      </x:c>
      <x:c r="F2413" s="321">
        <x:v>12000</x:v>
      </x:c>
      <x:c r="G2413" s="321">
        <x:v>4000</x:v>
      </x:c>
      <x:c r="H2413" s="312" t="s">
        <x:v>65</x:v>
      </x:c>
      <x:c r="I2413" s="312" t="s">
        <x:v>46</x:v>
      </x:c>
      <x:c r="J2413" s="316" t="n">
        <x:f>IFERROR(G2413/F2413,0)</x:f>
        <x:v>0.3333333333333333</x:v>
      </x:c>
      <x:c r="K2413" s="312" t="str">
        <x:f>IF(B2413="Bilinmeyen Personel","Kontrol","OK")</x:f>
        <x:v>OK</x:v>
      </x:c>
    </x:row>
    <x:row r="2414" hidden="1">
      <x:c r="A2414" s="312" t="n">
        <x:f>ROW()-ROW($A$2)+1</x:f>
        <x:v>2413</x:v>
      </x:c>
      <x:c r="B2414" s="312" t="s">
        <x:v>48</x:v>
      </x:c>
      <x:c r="C2414" s="312" t="s">
        <x:v>52</x:v>
      </x:c>
      <x:c r="D2414" s="317">
        <x:v>2</x:v>
      </x:c>
      <x:c r="E2414" s="321">
        <x:v>1250</x:v>
      </x:c>
      <x:c r="F2414" s="321">
        <x:v>2500</x:v>
      </x:c>
      <x:c r="G2414" s="321">
        <x:v>900</x:v>
      </x:c>
      <x:c r="H2414" s="312" t="s">
        <x:v>65</x:v>
      </x:c>
      <x:c r="I2414" s="312" t="s">
        <x:v>12</x:v>
      </x:c>
      <x:c r="J2414" s="316" t="n">
        <x:f>IFERROR(G2414/F2414,0)</x:f>
        <x:v>0.36</x:v>
      </x:c>
      <x:c r="K2414" s="312" t="str">
        <x:f>IF(B2414="Bilinmeyen Personel","Kontrol","OK")</x:f>
        <x:v>OK</x:v>
      </x:c>
    </x:row>
    <x:row r="2415" hidden="1">
      <x:c r="A2415" s="312" t="n">
        <x:f>ROW()-ROW($A$2)+1</x:f>
        <x:v>2414</x:v>
      </x:c>
      <x:c r="B2415" s="312" t="s">
        <x:v>50</x:v>
      </x:c>
      <x:c r="C2415" s="312" t="s">
        <x:v>24</x:v>
      </x:c>
      <x:c r="D2415" s="317">
        <x:v>2</x:v>
      </x:c>
      <x:c r="E2415" s="321">
        <x:v>7600</x:v>
      </x:c>
      <x:c r="F2415" s="321">
        <x:v>15200</x:v>
      </x:c>
      <x:c r="G2415" s="321">
        <x:v>3200</x:v>
      </x:c>
      <x:c r="H2415" s="312" t="s">
        <x:v>65</x:v>
      </x:c>
      <x:c r="I2415" s="312" t="s">
        <x:v>42</x:v>
      </x:c>
      <x:c r="J2415" s="316" t="n">
        <x:f>IFERROR(G2415/F2415,0)</x:f>
        <x:v>0.21052631578947367</x:v>
      </x:c>
      <x:c r="K2415" s="312" t="str">
        <x:f>IF(B2415="Bilinmeyen Personel","Kontrol","OK")</x:f>
        <x:v>OK</x:v>
      </x:c>
    </x:row>
    <x:row r="2416" hidden="1">
      <x:c r="A2416" s="312" t="n">
        <x:f>ROW()-ROW($A$2)+1</x:f>
        <x:v>2415</x:v>
      </x:c>
      <x:c r="B2416" s="312" t="s">
        <x:v>9</x:v>
      </x:c>
      <x:c r="C2416" s="312" t="s">
        <x:v>14</x:v>
      </x:c>
      <x:c r="D2416" s="317">
        <x:v>3</x:v>
      </x:c>
      <x:c r="E2416" s="321">
        <x:v>1400</x:v>
      </x:c>
      <x:c r="F2416" s="321">
        <x:v>4200</x:v>
      </x:c>
      <x:c r="G2416" s="321">
        <x:v>1800</x:v>
      </x:c>
      <x:c r="H2416" s="312" t="s">
        <x:v>65</x:v>
      </x:c>
      <x:c r="I2416" s="312" t="s">
        <x:v>42</x:v>
      </x:c>
      <x:c r="J2416" s="316" t="n">
        <x:f>IFERROR(G2416/F2416,0)</x:f>
        <x:v>0.42857142857142855</x:v>
      </x:c>
      <x:c r="K2416" s="312" t="str">
        <x:f>IF(B2416="Bilinmeyen Personel","Kontrol","OK")</x:f>
        <x:v>OK</x:v>
      </x:c>
    </x:row>
    <x:row r="2417" hidden="1">
      <x:c r="A2417" s="312" t="n">
        <x:f>ROW()-ROW($A$2)+1</x:f>
        <x:v>2416</x:v>
      </x:c>
      <x:c r="B2417" s="312" t="s">
        <x:v>23</x:v>
      </x:c>
      <x:c r="C2417" s="312" t="s">
        <x:v>22</x:v>
      </x:c>
      <x:c r="D2417" s="317">
        <x:v>5</x:v>
      </x:c>
      <x:c r="E2417" s="321">
        <x:v>2180</x:v>
      </x:c>
      <x:c r="F2417" s="321">
        <x:v>10900</x:v>
      </x:c>
      <x:c r="G2417" s="321">
        <x:v>3400</x:v>
      </x:c>
      <x:c r="H2417" s="312" t="s">
        <x:v>65</x:v>
      </x:c>
      <x:c r="I2417" s="312" t="s">
        <x:v>44</x:v>
      </x:c>
      <x:c r="J2417" s="316" t="n">
        <x:f>IFERROR(G2417/F2417,0)</x:f>
        <x:v>0.3119266055045872</x:v>
      </x:c>
      <x:c r="K2417" s="312" t="str">
        <x:f>IF(B2417="Bilinmeyen Personel","Kontrol","OK")</x:f>
        <x:v>OK</x:v>
      </x:c>
    </x:row>
    <x:row r="2418" hidden="1">
      <x:c r="A2418" s="312" t="n">
        <x:f>ROW()-ROW($A$2)+1</x:f>
        <x:v>2417</x:v>
      </x:c>
      <x:c r="B2418" s="312" t="s">
        <x:v>9</x:v>
      </x:c>
      <x:c r="C2418" s="312" t="s">
        <x:v>33</x:v>
      </x:c>
      <x:c r="D2418" s="317">
        <x:v>3</x:v>
      </x:c>
      <x:c r="E2418" s="321">
        <x:v>1800</x:v>
      </x:c>
      <x:c r="F2418" s="321">
        <x:v>5400</x:v>
      </x:c>
      <x:c r="G2418" s="321">
        <x:v>3000</x:v>
      </x:c>
      <x:c r="H2418" s="312" t="s">
        <x:v>65</x:v>
      </x:c>
      <x:c r="I2418" s="312" t="s">
        <x:v>41</x:v>
      </x:c>
      <x:c r="J2418" s="316" t="n">
        <x:f>IFERROR(G2418/F2418,0)</x:f>
        <x:v>0.5555555555555556</x:v>
      </x:c>
      <x:c r="K2418" s="312" t="str">
        <x:f>IF(B2418="Bilinmeyen Personel","Kontrol","OK")</x:f>
        <x:v>OK</x:v>
      </x:c>
    </x:row>
    <x:row r="2419" hidden="1">
      <x:c r="A2419" s="312" t="n">
        <x:f>ROW()-ROW($A$2)+1</x:f>
        <x:v>2418</x:v>
      </x:c>
      <x:c r="B2419" s="312" t="s">
        <x:v>16</x:v>
      </x:c>
      <x:c r="C2419" s="312" t="s">
        <x:v>57</x:v>
      </x:c>
      <x:c r="D2419" s="317">
        <x:v>4</x:v>
      </x:c>
      <x:c r="E2419" s="321">
        <x:v>1500</x:v>
      </x:c>
      <x:c r="F2419" s="321">
        <x:v>6000</x:v>
      </x:c>
      <x:c r="G2419" s="321">
        <x:v>2800</x:v>
      </x:c>
      <x:c r="H2419" s="312" t="s">
        <x:v>65</x:v>
      </x:c>
      <x:c r="I2419" s="312" t="s">
        <x:v>37</x:v>
      </x:c>
      <x:c r="J2419" s="316" t="n">
        <x:f>IFERROR(G2419/F2419,0)</x:f>
        <x:v>0.4666666666666667</x:v>
      </x:c>
      <x:c r="K2419" s="312" t="str">
        <x:f>IF(B2419="Bilinmeyen Personel","Kontrol","OK")</x:f>
        <x:v>OK</x:v>
      </x:c>
    </x:row>
    <x:row r="2420" hidden="1">
      <x:c r="A2420" s="312" t="n">
        <x:f>ROW()-ROW($A$2)+1</x:f>
        <x:v>2419</x:v>
      </x:c>
      <x:c r="B2420" s="312" t="s">
        <x:v>32</x:v>
      </x:c>
      <x:c r="C2420" s="312" t="s">
        <x:v>17</x:v>
      </x:c>
      <x:c r="D2420" s="317">
        <x:v>5</x:v>
      </x:c>
      <x:c r="E2420" s="321">
        <x:v>8450</x:v>
      </x:c>
      <x:c r="F2420" s="321">
        <x:v>42250</x:v>
      </x:c>
      <x:c r="G2420" s="321">
        <x:v>12250</x:v>
      </x:c>
      <x:c r="H2420" s="312" t="s">
        <x:v>65</x:v>
      </x:c>
      <x:c r="I2420" s="312" t="s">
        <x:v>37</x:v>
      </x:c>
      <x:c r="J2420" s="316" t="n">
        <x:f>IFERROR(G2420/F2420,0)</x:f>
        <x:v>0.28994082840236685</x:v>
      </x:c>
      <x:c r="K2420" s="312" t="str">
        <x:f>IF(B2420="Bilinmeyen Personel","Kontrol","OK")</x:f>
        <x:v>OK</x:v>
      </x:c>
    </x:row>
    <x:row r="2421" hidden="1">
      <x:c r="A2421" s="312" t="n">
        <x:f>ROW()-ROW($A$2)+1</x:f>
        <x:v>2420</x:v>
      </x:c>
      <x:c r="B2421" s="312" t="s">
        <x:v>40</x:v>
      </x:c>
      <x:c r="C2421" s="312" t="s">
        <x:v>57</x:v>
      </x:c>
      <x:c r="D2421" s="317">
        <x:v>4</x:v>
      </x:c>
      <x:c r="E2421" s="321">
        <x:v>1500</x:v>
      </x:c>
      <x:c r="F2421" s="321">
        <x:v>6000</x:v>
      </x:c>
      <x:c r="G2421" s="321">
        <x:v>2800</x:v>
      </x:c>
      <x:c r="H2421" s="312" t="s">
        <x:v>65</x:v>
      </x:c>
      <x:c r="I2421" s="312" t="s">
        <x:v>25</x:v>
      </x:c>
      <x:c r="J2421" s="316" t="n">
        <x:f>IFERROR(G2421/F2421,0)</x:f>
        <x:v>0.4666666666666667</x:v>
      </x:c>
      <x:c r="K2421" s="312" t="str">
        <x:f>IF(B2421="Bilinmeyen Personel","Kontrol","OK")</x:f>
        <x:v>OK</x:v>
      </x:c>
    </x:row>
    <x:row r="2422" hidden="1">
      <x:c r="A2422" s="312" t="n">
        <x:f>ROW()-ROW($A$2)+1</x:f>
        <x:v>2421</x:v>
      </x:c>
      <x:c r="B2422" s="312" t="s">
        <x:v>29</x:v>
      </x:c>
      <x:c r="C2422" s="312" t="s">
        <x:v>10</x:v>
      </x:c>
      <x:c r="D2422" s="317">
        <x:v>5</x:v>
      </x:c>
      <x:c r="E2422" s="321">
        <x:v>6000</x:v>
      </x:c>
      <x:c r="F2422" s="321">
        <x:v>30000</x:v>
      </x:c>
      <x:c r="G2422" s="321">
        <x:v>10000</x:v>
      </x:c>
      <x:c r="H2422" s="312" t="s">
        <x:v>65</x:v>
      </x:c>
      <x:c r="I2422" s="312" t="s">
        <x:v>54</x:v>
      </x:c>
      <x:c r="J2422" s="316" t="n">
        <x:f>IFERROR(G2422/F2422,0)</x:f>
        <x:v>0.3333333333333333</x:v>
      </x:c>
      <x:c r="K2422" s="312" t="str">
        <x:f>IF(B2422="Bilinmeyen Personel","Kontrol","OK")</x:f>
        <x:v>OK</x:v>
      </x:c>
    </x:row>
    <x:row r="2423" hidden="1">
      <x:c r="A2423" s="312" t="n">
        <x:f>ROW()-ROW($A$2)+1</x:f>
        <x:v>2422</x:v>
      </x:c>
      <x:c r="B2423" s="312" t="s">
        <x:v>50</x:v>
      </x:c>
      <x:c r="C2423" s="312" t="s">
        <x:v>53</x:v>
      </x:c>
      <x:c r="D2423" s="317">
        <x:v>2</x:v>
      </x:c>
      <x:c r="E2423" s="321">
        <x:v>1200</x:v>
      </x:c>
      <x:c r="F2423" s="321">
        <x:v>2400</x:v>
      </x:c>
      <x:c r="G2423" s="321">
        <x:v>800</x:v>
      </x:c>
      <x:c r="H2423" s="312" t="s">
        <x:v>65</x:v>
      </x:c>
      <x:c r="I2423" s="312" t="s">
        <x:v>21</x:v>
      </x:c>
      <x:c r="J2423" s="316" t="n">
        <x:f>IFERROR(G2423/F2423,0)</x:f>
        <x:v>0.3333333333333333</x:v>
      </x:c>
      <x:c r="K2423" s="312" t="str">
        <x:f>IF(B2423="Bilinmeyen Personel","Kontrol","OK")</x:f>
        <x:v>OK</x:v>
      </x:c>
    </x:row>
    <x:row r="2424" hidden="1">
      <x:c r="A2424" s="312" t="n">
        <x:f>ROW()-ROW($A$2)+1</x:f>
        <x:v>2423</x:v>
      </x:c>
      <x:c r="B2424" s="312" t="s">
        <x:v>9</x:v>
      </x:c>
      <x:c r="C2424" s="312" t="s">
        <x:v>45</x:v>
      </x:c>
      <x:c r="D2424" s="317">
        <x:v>3</x:v>
      </x:c>
      <x:c r="E2424" s="321">
        <x:v>4200</x:v>
      </x:c>
      <x:c r="F2424" s="321">
        <x:v>12600</x:v>
      </x:c>
      <x:c r="G2424" s="321">
        <x:v>3600</x:v>
      </x:c>
      <x:c r="H2424" s="312" t="s">
        <x:v>65</x:v>
      </x:c>
      <x:c r="I2424" s="312" t="s">
        <x:v>54</x:v>
      </x:c>
      <x:c r="J2424" s="316" t="n">
        <x:f>IFERROR(G2424/F2424,0)</x:f>
        <x:v>0.2857142857142857</x:v>
      </x:c>
      <x:c r="K2424" s="312" t="str">
        <x:f>IF(B2424="Bilinmeyen Personel","Kontrol","OK")</x:f>
        <x:v>OK</x:v>
      </x:c>
    </x:row>
    <x:row r="2425" hidden="1">
      <x:c r="A2425" s="312" t="n">
        <x:f>ROW()-ROW($A$2)+1</x:f>
        <x:v>2424</x:v>
      </x:c>
      <x:c r="B2425" s="312" t="s">
        <x:v>48</x:v>
      </x:c>
      <x:c r="C2425" s="312" t="s">
        <x:v>24</x:v>
      </x:c>
      <x:c r="D2425" s="317">
        <x:v>5</x:v>
      </x:c>
      <x:c r="E2425" s="321">
        <x:v>7600</x:v>
      </x:c>
      <x:c r="F2425" s="321">
        <x:v>38000</x:v>
      </x:c>
      <x:c r="G2425" s="321">
        <x:v>8000</x:v>
      </x:c>
      <x:c r="H2425" s="312" t="s">
        <x:v>65</x:v>
      </x:c>
      <x:c r="I2425" s="312" t="s">
        <x:v>54</x:v>
      </x:c>
      <x:c r="J2425" s="316" t="n">
        <x:f>IFERROR(G2425/F2425,0)</x:f>
        <x:v>0.21052631578947367</x:v>
      </x:c>
      <x:c r="K2425" s="312" t="str">
        <x:f>IF(B2425="Bilinmeyen Personel","Kontrol","OK")</x:f>
        <x:v>OK</x:v>
      </x:c>
    </x:row>
    <x:row r="2426" hidden="1">
      <x:c r="A2426" s="312" t="n">
        <x:f>ROW()-ROW($A$2)+1</x:f>
        <x:v>2425</x:v>
      </x:c>
      <x:c r="B2426" s="312" t="s">
        <x:v>29</x:v>
      </x:c>
      <x:c r="C2426" s="312" t="s">
        <x:v>26</x:v>
      </x:c>
      <x:c r="D2426" s="317">
        <x:v>5</x:v>
      </x:c>
      <x:c r="E2426" s="321">
        <x:v>7250</x:v>
      </x:c>
      <x:c r="F2426" s="321">
        <x:v>36250</x:v>
      </x:c>
      <x:c r="G2426" s="321">
        <x:v>11250</x:v>
      </x:c>
      <x:c r="H2426" s="312" t="s">
        <x:v>65</x:v>
      </x:c>
      <x:c r="I2426" s="312" t="s">
        <x:v>42</x:v>
      </x:c>
      <x:c r="J2426" s="316" t="n">
        <x:f>IFERROR(G2426/F2426,0)</x:f>
        <x:v>0.3103448275862069</x:v>
      </x:c>
      <x:c r="K2426" s="312" t="str">
        <x:f>IF(B2426="Bilinmeyen Personel","Kontrol","OK")</x:f>
        <x:v>OK</x:v>
      </x:c>
    </x:row>
    <x:row r="2427" hidden="1">
      <x:c r="A2427" s="312" t="n">
        <x:f>ROW()-ROW($A$2)+1</x:f>
        <x:v>2426</x:v>
      </x:c>
      <x:c r="B2427" s="312" t="s">
        <x:v>13</x:v>
      </x:c>
      <x:c r="C2427" s="312" t="s">
        <x:v>55</x:v>
      </x:c>
      <x:c r="D2427" s="317">
        <x:v>5</x:v>
      </x:c>
      <x:c r="E2427" s="321">
        <x:v>7530</x:v>
      </x:c>
      <x:c r="F2427" s="321">
        <x:v>37650</x:v>
      </x:c>
      <x:c r="G2427" s="321">
        <x:v>7650</x:v>
      </x:c>
      <x:c r="H2427" s="312" t="s">
        <x:v>65</x:v>
      </x:c>
      <x:c r="I2427" s="312" t="s">
        <x:v>46</x:v>
      </x:c>
      <x:c r="J2427" s="316" t="n">
        <x:f>IFERROR(G2427/F2427,0)</x:f>
        <x:v>0.20318725099601595</x:v>
      </x:c>
      <x:c r="K2427" s="312" t="str">
        <x:f>IF(B2427="Bilinmeyen Personel","Kontrol","OK")</x:f>
        <x:v>OK</x:v>
      </x:c>
    </x:row>
    <x:row r="2428" hidden="1">
      <x:c r="A2428" s="312" t="n">
        <x:f>ROW()-ROW($A$2)+1</x:f>
        <x:v>2427</x:v>
      </x:c>
      <x:c r="B2428" s="312" t="s">
        <x:v>16</x:v>
      </x:c>
      <x:c r="C2428" s="312" t="s">
        <x:v>26</x:v>
      </x:c>
      <x:c r="D2428" s="317">
        <x:v>3</x:v>
      </x:c>
      <x:c r="E2428" s="321">
        <x:v>7250</x:v>
      </x:c>
      <x:c r="F2428" s="321">
        <x:v>21750</x:v>
      </x:c>
      <x:c r="G2428" s="321">
        <x:v>6750</x:v>
      </x:c>
      <x:c r="H2428" s="312" t="s">
        <x:v>65</x:v>
      </x:c>
      <x:c r="I2428" s="312" t="s">
        <x:v>54</x:v>
      </x:c>
      <x:c r="J2428" s="316" t="n">
        <x:f>IFERROR(G2428/F2428,0)</x:f>
        <x:v>0.3103448275862069</x:v>
      </x:c>
      <x:c r="K2428" s="312" t="str">
        <x:f>IF(B2428="Bilinmeyen Personel","Kontrol","OK")</x:f>
        <x:v>OK</x:v>
      </x:c>
    </x:row>
    <x:row r="2429" hidden="1">
      <x:c r="A2429" s="312" t="n">
        <x:f>ROW()-ROW($A$2)+1</x:f>
        <x:v>2428</x:v>
      </x:c>
      <x:c r="B2429" s="312" t="s">
        <x:v>13</x:v>
      </x:c>
      <x:c r="C2429" s="312" t="s">
        <x:v>10</x:v>
      </x:c>
      <x:c r="D2429" s="317">
        <x:v>3</x:v>
      </x:c>
      <x:c r="E2429" s="321">
        <x:v>6000</x:v>
      </x:c>
      <x:c r="F2429" s="321">
        <x:v>18000</x:v>
      </x:c>
      <x:c r="G2429" s="321">
        <x:v>6000</x:v>
      </x:c>
      <x:c r="H2429" s="312" t="s">
        <x:v>65</x:v>
      </x:c>
      <x:c r="I2429" s="312" t="s">
        <x:v>18</x:v>
      </x:c>
      <x:c r="J2429" s="316" t="n">
        <x:f>IFERROR(G2429/F2429,0)</x:f>
        <x:v>0.3333333333333333</x:v>
      </x:c>
      <x:c r="K2429" s="312" t="str">
        <x:f>IF(B2429="Bilinmeyen Personel","Kontrol","OK")</x:f>
        <x:v>OK</x:v>
      </x:c>
    </x:row>
    <x:row r="2430" hidden="1">
      <x:c r="A2430" s="312" t="n">
        <x:f>ROW()-ROW($A$2)+1</x:f>
        <x:v>2429</x:v>
      </x:c>
      <x:c r="B2430" s="312" t="s">
        <x:v>29</x:v>
      </x:c>
      <x:c r="C2430" s="312" t="s">
        <x:v>53</x:v>
      </x:c>
      <x:c r="D2430" s="317">
        <x:v>4</x:v>
      </x:c>
      <x:c r="E2430" s="321">
        <x:v>1200</x:v>
      </x:c>
      <x:c r="F2430" s="321">
        <x:v>4800</x:v>
      </x:c>
      <x:c r="G2430" s="321">
        <x:v>1600</x:v>
      </x:c>
      <x:c r="H2430" s="312" t="s">
        <x:v>65</x:v>
      </x:c>
      <x:c r="I2430" s="312" t="s">
        <x:v>41</x:v>
      </x:c>
      <x:c r="J2430" s="316" t="n">
        <x:f>IFERROR(G2430/F2430,0)</x:f>
        <x:v>0.3333333333333333</x:v>
      </x:c>
      <x:c r="K2430" s="312" t="str">
        <x:f>IF(B2430="Bilinmeyen Personel","Kontrol","OK")</x:f>
        <x:v>OK</x:v>
      </x:c>
    </x:row>
    <x:row r="2431" hidden="1">
      <x:c r="A2431" s="312" t="n">
        <x:f>ROW()-ROW($A$2)+1</x:f>
        <x:v>2430</x:v>
      </x:c>
      <x:c r="B2431" s="312" t="s">
        <x:v>50</x:v>
      </x:c>
      <x:c r="C2431" s="312" t="s">
        <x:v>56</x:v>
      </x:c>
      <x:c r="D2431" s="317">
        <x:v>5</x:v>
      </x:c>
      <x:c r="E2431" s="321">
        <x:v>5300</x:v>
      </x:c>
      <x:c r="F2431" s="321">
        <x:v>26500</x:v>
      </x:c>
      <x:c r="G2431" s="321">
        <x:v>6500</x:v>
      </x:c>
      <x:c r="H2431" s="312" t="s">
        <x:v>65</x:v>
      </x:c>
      <x:c r="I2431" s="312" t="s">
        <x:v>18</x:v>
      </x:c>
      <x:c r="J2431" s="316" t="n">
        <x:f>IFERROR(G2431/F2431,0)</x:f>
        <x:v>0.24528301886792453</x:v>
      </x:c>
      <x:c r="K2431" s="312" t="str">
        <x:f>IF(B2431="Bilinmeyen Personel","Kontrol","OK")</x:f>
        <x:v>OK</x:v>
      </x:c>
    </x:row>
    <x:row r="2432" hidden="1">
      <x:c r="A2432" s="312" t="n">
        <x:f>ROW()-ROW($A$2)+1</x:f>
        <x:v>2431</x:v>
      </x:c>
      <x:c r="B2432" s="312" t="s">
        <x:v>38</x:v>
      </x:c>
      <x:c r="C2432" s="312" t="s">
        <x:v>17</x:v>
      </x:c>
      <x:c r="D2432" s="317">
        <x:v>2</x:v>
      </x:c>
      <x:c r="E2432" s="321">
        <x:v>8450</x:v>
      </x:c>
      <x:c r="F2432" s="321">
        <x:v>16900</x:v>
      </x:c>
      <x:c r="G2432" s="321">
        <x:v>4900</x:v>
      </x:c>
      <x:c r="H2432" s="312" t="s">
        <x:v>65</x:v>
      </x:c>
      <x:c r="I2432" s="312" t="s">
        <x:v>18</x:v>
      </x:c>
      <x:c r="J2432" s="316" t="n">
        <x:f>IFERROR(G2432/F2432,0)</x:f>
        <x:v>0.28994082840236685</x:v>
      </x:c>
      <x:c r="K2432" s="312" t="str">
        <x:f>IF(B2432="Bilinmeyen Personel","Kontrol","OK")</x:f>
        <x:v>OK</x:v>
      </x:c>
    </x:row>
    <x:row r="2433" hidden="1">
      <x:c r="A2433" s="312" t="n">
        <x:f>ROW()-ROW($A$2)+1</x:f>
        <x:v>2432</x:v>
      </x:c>
      <x:c r="B2433" s="312" t="s">
        <x:v>23</x:v>
      </x:c>
      <x:c r="C2433" s="312" t="s">
        <x:v>20</x:v>
      </x:c>
      <x:c r="D2433" s="317">
        <x:v>2</x:v>
      </x:c>
      <x:c r="E2433" s="321">
        <x:v>1350</x:v>
      </x:c>
      <x:c r="F2433" s="321">
        <x:v>2700</x:v>
      </x:c>
      <x:c r="G2433" s="321">
        <x:v>1100</x:v>
      </x:c>
      <x:c r="H2433" s="312" t="s">
        <x:v>65</x:v>
      </x:c>
      <x:c r="I2433" s="312" t="s">
        <x:v>21</x:v>
      </x:c>
      <x:c r="J2433" s="316" t="n">
        <x:f>IFERROR(G2433/F2433,0)</x:f>
        <x:v>0.4074074074074074</x:v>
      </x:c>
      <x:c r="K2433" s="312" t="str">
        <x:f>IF(B2433="Bilinmeyen Personel","Kontrol","OK")</x:f>
        <x:v>OK</x:v>
      </x:c>
    </x:row>
    <x:row r="2434" hidden="1">
      <x:c r="A2434" s="312" t="n">
        <x:f>ROW()-ROW($A$2)+1</x:f>
        <x:v>2433</x:v>
      </x:c>
      <x:c r="B2434" s="312" t="s">
        <x:v>32</x:v>
      </x:c>
      <x:c r="C2434" s="312" t="s">
        <x:v>34</x:v>
      </x:c>
      <x:c r="D2434" s="317">
        <x:v>4</x:v>
      </x:c>
      <x:c r="E2434" s="321">
        <x:v>1090</x:v>
      </x:c>
      <x:c r="F2434" s="321">
        <x:v>4360</x:v>
      </x:c>
      <x:c r="G2434" s="321">
        <x:v>1160</x:v>
      </x:c>
      <x:c r="H2434" s="312" t="s">
        <x:v>65</x:v>
      </x:c>
      <x:c r="I2434" s="312" t="s">
        <x:v>18</x:v>
      </x:c>
      <x:c r="J2434" s="316" t="n">
        <x:f>IFERROR(G2434/F2434,0)</x:f>
        <x:v>0.26605504587155965</x:v>
      </x:c>
      <x:c r="K2434" s="312" t="str">
        <x:f>IF(B2434="Bilinmeyen Personel","Kontrol","OK")</x:f>
        <x:v>OK</x:v>
      </x:c>
    </x:row>
    <x:row r="2435" hidden="1">
      <x:c r="A2435" s="312" t="n">
        <x:f>ROW()-ROW($A$2)+1</x:f>
        <x:v>2434</x:v>
      </x:c>
      <x:c r="B2435" s="312" t="s">
        <x:v>23</x:v>
      </x:c>
      <x:c r="C2435" s="312" t="s">
        <x:v>22</x:v>
      </x:c>
      <x:c r="D2435" s="317">
        <x:v>2</x:v>
      </x:c>
      <x:c r="E2435" s="321">
        <x:v>2180</x:v>
      </x:c>
      <x:c r="F2435" s="321">
        <x:v>4360</x:v>
      </x:c>
      <x:c r="G2435" s="321">
        <x:v>1360</x:v>
      </x:c>
      <x:c r="H2435" s="312" t="s">
        <x:v>65</x:v>
      </x:c>
      <x:c r="I2435" s="312" t="s">
        <x:v>42</x:v>
      </x:c>
      <x:c r="J2435" s="316" t="n">
        <x:f>IFERROR(G2435/F2435,0)</x:f>
        <x:v>0.3119266055045872</x:v>
      </x:c>
      <x:c r="K2435" s="312" t="str">
        <x:f>IF(B2435="Bilinmeyen Personel","Kontrol","OK")</x:f>
        <x:v>OK</x:v>
      </x:c>
    </x:row>
    <x:row r="2436" hidden="1">
      <x:c r="A2436" s="312" t="n">
        <x:f>ROW()-ROW($A$2)+1</x:f>
        <x:v>2435</x:v>
      </x:c>
      <x:c r="B2436" s="312" t="s">
        <x:v>13</x:v>
      </x:c>
      <x:c r="C2436" s="312" t="s">
        <x:v>58</x:v>
      </x:c>
      <x:c r="D2436" s="317">
        <x:v>5</x:v>
      </x:c>
      <x:c r="E2436" s="321">
        <x:v>3700</x:v>
      </x:c>
      <x:c r="F2436" s="321">
        <x:v>18500</x:v>
      </x:c>
      <x:c r="G2436" s="321">
        <x:v>3500</x:v>
      </x:c>
      <x:c r="H2436" s="312" t="s">
        <x:v>65</x:v>
      </x:c>
      <x:c r="I2436" s="312" t="s">
        <x:v>54</x:v>
      </x:c>
      <x:c r="J2436" s="316" t="n">
        <x:f>IFERROR(G2436/F2436,0)</x:f>
        <x:v>0.1891891891891892</x:v>
      </x:c>
      <x:c r="K2436" s="312" t="str">
        <x:f>IF(B2436="Bilinmeyen Personel","Kontrol","OK")</x:f>
        <x:v>OK</x:v>
      </x:c>
    </x:row>
    <x:row r="2437" hidden="1">
      <x:c r="A2437" s="312" t="n">
        <x:f>ROW()-ROW($A$2)+1</x:f>
        <x:v>2436</x:v>
      </x:c>
      <x:c r="B2437" s="312" t="s">
        <x:v>32</x:v>
      </x:c>
      <x:c r="C2437" s="312" t="s">
        <x:v>27</x:v>
      </x:c>
      <x:c r="D2437" s="317">
        <x:v>3</x:v>
      </x:c>
      <x:c r="E2437" s="321">
        <x:v>1100</x:v>
      </x:c>
      <x:c r="F2437" s="321">
        <x:v>3300</x:v>
      </x:c>
      <x:c r="G2437" s="321">
        <x:v>900</x:v>
      </x:c>
      <x:c r="H2437" s="312" t="s">
        <x:v>65</x:v>
      </x:c>
      <x:c r="I2437" s="312" t="s">
        <x:v>18</x:v>
      </x:c>
      <x:c r="J2437" s="316" t="n">
        <x:f>IFERROR(G2437/F2437,0)</x:f>
        <x:v>0.2727272727272727</x:v>
      </x:c>
      <x:c r="K2437" s="312" t="str">
        <x:f>IF(B2437="Bilinmeyen Personel","Kontrol","OK")</x:f>
        <x:v>OK</x:v>
      </x:c>
    </x:row>
    <x:row r="2438" hidden="1">
      <x:c r="A2438" s="312" t="n">
        <x:f>ROW()-ROW($A$2)+1</x:f>
        <x:v>2437</x:v>
      </x:c>
      <x:c r="B2438" s="312" t="s">
        <x:v>29</x:v>
      </x:c>
      <x:c r="C2438" s="312" t="s">
        <x:v>58</x:v>
      </x:c>
      <x:c r="D2438" s="317">
        <x:v>3</x:v>
      </x:c>
      <x:c r="E2438" s="321">
        <x:v>3700</x:v>
      </x:c>
      <x:c r="F2438" s="321">
        <x:v>11100</x:v>
      </x:c>
      <x:c r="G2438" s="321">
        <x:v>2100</x:v>
      </x:c>
      <x:c r="H2438" s="312" t="s">
        <x:v>65</x:v>
      </x:c>
      <x:c r="I2438" s="312" t="s">
        <x:v>42</x:v>
      </x:c>
      <x:c r="J2438" s="316" t="n">
        <x:f>IFERROR(G2438/F2438,0)</x:f>
        <x:v>0.1891891891891892</x:v>
      </x:c>
      <x:c r="K2438" s="312" t="str">
        <x:f>IF(B2438="Bilinmeyen Personel","Kontrol","OK")</x:f>
        <x:v>OK</x:v>
      </x:c>
    </x:row>
    <x:row r="2439" hidden="1">
      <x:c r="A2439" s="312" t="n">
        <x:f>ROW()-ROW($A$2)+1</x:f>
        <x:v>2438</x:v>
      </x:c>
      <x:c r="B2439" s="312" t="s">
        <x:v>48</x:v>
      </x:c>
      <x:c r="C2439" s="312" t="s">
        <x:v>43</x:v>
      </x:c>
      <x:c r="D2439" s="317">
        <x:v>4</x:v>
      </x:c>
      <x:c r="E2439" s="321">
        <x:v>1490</x:v>
      </x:c>
      <x:c r="F2439" s="321">
        <x:v>5960</x:v>
      </x:c>
      <x:c r="G2439" s="321">
        <x:v>2760</x:v>
      </x:c>
      <x:c r="H2439" s="312" t="s">
        <x:v>65</x:v>
      </x:c>
      <x:c r="I2439" s="312" t="s">
        <x:v>31</x:v>
      </x:c>
      <x:c r="J2439" s="316" t="n">
        <x:f>IFERROR(G2439/F2439,0)</x:f>
        <x:v>0.46308724832214765</x:v>
      </x:c>
      <x:c r="K2439" s="312" t="str">
        <x:f>IF(B2439="Bilinmeyen Personel","Kontrol","OK")</x:f>
        <x:v>OK</x:v>
      </x:c>
    </x:row>
    <x:row r="2440" hidden="1">
      <x:c r="A2440" s="312" t="n">
        <x:f>ROW()-ROW($A$2)+1</x:f>
        <x:v>2439</x:v>
      </x:c>
      <x:c r="B2440" s="312" t="s">
        <x:v>40</x:v>
      </x:c>
      <x:c r="C2440" s="312" t="s">
        <x:v>57</x:v>
      </x:c>
      <x:c r="D2440" s="317">
        <x:v>2</x:v>
      </x:c>
      <x:c r="E2440" s="321">
        <x:v>1500</x:v>
      </x:c>
      <x:c r="F2440" s="321">
        <x:v>3000</x:v>
      </x:c>
      <x:c r="G2440" s="321">
        <x:v>1400</x:v>
      </x:c>
      <x:c r="H2440" s="312" t="s">
        <x:v>65</x:v>
      </x:c>
      <x:c r="I2440" s="312" t="s">
        <x:v>31</x:v>
      </x:c>
      <x:c r="J2440" s="316" t="n">
        <x:f>IFERROR(G2440/F2440,0)</x:f>
        <x:v>0.4666666666666667</x:v>
      </x:c>
      <x:c r="K2440" s="312" t="str">
        <x:f>IF(B2440="Bilinmeyen Personel","Kontrol","OK")</x:f>
        <x:v>OK</x:v>
      </x:c>
    </x:row>
    <x:row r="2441" hidden="1">
      <x:c r="A2441" s="312" t="n">
        <x:f>ROW()-ROW($A$2)+1</x:f>
        <x:v>2440</x:v>
      </x:c>
      <x:c r="B2441" s="312" t="s">
        <x:v>38</x:v>
      </x:c>
      <x:c r="C2441" s="312" t="s">
        <x:v>34</x:v>
      </x:c>
      <x:c r="D2441" s="317">
        <x:v>3</x:v>
      </x:c>
      <x:c r="E2441" s="321">
        <x:v>1090</x:v>
      </x:c>
      <x:c r="F2441" s="321">
        <x:v>3270</x:v>
      </x:c>
      <x:c r="G2441" s="321">
        <x:v>870</x:v>
      </x:c>
      <x:c r="H2441" s="312" t="s">
        <x:v>65</x:v>
      </x:c>
      <x:c r="I2441" s="312" t="s">
        <x:v>37</x:v>
      </x:c>
      <x:c r="J2441" s="316" t="n">
        <x:f>IFERROR(G2441/F2441,0)</x:f>
        <x:v>0.26605504587155965</x:v>
      </x:c>
      <x:c r="K2441" s="312" t="str">
        <x:f>IF(B2441="Bilinmeyen Personel","Kontrol","OK")</x:f>
        <x:v>OK</x:v>
      </x:c>
    </x:row>
    <x:row r="2442" hidden="1">
      <x:c r="A2442" s="312" t="n">
        <x:f>ROW()-ROW($A$2)+1</x:f>
        <x:v>2441</x:v>
      </x:c>
      <x:c r="B2442" s="312" t="s">
        <x:v>48</x:v>
      </x:c>
      <x:c r="C2442" s="312" t="s">
        <x:v>33</x:v>
      </x:c>
      <x:c r="D2442" s="317">
        <x:v>3</x:v>
      </x:c>
      <x:c r="E2442" s="321">
        <x:v>1800</x:v>
      </x:c>
      <x:c r="F2442" s="321">
        <x:v>5400</x:v>
      </x:c>
      <x:c r="G2442" s="321">
        <x:v>3000</x:v>
      </x:c>
      <x:c r="H2442" s="312" t="s">
        <x:v>65</x:v>
      </x:c>
      <x:c r="I2442" s="312" t="s">
        <x:v>37</x:v>
      </x:c>
      <x:c r="J2442" s="316" t="n">
        <x:f>IFERROR(G2442/F2442,0)</x:f>
        <x:v>0.5555555555555556</x:v>
      </x:c>
      <x:c r="K2442" s="312" t="str">
        <x:f>IF(B2442="Bilinmeyen Personel","Kontrol","OK")</x:f>
        <x:v>OK</x:v>
      </x:c>
    </x:row>
    <x:row r="2443" hidden="1">
      <x:c r="A2443" s="312" t="n">
        <x:f>ROW()-ROW($A$2)+1</x:f>
        <x:v>2442</x:v>
      </x:c>
      <x:c r="B2443" s="312" t="s">
        <x:v>35</x:v>
      </x:c>
      <x:c r="C2443" s="312" t="s">
        <x:v>55</x:v>
      </x:c>
      <x:c r="D2443" s="317">
        <x:v>3</x:v>
      </x:c>
      <x:c r="E2443" s="321">
        <x:v>7530</x:v>
      </x:c>
      <x:c r="F2443" s="321">
        <x:v>22590</x:v>
      </x:c>
      <x:c r="G2443" s="321">
        <x:v>4590</x:v>
      </x:c>
      <x:c r="H2443" s="312" t="s">
        <x:v>65</x:v>
      </x:c>
      <x:c r="I2443" s="312" t="s">
        <x:v>25</x:v>
      </x:c>
      <x:c r="J2443" s="316" t="n">
        <x:f>IFERROR(G2443/F2443,0)</x:f>
        <x:v>0.20318725099601595</x:v>
      </x:c>
      <x:c r="K2443" s="312" t="str">
        <x:f>IF(B2443="Bilinmeyen Personel","Kontrol","OK")</x:f>
        <x:v>OK</x:v>
      </x:c>
    </x:row>
    <x:row r="2444" hidden="1">
      <x:c r="A2444" s="312" t="n">
        <x:f>ROW()-ROW($A$2)+1</x:f>
        <x:v>2443</x:v>
      </x:c>
      <x:c r="B2444" s="312" t="s">
        <x:v>32</x:v>
      </x:c>
      <x:c r="C2444" s="312" t="s">
        <x:v>27</x:v>
      </x:c>
      <x:c r="D2444" s="317">
        <x:v>3</x:v>
      </x:c>
      <x:c r="E2444" s="321">
        <x:v>1100</x:v>
      </x:c>
      <x:c r="F2444" s="321">
        <x:v>3300</x:v>
      </x:c>
      <x:c r="G2444" s="321">
        <x:v>900</x:v>
      </x:c>
      <x:c r="H2444" s="312" t="s">
        <x:v>65</x:v>
      </x:c>
      <x:c r="I2444" s="312" t="s">
        <x:v>18</x:v>
      </x:c>
      <x:c r="J2444" s="316" t="n">
        <x:f>IFERROR(G2444/F2444,0)</x:f>
        <x:v>0.2727272727272727</x:v>
      </x:c>
      <x:c r="K2444" s="312" t="str">
        <x:f>IF(B2444="Bilinmeyen Personel","Kontrol","OK")</x:f>
        <x:v>OK</x:v>
      </x:c>
    </x:row>
    <x:row r="2445" hidden="1">
      <x:c r="A2445" s="312" t="n">
        <x:f>ROW()-ROW($A$2)+1</x:f>
        <x:v>2444</x:v>
      </x:c>
      <x:c r="B2445" s="312" t="s">
        <x:v>40</x:v>
      </x:c>
      <x:c r="C2445" s="312" t="s">
        <x:v>20</x:v>
      </x:c>
      <x:c r="D2445" s="317">
        <x:v>3</x:v>
      </x:c>
      <x:c r="E2445" s="321">
        <x:v>1350</x:v>
      </x:c>
      <x:c r="F2445" s="321">
        <x:v>4050</x:v>
      </x:c>
      <x:c r="G2445" s="321">
        <x:v>1650</x:v>
      </x:c>
      <x:c r="H2445" s="312" t="s">
        <x:v>65</x:v>
      </x:c>
      <x:c r="I2445" s="312" t="s">
        <x:v>41</x:v>
      </x:c>
      <x:c r="J2445" s="316" t="n">
        <x:f>IFERROR(G2445/F2445,0)</x:f>
        <x:v>0.4074074074074074</x:v>
      </x:c>
      <x:c r="K2445" s="312" t="str">
        <x:f>IF(B2445="Bilinmeyen Personel","Kontrol","OK")</x:f>
        <x:v>OK</x:v>
      </x:c>
    </x:row>
    <x:row r="2446" hidden="1">
      <x:c r="A2446" s="312" t="n">
        <x:f>ROW()-ROW($A$2)+1</x:f>
        <x:v>2445</x:v>
      </x:c>
      <x:c r="B2446" s="312" t="s">
        <x:v>38</x:v>
      </x:c>
      <x:c r="C2446" s="312" t="s">
        <x:v>20</x:v>
      </x:c>
      <x:c r="D2446" s="317">
        <x:v>2</x:v>
      </x:c>
      <x:c r="E2446" s="321">
        <x:v>1350</x:v>
      </x:c>
      <x:c r="F2446" s="321">
        <x:v>2700</x:v>
      </x:c>
      <x:c r="G2446" s="321">
        <x:v>1100</x:v>
      </x:c>
      <x:c r="H2446" s="312" t="s">
        <x:v>65</x:v>
      </x:c>
      <x:c r="I2446" s="312" t="s">
        <x:v>12</x:v>
      </x:c>
      <x:c r="J2446" s="316" t="n">
        <x:f>IFERROR(G2446/F2446,0)</x:f>
        <x:v>0.4074074074074074</x:v>
      </x:c>
      <x:c r="K2446" s="312" t="str">
        <x:f>IF(B2446="Bilinmeyen Personel","Kontrol","OK")</x:f>
        <x:v>OK</x:v>
      </x:c>
    </x:row>
    <x:row r="2447" hidden="1">
      <x:c r="A2447" s="312" t="n">
        <x:f>ROW()-ROW($A$2)+1</x:f>
        <x:v>2446</x:v>
      </x:c>
      <x:c r="B2447" s="312" t="s">
        <x:v>35</x:v>
      </x:c>
      <x:c r="C2447" s="312" t="s">
        <x:v>34</x:v>
      </x:c>
      <x:c r="D2447" s="317">
        <x:v>3</x:v>
      </x:c>
      <x:c r="E2447" s="321">
        <x:v>1090</x:v>
      </x:c>
      <x:c r="F2447" s="321">
        <x:v>3270</x:v>
      </x:c>
      <x:c r="G2447" s="321">
        <x:v>870</x:v>
      </x:c>
      <x:c r="H2447" s="312" t="s">
        <x:v>65</x:v>
      </x:c>
      <x:c r="I2447" s="312" t="s">
        <x:v>21</x:v>
      </x:c>
      <x:c r="J2447" s="316" t="n">
        <x:f>IFERROR(G2447/F2447,0)</x:f>
        <x:v>0.26605504587155965</x:v>
      </x:c>
      <x:c r="K2447" s="312" t="str">
        <x:f>IF(B2447="Bilinmeyen Personel","Kontrol","OK")</x:f>
        <x:v>OK</x:v>
      </x:c>
    </x:row>
    <x:row r="2448" hidden="1">
      <x:c r="A2448" s="312" t="n">
        <x:f>ROW()-ROW($A$2)+1</x:f>
        <x:v>2447</x:v>
      </x:c>
      <x:c r="B2448" s="312" t="s">
        <x:v>35</x:v>
      </x:c>
      <x:c r="C2448" s="312" t="s">
        <x:v>45</x:v>
      </x:c>
      <x:c r="D2448" s="317">
        <x:v>3</x:v>
      </x:c>
      <x:c r="E2448" s="321">
        <x:v>4200</x:v>
      </x:c>
      <x:c r="F2448" s="321">
        <x:v>12600</x:v>
      </x:c>
      <x:c r="G2448" s="321">
        <x:v>3600</x:v>
      </x:c>
      <x:c r="H2448" s="312" t="s">
        <x:v>65</x:v>
      </x:c>
      <x:c r="I2448" s="312" t="s">
        <x:v>31</x:v>
      </x:c>
      <x:c r="J2448" s="316" t="n">
        <x:f>IFERROR(G2448/F2448,0)</x:f>
        <x:v>0.2857142857142857</x:v>
      </x:c>
      <x:c r="K2448" s="312" t="str">
        <x:f>IF(B2448="Bilinmeyen Personel","Kontrol","OK")</x:f>
        <x:v>OK</x:v>
      </x:c>
    </x:row>
    <x:row r="2449" hidden="1">
      <x:c r="A2449" s="312" t="n">
        <x:f>ROW()-ROW($A$2)+1</x:f>
        <x:v>2448</x:v>
      </x:c>
      <x:c r="B2449" s="312" t="s">
        <x:v>40</x:v>
      </x:c>
      <x:c r="C2449" s="312" t="s">
        <x:v>33</x:v>
      </x:c>
      <x:c r="D2449" s="317">
        <x:v>4</x:v>
      </x:c>
      <x:c r="E2449" s="321">
        <x:v>1800</x:v>
      </x:c>
      <x:c r="F2449" s="321">
        <x:v>7200</x:v>
      </x:c>
      <x:c r="G2449" s="321">
        <x:v>4000</x:v>
      </x:c>
      <x:c r="H2449" s="312" t="s">
        <x:v>65</x:v>
      </x:c>
      <x:c r="I2449" s="312" t="s">
        <x:v>54</x:v>
      </x:c>
      <x:c r="J2449" s="316" t="n">
        <x:f>IFERROR(G2449/F2449,0)</x:f>
        <x:v>0.5555555555555556</x:v>
      </x:c>
      <x:c r="K2449" s="312" t="str">
        <x:f>IF(B2449="Bilinmeyen Personel","Kontrol","OK")</x:f>
        <x:v>OK</x:v>
      </x:c>
    </x:row>
    <x:row r="2450" hidden="1">
      <x:c r="A2450" s="312" t="n">
        <x:f>ROW()-ROW($A$2)+1</x:f>
        <x:v>2449</x:v>
      </x:c>
      <x:c r="B2450" s="312" t="s">
        <x:v>50</x:v>
      </x:c>
      <x:c r="C2450" s="312" t="s">
        <x:v>34</x:v>
      </x:c>
      <x:c r="D2450" s="317">
        <x:v>2</x:v>
      </x:c>
      <x:c r="E2450" s="321">
        <x:v>1090</x:v>
      </x:c>
      <x:c r="F2450" s="321">
        <x:v>2180</x:v>
      </x:c>
      <x:c r="G2450" s="321">
        <x:v>580</x:v>
      </x:c>
      <x:c r="H2450" s="312" t="s">
        <x:v>65</x:v>
      </x:c>
      <x:c r="I2450" s="312" t="s">
        <x:v>44</x:v>
      </x:c>
      <x:c r="J2450" s="316" t="n">
        <x:f>IFERROR(G2450/F2450,0)</x:f>
        <x:v>0.26605504587155965</x:v>
      </x:c>
      <x:c r="K2450" s="312" t="str">
        <x:f>IF(B2450="Bilinmeyen Personel","Kontrol","OK")</x:f>
        <x:v>OK</x:v>
      </x:c>
    </x:row>
    <x:row r="2451" hidden="1">
      <x:c r="A2451" s="312" t="n">
        <x:f>ROW()-ROW($A$2)+1</x:f>
        <x:v>2450</x:v>
      </x:c>
      <x:c r="B2451" s="312" t="s">
        <x:v>9</x:v>
      </x:c>
      <x:c r="C2451" s="312" t="s">
        <x:v>24</x:v>
      </x:c>
      <x:c r="D2451" s="317">
        <x:v>4</x:v>
      </x:c>
      <x:c r="E2451" s="321">
        <x:v>7600</x:v>
      </x:c>
      <x:c r="F2451" s="321">
        <x:v>30400</x:v>
      </x:c>
      <x:c r="G2451" s="321">
        <x:v>6400</x:v>
      </x:c>
      <x:c r="H2451" s="312" t="s">
        <x:v>65</x:v>
      </x:c>
      <x:c r="I2451" s="312" t="s">
        <x:v>46</x:v>
      </x:c>
      <x:c r="J2451" s="316" t="n">
        <x:f>IFERROR(G2451/F2451,0)</x:f>
        <x:v>0.21052631578947367</x:v>
      </x:c>
      <x:c r="K2451" s="312" t="str">
        <x:f>IF(B2451="Bilinmeyen Personel","Kontrol","OK")</x:f>
        <x:v>OK</x:v>
      </x:c>
    </x:row>
    <x:row r="2452" hidden="1">
      <x:c r="A2452" s="312" t="n">
        <x:f>ROW()-ROW($A$2)+1</x:f>
        <x:v>2451</x:v>
      </x:c>
      <x:c r="B2452" s="312" t="s">
        <x:v>38</x:v>
      </x:c>
      <x:c r="C2452" s="312" t="s">
        <x:v>24</x:v>
      </x:c>
      <x:c r="D2452" s="317">
        <x:v>3</x:v>
      </x:c>
      <x:c r="E2452" s="321">
        <x:v>7600</x:v>
      </x:c>
      <x:c r="F2452" s="321">
        <x:v>22800</x:v>
      </x:c>
      <x:c r="G2452" s="321">
        <x:v>4800</x:v>
      </x:c>
      <x:c r="H2452" s="312" t="s">
        <x:v>65</x:v>
      </x:c>
      <x:c r="I2452" s="312" t="s">
        <x:v>44</x:v>
      </x:c>
      <x:c r="J2452" s="316" t="n">
        <x:f>IFERROR(G2452/F2452,0)</x:f>
        <x:v>0.21052631578947367</x:v>
      </x:c>
      <x:c r="K2452" s="312" t="str">
        <x:f>IF(B2452="Bilinmeyen Personel","Kontrol","OK")</x:f>
        <x:v>OK</x:v>
      </x:c>
    </x:row>
    <x:row r="2453" hidden="1">
      <x:c r="A2453" s="312" t="n">
        <x:f>ROW()-ROW($A$2)+1</x:f>
        <x:v>2452</x:v>
      </x:c>
      <x:c r="B2453" s="312" t="s">
        <x:v>16</x:v>
      </x:c>
      <x:c r="C2453" s="312" t="s">
        <x:v>58</x:v>
      </x:c>
      <x:c r="D2453" s="317">
        <x:v>5</x:v>
      </x:c>
      <x:c r="E2453" s="321">
        <x:v>3700</x:v>
      </x:c>
      <x:c r="F2453" s="321">
        <x:v>18500</x:v>
      </x:c>
      <x:c r="G2453" s="321">
        <x:v>3500</x:v>
      </x:c>
      <x:c r="H2453" s="312" t="s">
        <x:v>65</x:v>
      </x:c>
      <x:c r="I2453" s="312" t="s">
        <x:v>21</x:v>
      </x:c>
      <x:c r="J2453" s="316" t="n">
        <x:f>IFERROR(G2453/F2453,0)</x:f>
        <x:v>0.1891891891891892</x:v>
      </x:c>
      <x:c r="K2453" s="312" t="str">
        <x:f>IF(B2453="Bilinmeyen Personel","Kontrol","OK")</x:f>
        <x:v>OK</x:v>
      </x:c>
    </x:row>
    <x:row r="2454" hidden="1">
      <x:c r="A2454" s="312" t="n">
        <x:f>ROW()-ROW($A$2)+1</x:f>
        <x:v>2453</x:v>
      </x:c>
      <x:c r="B2454" s="312" t="s">
        <x:v>23</x:v>
      </x:c>
      <x:c r="C2454" s="312" t="s">
        <x:v>26</x:v>
      </x:c>
      <x:c r="D2454" s="317">
        <x:v>2</x:v>
      </x:c>
      <x:c r="E2454" s="321">
        <x:v>7250</x:v>
      </x:c>
      <x:c r="F2454" s="321">
        <x:v>14500</x:v>
      </x:c>
      <x:c r="G2454" s="321">
        <x:v>4500</x:v>
      </x:c>
      <x:c r="H2454" s="312" t="s">
        <x:v>65</x:v>
      </x:c>
      <x:c r="I2454" s="312" t="s">
        <x:v>15</x:v>
      </x:c>
      <x:c r="J2454" s="316" t="n">
        <x:f>IFERROR(G2454/F2454,0)</x:f>
        <x:v>0.3103448275862069</x:v>
      </x:c>
      <x:c r="K2454" s="312" t="str">
        <x:f>IF(B2454="Bilinmeyen Personel","Kontrol","OK")</x:f>
        <x:v>OK</x:v>
      </x:c>
    </x:row>
    <x:row r="2455" hidden="1">
      <x:c r="A2455" s="312" t="n">
        <x:f>ROW()-ROW($A$2)+1</x:f>
        <x:v>2454</x:v>
      </x:c>
      <x:c r="B2455" s="312" t="s">
        <x:v>13</x:v>
      </x:c>
      <x:c r="C2455" s="312" t="s">
        <x:v>24</x:v>
      </x:c>
      <x:c r="D2455" s="317">
        <x:v>4</x:v>
      </x:c>
      <x:c r="E2455" s="321">
        <x:v>7600</x:v>
      </x:c>
      <x:c r="F2455" s="321">
        <x:v>30400</x:v>
      </x:c>
      <x:c r="G2455" s="321">
        <x:v>6400</x:v>
      </x:c>
      <x:c r="H2455" s="312" t="s">
        <x:v>65</x:v>
      </x:c>
      <x:c r="I2455" s="312" t="s">
        <x:v>37</x:v>
      </x:c>
      <x:c r="J2455" s="316" t="n">
        <x:f>IFERROR(G2455/F2455,0)</x:f>
        <x:v>0.21052631578947367</x:v>
      </x:c>
      <x:c r="K2455" s="312" t="str">
        <x:f>IF(B2455="Bilinmeyen Personel","Kontrol","OK")</x:f>
        <x:v>OK</x:v>
      </x:c>
    </x:row>
    <x:row r="2456" hidden="1">
      <x:c r="A2456" s="312" t="n">
        <x:f>ROW()-ROW($A$2)+1</x:f>
        <x:v>2455</x:v>
      </x:c>
      <x:c r="B2456" s="312" t="s">
        <x:v>48</x:v>
      </x:c>
      <x:c r="C2456" s="312" t="s">
        <x:v>45</x:v>
      </x:c>
      <x:c r="D2456" s="317">
        <x:v>3</x:v>
      </x:c>
      <x:c r="E2456" s="321">
        <x:v>4200</x:v>
      </x:c>
      <x:c r="F2456" s="321">
        <x:v>12600</x:v>
      </x:c>
      <x:c r="G2456" s="321">
        <x:v>3600</x:v>
      </x:c>
      <x:c r="H2456" s="312" t="s">
        <x:v>65</x:v>
      </x:c>
      <x:c r="I2456" s="312" t="s">
        <x:v>25</x:v>
      </x:c>
      <x:c r="J2456" s="316" t="n">
        <x:f>IFERROR(G2456/F2456,0)</x:f>
        <x:v>0.2857142857142857</x:v>
      </x:c>
      <x:c r="K2456" s="312" t="str">
        <x:f>IF(B2456="Bilinmeyen Personel","Kontrol","OK")</x:f>
        <x:v>OK</x:v>
      </x:c>
    </x:row>
    <x:row r="2457" hidden="1">
      <x:c r="A2457" s="312" t="n">
        <x:f>ROW()-ROW($A$2)+1</x:f>
        <x:v>2456</x:v>
      </x:c>
      <x:c r="B2457" s="312" t="s">
        <x:v>32</x:v>
      </x:c>
      <x:c r="C2457" s="312" t="s">
        <x:v>52</x:v>
      </x:c>
      <x:c r="D2457" s="317">
        <x:v>2</x:v>
      </x:c>
      <x:c r="E2457" s="321">
        <x:v>1250</x:v>
      </x:c>
      <x:c r="F2457" s="321">
        <x:v>2500</x:v>
      </x:c>
      <x:c r="G2457" s="321">
        <x:v>900</x:v>
      </x:c>
      <x:c r="H2457" s="312" t="s">
        <x:v>65</x:v>
      </x:c>
      <x:c r="I2457" s="312" t="s">
        <x:v>15</x:v>
      </x:c>
      <x:c r="J2457" s="316" t="n">
        <x:f>IFERROR(G2457/F2457,0)</x:f>
        <x:v>0.36</x:v>
      </x:c>
      <x:c r="K2457" s="312" t="str">
        <x:f>IF(B2457="Bilinmeyen Personel","Kontrol","OK")</x:f>
        <x:v>OK</x:v>
      </x:c>
    </x:row>
    <x:row r="2458" hidden="1">
      <x:c r="A2458" s="312" t="n">
        <x:f>ROW()-ROW($A$2)+1</x:f>
        <x:v>2457</x:v>
      </x:c>
      <x:c r="B2458" s="312" t="s">
        <x:v>38</x:v>
      </x:c>
      <x:c r="C2458" s="312" t="s">
        <x:v>34</x:v>
      </x:c>
      <x:c r="D2458" s="317">
        <x:v>5</x:v>
      </x:c>
      <x:c r="E2458" s="321">
        <x:v>1090</x:v>
      </x:c>
      <x:c r="F2458" s="321">
        <x:v>5450</x:v>
      </x:c>
      <x:c r="G2458" s="321">
        <x:v>1450</x:v>
      </x:c>
      <x:c r="H2458" s="312" t="s">
        <x:v>65</x:v>
      </x:c>
      <x:c r="I2458" s="312" t="s">
        <x:v>44</x:v>
      </x:c>
      <x:c r="J2458" s="316" t="n">
        <x:f>IFERROR(G2458/F2458,0)</x:f>
        <x:v>0.26605504587155965</x:v>
      </x:c>
      <x:c r="K2458" s="312" t="str">
        <x:f>IF(B2458="Bilinmeyen Personel","Kontrol","OK")</x:f>
        <x:v>OK</x:v>
      </x:c>
    </x:row>
    <x:row r="2459" hidden="1">
      <x:c r="A2459" s="312" t="n">
        <x:f>ROW()-ROW($A$2)+1</x:f>
        <x:v>2458</x:v>
      </x:c>
      <x:c r="B2459" s="312" t="s">
        <x:v>19</x:v>
      </x:c>
      <x:c r="C2459" s="312" t="s">
        <x:v>22</x:v>
      </x:c>
      <x:c r="D2459" s="317">
        <x:v>2</x:v>
      </x:c>
      <x:c r="E2459" s="321">
        <x:v>2180</x:v>
      </x:c>
      <x:c r="F2459" s="321">
        <x:v>4360</x:v>
      </x:c>
      <x:c r="G2459" s="321">
        <x:v>1360</x:v>
      </x:c>
      <x:c r="H2459" s="312" t="s">
        <x:v>65</x:v>
      </x:c>
      <x:c r="I2459" s="312" t="s">
        <x:v>25</x:v>
      </x:c>
      <x:c r="J2459" s="316" t="n">
        <x:f>IFERROR(G2459/F2459,0)</x:f>
        <x:v>0.3119266055045872</x:v>
      </x:c>
      <x:c r="K2459" s="312" t="str">
        <x:f>IF(B2459="Bilinmeyen Personel","Kontrol","OK")</x:f>
        <x:v>OK</x:v>
      </x:c>
    </x:row>
    <x:row r="2460" hidden="1">
      <x:c r="A2460" s="312" t="n">
        <x:f>ROW()-ROW($A$2)+1</x:f>
        <x:v>2459</x:v>
      </x:c>
      <x:c r="B2460" s="312" t="s">
        <x:v>50</x:v>
      </x:c>
      <x:c r="C2460" s="312" t="s">
        <x:v>58</x:v>
      </x:c>
      <x:c r="D2460" s="317">
        <x:v>3</x:v>
      </x:c>
      <x:c r="E2460" s="321">
        <x:v>3700</x:v>
      </x:c>
      <x:c r="F2460" s="321">
        <x:v>11100</x:v>
      </x:c>
      <x:c r="G2460" s="321">
        <x:v>2100</x:v>
      </x:c>
      <x:c r="H2460" s="312" t="s">
        <x:v>65</x:v>
      </x:c>
      <x:c r="I2460" s="312" t="s">
        <x:v>31</x:v>
      </x:c>
      <x:c r="J2460" s="316" t="n">
        <x:f>IFERROR(G2460/F2460,0)</x:f>
        <x:v>0.1891891891891892</x:v>
      </x:c>
      <x:c r="K2460" s="312" t="str">
        <x:f>IF(B2460="Bilinmeyen Personel","Kontrol","OK")</x:f>
        <x:v>OK</x:v>
      </x:c>
    </x:row>
    <x:row r="2461" hidden="1">
      <x:c r="A2461" s="312" t="n">
        <x:f>ROW()-ROW($A$2)+1</x:f>
        <x:v>2460</x:v>
      </x:c>
      <x:c r="B2461" s="312" t="s">
        <x:v>40</x:v>
      </x:c>
      <x:c r="C2461" s="312" t="s">
        <x:v>10</x:v>
      </x:c>
      <x:c r="D2461" s="317">
        <x:v>5</x:v>
      </x:c>
      <x:c r="E2461" s="321">
        <x:v>6000</x:v>
      </x:c>
      <x:c r="F2461" s="321">
        <x:v>30000</x:v>
      </x:c>
      <x:c r="G2461" s="321">
        <x:v>10000</x:v>
      </x:c>
      <x:c r="H2461" s="312" t="s">
        <x:v>65</x:v>
      </x:c>
      <x:c r="I2461" s="312" t="s">
        <x:v>28</x:v>
      </x:c>
      <x:c r="J2461" s="316" t="n">
        <x:f>IFERROR(G2461/F2461,0)</x:f>
        <x:v>0.3333333333333333</x:v>
      </x:c>
      <x:c r="K2461" s="312" t="str">
        <x:f>IF(B2461="Bilinmeyen Personel","Kontrol","OK")</x:f>
        <x:v>OK</x:v>
      </x:c>
    </x:row>
    <x:row r="2462" hidden="1">
      <x:c r="A2462" s="312" t="n">
        <x:f>ROW()-ROW($A$2)+1</x:f>
        <x:v>2461</x:v>
      </x:c>
      <x:c r="B2462" s="312" t="s">
        <x:v>48</x:v>
      </x:c>
      <x:c r="C2462" s="312" t="s">
        <x:v>52</x:v>
      </x:c>
      <x:c r="D2462" s="317">
        <x:v>2</x:v>
      </x:c>
      <x:c r="E2462" s="321">
        <x:v>1250</x:v>
      </x:c>
      <x:c r="F2462" s="321">
        <x:v>2500</x:v>
      </x:c>
      <x:c r="G2462" s="321">
        <x:v>900</x:v>
      </x:c>
      <x:c r="H2462" s="312" t="s">
        <x:v>65</x:v>
      </x:c>
      <x:c r="I2462" s="312" t="s">
        <x:v>25</x:v>
      </x:c>
      <x:c r="J2462" s="316" t="n">
        <x:f>IFERROR(G2462/F2462,0)</x:f>
        <x:v>0.36</x:v>
      </x:c>
      <x:c r="K2462" s="312" t="str">
        <x:f>IF(B2462="Bilinmeyen Personel","Kontrol","OK")</x:f>
        <x:v>OK</x:v>
      </x:c>
    </x:row>
    <x:row r="2463" hidden="1">
      <x:c r="A2463" s="312" t="n">
        <x:f>ROW()-ROW($A$2)+1</x:f>
        <x:v>2462</x:v>
      </x:c>
      <x:c r="B2463" s="312" t="s">
        <x:v>50</x:v>
      </x:c>
      <x:c r="C2463" s="312" t="s">
        <x:v>24</x:v>
      </x:c>
      <x:c r="D2463" s="317">
        <x:v>2</x:v>
      </x:c>
      <x:c r="E2463" s="321">
        <x:v>7600</x:v>
      </x:c>
      <x:c r="F2463" s="321">
        <x:v>15200</x:v>
      </x:c>
      <x:c r="G2463" s="321">
        <x:v>3200</x:v>
      </x:c>
      <x:c r="H2463" s="312" t="s">
        <x:v>65</x:v>
      </x:c>
      <x:c r="I2463" s="312" t="s">
        <x:v>41</x:v>
      </x:c>
      <x:c r="J2463" s="316" t="n">
        <x:f>IFERROR(G2463/F2463,0)</x:f>
        <x:v>0.21052631578947367</x:v>
      </x:c>
      <x:c r="K2463" s="312" t="str">
        <x:f>IF(B2463="Bilinmeyen Personel","Kontrol","OK")</x:f>
        <x:v>OK</x:v>
      </x:c>
    </x:row>
    <x:row r="2464" hidden="1">
      <x:c r="A2464" s="312" t="n">
        <x:f>ROW()-ROW($A$2)+1</x:f>
        <x:v>2463</x:v>
      </x:c>
      <x:c r="B2464" s="312" t="s">
        <x:v>9</x:v>
      </x:c>
      <x:c r="C2464" s="312" t="s">
        <x:v>14</x:v>
      </x:c>
      <x:c r="D2464" s="317">
        <x:v>5</x:v>
      </x:c>
      <x:c r="E2464" s="321">
        <x:v>1400</x:v>
      </x:c>
      <x:c r="F2464" s="321">
        <x:v>7000</x:v>
      </x:c>
      <x:c r="G2464" s="321">
        <x:v>3000</x:v>
      </x:c>
      <x:c r="H2464" s="312" t="s">
        <x:v>65</x:v>
      </x:c>
      <x:c r="I2464" s="312" t="s">
        <x:v>21</x:v>
      </x:c>
      <x:c r="J2464" s="316" t="n">
        <x:f>IFERROR(G2464/F2464,0)</x:f>
        <x:v>0.42857142857142855</x:v>
      </x:c>
      <x:c r="K2464" s="312" t="str">
        <x:f>IF(B2464="Bilinmeyen Personel","Kontrol","OK")</x:f>
        <x:v>OK</x:v>
      </x:c>
    </x:row>
    <x:row r="2465" hidden="1">
      <x:c r="A2465" s="312" t="n">
        <x:f>ROW()-ROW($A$2)+1</x:f>
        <x:v>2464</x:v>
      </x:c>
      <x:c r="B2465" s="312" t="s">
        <x:v>23</x:v>
      </x:c>
      <x:c r="C2465" s="312" t="s">
        <x:v>22</x:v>
      </x:c>
      <x:c r="D2465" s="317">
        <x:v>3</x:v>
      </x:c>
      <x:c r="E2465" s="321">
        <x:v>2180</x:v>
      </x:c>
      <x:c r="F2465" s="321">
        <x:v>6540</x:v>
      </x:c>
      <x:c r="G2465" s="321">
        <x:v>2040</x:v>
      </x:c>
      <x:c r="H2465" s="312" t="s">
        <x:v>65</x:v>
      </x:c>
      <x:c r="I2465" s="312" t="s">
        <x:v>41</x:v>
      </x:c>
      <x:c r="J2465" s="316" t="n">
        <x:f>IFERROR(G2465/F2465,0)</x:f>
        <x:v>0.3119266055045872</x:v>
      </x:c>
      <x:c r="K2465" s="312" t="str">
        <x:f>IF(B2465="Bilinmeyen Personel","Kontrol","OK")</x:f>
        <x:v>OK</x:v>
      </x:c>
    </x:row>
    <x:row r="2466" hidden="1">
      <x:c r="A2466" s="312" t="n">
        <x:f>ROW()-ROW($A$2)+1</x:f>
        <x:v>2465</x:v>
      </x:c>
      <x:c r="B2466" s="312" t="s">
        <x:v>9</x:v>
      </x:c>
      <x:c r="C2466" s="312" t="s">
        <x:v>33</x:v>
      </x:c>
      <x:c r="D2466" s="317">
        <x:v>5</x:v>
      </x:c>
      <x:c r="E2466" s="321">
        <x:v>1800</x:v>
      </x:c>
      <x:c r="F2466" s="321">
        <x:v>9000</x:v>
      </x:c>
      <x:c r="G2466" s="321">
        <x:v>5000</x:v>
      </x:c>
      <x:c r="H2466" s="312" t="s">
        <x:v>65</x:v>
      </x:c>
      <x:c r="I2466" s="312" t="s">
        <x:v>44</x:v>
      </x:c>
      <x:c r="J2466" s="316" t="n">
        <x:f>IFERROR(G2466/F2466,0)</x:f>
        <x:v>0.5555555555555556</x:v>
      </x:c>
      <x:c r="K2466" s="312" t="str">
        <x:f>IF(B2466="Bilinmeyen Personel","Kontrol","OK")</x:f>
        <x:v>OK</x:v>
      </x:c>
    </x:row>
    <x:row r="2467" hidden="1">
      <x:c r="A2467" s="312" t="n">
        <x:f>ROW()-ROW($A$2)+1</x:f>
        <x:v>2466</x:v>
      </x:c>
      <x:c r="B2467" s="312" t="s">
        <x:v>16</x:v>
      </x:c>
      <x:c r="C2467" s="312" t="s">
        <x:v>57</x:v>
      </x:c>
      <x:c r="D2467" s="317">
        <x:v>5</x:v>
      </x:c>
      <x:c r="E2467" s="321">
        <x:v>1500</x:v>
      </x:c>
      <x:c r="F2467" s="321">
        <x:v>7500</x:v>
      </x:c>
      <x:c r="G2467" s="321">
        <x:v>3500</x:v>
      </x:c>
      <x:c r="H2467" s="312" t="s">
        <x:v>65</x:v>
      </x:c>
      <x:c r="I2467" s="312" t="s">
        <x:v>18</x:v>
      </x:c>
      <x:c r="J2467" s="316" t="n">
        <x:f>IFERROR(G2467/F2467,0)</x:f>
        <x:v>0.4666666666666667</x:v>
      </x:c>
      <x:c r="K2467" s="312" t="str">
        <x:f>IF(B2467="Bilinmeyen Personel","Kontrol","OK")</x:f>
        <x:v>OK</x:v>
      </x:c>
    </x:row>
    <x:row r="2468" hidden="1">
      <x:c r="A2468" s="312" t="n">
        <x:f>ROW()-ROW($A$2)+1</x:f>
        <x:v>2467</x:v>
      </x:c>
      <x:c r="B2468" s="312" t="s">
        <x:v>32</x:v>
      </x:c>
      <x:c r="C2468" s="312" t="s">
        <x:v>17</x:v>
      </x:c>
      <x:c r="D2468" s="317">
        <x:v>4</x:v>
      </x:c>
      <x:c r="E2468" s="321">
        <x:v>8450</x:v>
      </x:c>
      <x:c r="F2468" s="321">
        <x:v>33800</x:v>
      </x:c>
      <x:c r="G2468" s="321">
        <x:v>9800</x:v>
      </x:c>
      <x:c r="H2468" s="312" t="s">
        <x:v>65</x:v>
      </x:c>
      <x:c r="I2468" s="312" t="s">
        <x:v>15</x:v>
      </x:c>
      <x:c r="J2468" s="316" t="n">
        <x:f>IFERROR(G2468/F2468,0)</x:f>
        <x:v>0.28994082840236685</x:v>
      </x:c>
      <x:c r="K2468" s="312" t="str">
        <x:f>IF(B2468="Bilinmeyen Personel","Kontrol","OK")</x:f>
        <x:v>OK</x:v>
      </x:c>
    </x:row>
    <x:row r="2469" hidden="1">
      <x:c r="A2469" s="312" t="n">
        <x:f>ROW()-ROW($A$2)+1</x:f>
        <x:v>2468</x:v>
      </x:c>
      <x:c r="B2469" s="312" t="s">
        <x:v>40</x:v>
      </x:c>
      <x:c r="C2469" s="312" t="s">
        <x:v>57</x:v>
      </x:c>
      <x:c r="D2469" s="317">
        <x:v>3</x:v>
      </x:c>
      <x:c r="E2469" s="321">
        <x:v>1500</x:v>
      </x:c>
      <x:c r="F2469" s="321">
        <x:v>4500</x:v>
      </x:c>
      <x:c r="G2469" s="321">
        <x:v>2100</x:v>
      </x:c>
      <x:c r="H2469" s="312" t="s">
        <x:v>65</x:v>
      </x:c>
      <x:c r="I2469" s="312" t="s">
        <x:v>21</x:v>
      </x:c>
      <x:c r="J2469" s="316" t="n">
        <x:f>IFERROR(G2469/F2469,0)</x:f>
        <x:v>0.4666666666666667</x:v>
      </x:c>
      <x:c r="K2469" s="312" t="str">
        <x:f>IF(B2469="Bilinmeyen Personel","Kontrol","OK")</x:f>
        <x:v>OK</x:v>
      </x:c>
    </x:row>
    <x:row r="2470" hidden="1">
      <x:c r="A2470" s="312" t="n">
        <x:f>ROW()-ROW($A$2)+1</x:f>
        <x:v>2469</x:v>
      </x:c>
      <x:c r="B2470" s="312" t="s">
        <x:v>29</x:v>
      </x:c>
      <x:c r="C2470" s="312" t="s">
        <x:v>10</x:v>
      </x:c>
      <x:c r="D2470" s="317">
        <x:v>3</x:v>
      </x:c>
      <x:c r="E2470" s="321">
        <x:v>6000</x:v>
      </x:c>
      <x:c r="F2470" s="321">
        <x:v>18000</x:v>
      </x:c>
      <x:c r="G2470" s="321">
        <x:v>6000</x:v>
      </x:c>
      <x:c r="H2470" s="312" t="s">
        <x:v>65</x:v>
      </x:c>
      <x:c r="I2470" s="312" t="s">
        <x:v>46</x:v>
      </x:c>
      <x:c r="J2470" s="316" t="n">
        <x:f>IFERROR(G2470/F2470,0)</x:f>
        <x:v>0.3333333333333333</x:v>
      </x:c>
      <x:c r="K2470" s="312" t="str">
        <x:f>IF(B2470="Bilinmeyen Personel","Kontrol","OK")</x:f>
        <x:v>OK</x:v>
      </x:c>
    </x:row>
    <x:row r="2471" hidden="1">
      <x:c r="A2471" s="312" t="n">
        <x:f>ROW()-ROW($A$2)+1</x:f>
        <x:v>2470</x:v>
      </x:c>
      <x:c r="B2471" s="312" t="s">
        <x:v>50</x:v>
      </x:c>
      <x:c r="C2471" s="312" t="s">
        <x:v>53</x:v>
      </x:c>
      <x:c r="D2471" s="317">
        <x:v>5</x:v>
      </x:c>
      <x:c r="E2471" s="321">
        <x:v>1200</x:v>
      </x:c>
      <x:c r="F2471" s="321">
        <x:v>6000</x:v>
      </x:c>
      <x:c r="G2471" s="321">
        <x:v>2000</x:v>
      </x:c>
      <x:c r="H2471" s="312" t="s">
        <x:v>65</x:v>
      </x:c>
      <x:c r="I2471" s="312" t="s">
        <x:v>37</x:v>
      </x:c>
      <x:c r="J2471" s="316" t="n">
        <x:f>IFERROR(G2471/F2471,0)</x:f>
        <x:v>0.3333333333333333</x:v>
      </x:c>
      <x:c r="K2471" s="312" t="str">
        <x:f>IF(B2471="Bilinmeyen Personel","Kontrol","OK")</x:f>
        <x:v>OK</x:v>
      </x:c>
    </x:row>
    <x:row r="2472" hidden="1">
      <x:c r="A2472" s="312" t="n">
        <x:f>ROW()-ROW($A$2)+1</x:f>
        <x:v>2471</x:v>
      </x:c>
      <x:c r="B2472" s="312" t="s">
        <x:v>9</x:v>
      </x:c>
      <x:c r="C2472" s="312" t="s">
        <x:v>45</x:v>
      </x:c>
      <x:c r="D2472" s="317">
        <x:v>2</x:v>
      </x:c>
      <x:c r="E2472" s="321">
        <x:v>4200</x:v>
      </x:c>
      <x:c r="F2472" s="321">
        <x:v>8400</x:v>
      </x:c>
      <x:c r="G2472" s="321">
        <x:v>2400</x:v>
      </x:c>
      <x:c r="H2472" s="312" t="s">
        <x:v>65</x:v>
      </x:c>
      <x:c r="I2472" s="312" t="s">
        <x:v>21</x:v>
      </x:c>
      <x:c r="J2472" s="316" t="n">
        <x:f>IFERROR(G2472/F2472,0)</x:f>
        <x:v>0.2857142857142857</x:v>
      </x:c>
      <x:c r="K2472" s="312" t="str">
        <x:f>IF(B2472="Bilinmeyen Personel","Kontrol","OK")</x:f>
        <x:v>OK</x:v>
      </x:c>
    </x:row>
    <x:row r="2473" hidden="1">
      <x:c r="A2473" s="312" t="n">
        <x:f>ROW()-ROW($A$2)+1</x:f>
        <x:v>2472</x:v>
      </x:c>
      <x:c r="B2473" s="312" t="s">
        <x:v>48</x:v>
      </x:c>
      <x:c r="C2473" s="312" t="s">
        <x:v>24</x:v>
      </x:c>
      <x:c r="D2473" s="317">
        <x:v>4</x:v>
      </x:c>
      <x:c r="E2473" s="321">
        <x:v>7600</x:v>
      </x:c>
      <x:c r="F2473" s="321">
        <x:v>30400</x:v>
      </x:c>
      <x:c r="G2473" s="321">
        <x:v>6400</x:v>
      </x:c>
      <x:c r="H2473" s="312" t="s">
        <x:v>65</x:v>
      </x:c>
      <x:c r="I2473" s="312" t="s">
        <x:v>28</x:v>
      </x:c>
      <x:c r="J2473" s="316" t="n">
        <x:f>IFERROR(G2473/F2473,0)</x:f>
        <x:v>0.21052631578947367</x:v>
      </x:c>
      <x:c r="K2473" s="312" t="str">
        <x:f>IF(B2473="Bilinmeyen Personel","Kontrol","OK")</x:f>
        <x:v>OK</x:v>
      </x:c>
    </x:row>
    <x:row r="2474" hidden="1">
      <x:c r="A2474" s="312" t="n">
        <x:f>ROW()-ROW($A$2)+1</x:f>
        <x:v>2473</x:v>
      </x:c>
      <x:c r="B2474" s="312" t="s">
        <x:v>29</x:v>
      </x:c>
      <x:c r="C2474" s="312" t="s">
        <x:v>26</x:v>
      </x:c>
      <x:c r="D2474" s="317">
        <x:v>2</x:v>
      </x:c>
      <x:c r="E2474" s="321">
        <x:v>7250</x:v>
      </x:c>
      <x:c r="F2474" s="321">
        <x:v>14500</x:v>
      </x:c>
      <x:c r="G2474" s="321">
        <x:v>4500</x:v>
      </x:c>
      <x:c r="H2474" s="312" t="s">
        <x:v>65</x:v>
      </x:c>
      <x:c r="I2474" s="312" t="s">
        <x:v>41</x:v>
      </x:c>
      <x:c r="J2474" s="316" t="n">
        <x:f>IFERROR(G2474/F2474,0)</x:f>
        <x:v>0.3103448275862069</x:v>
      </x:c>
      <x:c r="K2474" s="312" t="str">
        <x:f>IF(B2474="Bilinmeyen Personel","Kontrol","OK")</x:f>
        <x:v>OK</x:v>
      </x:c>
    </x:row>
    <x:row r="2475" hidden="1">
      <x:c r="A2475" s="312" t="n">
        <x:f>ROW()-ROW($A$2)+1</x:f>
        <x:v>2474</x:v>
      </x:c>
      <x:c r="B2475" s="312" t="s">
        <x:v>13</x:v>
      </x:c>
      <x:c r="C2475" s="312" t="s">
        <x:v>55</x:v>
      </x:c>
      <x:c r="D2475" s="317">
        <x:v>3</x:v>
      </x:c>
      <x:c r="E2475" s="321">
        <x:v>7530</x:v>
      </x:c>
      <x:c r="F2475" s="321">
        <x:v>22590</x:v>
      </x:c>
      <x:c r="G2475" s="321">
        <x:v>4590</x:v>
      </x:c>
      <x:c r="H2475" s="312" t="s">
        <x:v>65</x:v>
      </x:c>
      <x:c r="I2475" s="312" t="s">
        <x:v>12</x:v>
      </x:c>
      <x:c r="J2475" s="316" t="n">
        <x:f>IFERROR(G2475/F2475,0)</x:f>
        <x:v>0.20318725099601595</x:v>
      </x:c>
      <x:c r="K2475" s="312" t="str">
        <x:f>IF(B2475="Bilinmeyen Personel","Kontrol","OK")</x:f>
        <x:v>OK</x:v>
      </x:c>
    </x:row>
    <x:row r="2476" hidden="1">
      <x:c r="A2476" s="312" t="n">
        <x:f>ROW()-ROW($A$2)+1</x:f>
        <x:v>2475</x:v>
      </x:c>
      <x:c r="B2476" s="312" t="s">
        <x:v>16</x:v>
      </x:c>
      <x:c r="C2476" s="312" t="s">
        <x:v>26</x:v>
      </x:c>
      <x:c r="D2476" s="317">
        <x:v>5</x:v>
      </x:c>
      <x:c r="E2476" s="321">
        <x:v>7250</x:v>
      </x:c>
      <x:c r="F2476" s="321">
        <x:v>36250</x:v>
      </x:c>
      <x:c r="G2476" s="321">
        <x:v>11250</x:v>
      </x:c>
      <x:c r="H2476" s="312" t="s">
        <x:v>66</x:v>
      </x:c>
      <x:c r="I2476" s="312" t="s">
        <x:v>12</x:v>
      </x:c>
      <x:c r="J2476" s="316" t="n">
        <x:f>IFERROR(G2476/F2476,0)</x:f>
        <x:v>0.3103448275862069</x:v>
      </x:c>
      <x:c r="K2476" s="312" t="str">
        <x:f>IF(B2476="Bilinmeyen Personel","Kontrol","OK")</x:f>
        <x:v>OK</x:v>
      </x:c>
    </x:row>
    <x:row r="2477" hidden="1">
      <x:c r="A2477" s="312" t="n">
        <x:f>ROW()-ROW($A$2)+1</x:f>
        <x:v>2476</x:v>
      </x:c>
      <x:c r="B2477" s="312" t="s">
        <x:v>13</x:v>
      </x:c>
      <x:c r="C2477" s="312" t="s">
        <x:v>10</x:v>
      </x:c>
      <x:c r="D2477" s="317">
        <x:v>5</x:v>
      </x:c>
      <x:c r="E2477" s="321">
        <x:v>6000</x:v>
      </x:c>
      <x:c r="F2477" s="321">
        <x:v>30000</x:v>
      </x:c>
      <x:c r="G2477" s="321">
        <x:v>10000</x:v>
      </x:c>
      <x:c r="H2477" s="312" t="s">
        <x:v>66</x:v>
      </x:c>
      <x:c r="I2477" s="312" t="s">
        <x:v>28</x:v>
      </x:c>
      <x:c r="J2477" s="316" t="n">
        <x:f>IFERROR(G2477/F2477,0)</x:f>
        <x:v>0.3333333333333333</x:v>
      </x:c>
      <x:c r="K2477" s="312" t="str">
        <x:f>IF(B2477="Bilinmeyen Personel","Kontrol","OK")</x:f>
        <x:v>OK</x:v>
      </x:c>
    </x:row>
    <x:row r="2478" hidden="1">
      <x:c r="A2478" s="312" t="n">
        <x:f>ROW()-ROW($A$2)+1</x:f>
        <x:v>2477</x:v>
      </x:c>
      <x:c r="B2478" s="312" t="s">
        <x:v>29</x:v>
      </x:c>
      <x:c r="C2478" s="312" t="s">
        <x:v>53</x:v>
      </x:c>
      <x:c r="D2478" s="317">
        <x:v>2</x:v>
      </x:c>
      <x:c r="E2478" s="321">
        <x:v>1200</x:v>
      </x:c>
      <x:c r="F2478" s="321">
        <x:v>2400</x:v>
      </x:c>
      <x:c r="G2478" s="321">
        <x:v>800</x:v>
      </x:c>
      <x:c r="H2478" s="312" t="s">
        <x:v>66</x:v>
      </x:c>
      <x:c r="I2478" s="312" t="s">
        <x:v>41</x:v>
      </x:c>
      <x:c r="J2478" s="316" t="n">
        <x:f>IFERROR(G2478/F2478,0)</x:f>
        <x:v>0.3333333333333333</x:v>
      </x:c>
      <x:c r="K2478" s="312" t="str">
        <x:f>IF(B2478="Bilinmeyen Personel","Kontrol","OK")</x:f>
        <x:v>OK</x:v>
      </x:c>
    </x:row>
    <x:row r="2479" hidden="1">
      <x:c r="A2479" s="312" t="n">
        <x:f>ROW()-ROW($A$2)+1</x:f>
        <x:v>2478</x:v>
      </x:c>
      <x:c r="B2479" s="312" t="s">
        <x:v>50</x:v>
      </x:c>
      <x:c r="C2479" s="312" t="s">
        <x:v>56</x:v>
      </x:c>
      <x:c r="D2479" s="317">
        <x:v>5</x:v>
      </x:c>
      <x:c r="E2479" s="321">
        <x:v>5300</x:v>
      </x:c>
      <x:c r="F2479" s="321">
        <x:v>26500</x:v>
      </x:c>
      <x:c r="G2479" s="321">
        <x:v>6500</x:v>
      </x:c>
      <x:c r="H2479" s="312" t="s">
        <x:v>66</x:v>
      </x:c>
      <x:c r="I2479" s="312" t="s">
        <x:v>37</x:v>
      </x:c>
      <x:c r="J2479" s="316" t="n">
        <x:f>IFERROR(G2479/F2479,0)</x:f>
        <x:v>0.24528301886792453</x:v>
      </x:c>
      <x:c r="K2479" s="312" t="str">
        <x:f>IF(B2479="Bilinmeyen Personel","Kontrol","OK")</x:f>
        <x:v>OK</x:v>
      </x:c>
    </x:row>
    <x:row r="2480" hidden="1">
      <x:c r="A2480" s="312" t="n">
        <x:f>ROW()-ROW($A$2)+1</x:f>
        <x:v>2479</x:v>
      </x:c>
      <x:c r="B2480" s="312" t="s">
        <x:v>38</x:v>
      </x:c>
      <x:c r="C2480" s="312" t="s">
        <x:v>17</x:v>
      </x:c>
      <x:c r="D2480" s="317">
        <x:v>5</x:v>
      </x:c>
      <x:c r="E2480" s="321">
        <x:v>8450</x:v>
      </x:c>
      <x:c r="F2480" s="321">
        <x:v>42250</x:v>
      </x:c>
      <x:c r="G2480" s="321">
        <x:v>12250</x:v>
      </x:c>
      <x:c r="H2480" s="312" t="s">
        <x:v>66</x:v>
      </x:c>
      <x:c r="I2480" s="312" t="s">
        <x:v>31</x:v>
      </x:c>
      <x:c r="J2480" s="316" t="n">
        <x:f>IFERROR(G2480/F2480,0)</x:f>
        <x:v>0.28994082840236685</x:v>
      </x:c>
      <x:c r="K2480" s="312" t="str">
        <x:f>IF(B2480="Bilinmeyen Personel","Kontrol","OK")</x:f>
        <x:v>OK</x:v>
      </x:c>
    </x:row>
    <x:row r="2481" hidden="1">
      <x:c r="A2481" s="312" t="n">
        <x:f>ROW()-ROW($A$2)+1</x:f>
        <x:v>2480</x:v>
      </x:c>
      <x:c r="B2481" s="312" t="s">
        <x:v>23</x:v>
      </x:c>
      <x:c r="C2481" s="312" t="s">
        <x:v>20</x:v>
      </x:c>
      <x:c r="D2481" s="317">
        <x:v>2</x:v>
      </x:c>
      <x:c r="E2481" s="321">
        <x:v>1350</x:v>
      </x:c>
      <x:c r="F2481" s="321">
        <x:v>2700</x:v>
      </x:c>
      <x:c r="G2481" s="321">
        <x:v>1100</x:v>
      </x:c>
      <x:c r="H2481" s="312" t="s">
        <x:v>66</x:v>
      </x:c>
      <x:c r="I2481" s="312" t="s">
        <x:v>42</x:v>
      </x:c>
      <x:c r="J2481" s="316" t="n">
        <x:f>IFERROR(G2481/F2481,0)</x:f>
        <x:v>0.4074074074074074</x:v>
      </x:c>
      <x:c r="K2481" s="312" t="str">
        <x:f>IF(B2481="Bilinmeyen Personel","Kontrol","OK")</x:f>
        <x:v>OK</x:v>
      </x:c>
    </x:row>
    <x:row r="2482" hidden="1">
      <x:c r="A2482" s="312" t="n">
        <x:f>ROW()-ROW($A$2)+1</x:f>
        <x:v>2481</x:v>
      </x:c>
      <x:c r="B2482" s="312" t="s">
        <x:v>32</x:v>
      </x:c>
      <x:c r="C2482" s="312" t="s">
        <x:v>34</x:v>
      </x:c>
      <x:c r="D2482" s="317">
        <x:v>5</x:v>
      </x:c>
      <x:c r="E2482" s="321">
        <x:v>1090</x:v>
      </x:c>
      <x:c r="F2482" s="321">
        <x:v>5450</x:v>
      </x:c>
      <x:c r="G2482" s="321">
        <x:v>1450</x:v>
      </x:c>
      <x:c r="H2482" s="312" t="s">
        <x:v>66</x:v>
      </x:c>
      <x:c r="I2482" s="312" t="s">
        <x:v>21</x:v>
      </x:c>
      <x:c r="J2482" s="316" t="n">
        <x:f>IFERROR(G2482/F2482,0)</x:f>
        <x:v>0.26605504587155965</x:v>
      </x:c>
      <x:c r="K2482" s="312" t="str">
        <x:f>IF(B2482="Bilinmeyen Personel","Kontrol","OK")</x:f>
        <x:v>OK</x:v>
      </x:c>
    </x:row>
    <x:row r="2483" hidden="1">
      <x:c r="A2483" s="312" t="n">
        <x:f>ROW()-ROW($A$2)+1</x:f>
        <x:v>2482</x:v>
      </x:c>
      <x:c r="B2483" s="312" t="s">
        <x:v>23</x:v>
      </x:c>
      <x:c r="C2483" s="312" t="s">
        <x:v>22</x:v>
      </x:c>
      <x:c r="D2483" s="317">
        <x:v>5</x:v>
      </x:c>
      <x:c r="E2483" s="321">
        <x:v>2180</x:v>
      </x:c>
      <x:c r="F2483" s="321">
        <x:v>10900</x:v>
      </x:c>
      <x:c r="G2483" s="321">
        <x:v>3400</x:v>
      </x:c>
      <x:c r="H2483" s="312" t="s">
        <x:v>66</x:v>
      </x:c>
      <x:c r="I2483" s="312" t="s">
        <x:v>42</x:v>
      </x:c>
      <x:c r="J2483" s="316" t="n">
        <x:f>IFERROR(G2483/F2483,0)</x:f>
        <x:v>0.3119266055045872</x:v>
      </x:c>
      <x:c r="K2483" s="312" t="str">
        <x:f>IF(B2483="Bilinmeyen Personel","Kontrol","OK")</x:f>
        <x:v>OK</x:v>
      </x:c>
    </x:row>
    <x:row r="2484" hidden="1">
      <x:c r="A2484" s="312" t="n">
        <x:f>ROW()-ROW($A$2)+1</x:f>
        <x:v>2483</x:v>
      </x:c>
      <x:c r="B2484" s="312" t="s">
        <x:v>9</x:v>
      </x:c>
      <x:c r="C2484" s="312" t="s">
        <x:v>10</x:v>
      </x:c>
      <x:c r="D2484" s="317">
        <x:v>2</x:v>
      </x:c>
      <x:c r="E2484" s="321">
        <x:v>6000</x:v>
      </x:c>
      <x:c r="F2484" s="321">
        <x:v>12000</x:v>
      </x:c>
      <x:c r="G2484" s="321">
        <x:v>4000</x:v>
      </x:c>
      <x:c r="H2484" s="312" t="s">
        <x:v>66</x:v>
      </x:c>
      <x:c r="I2484" s="312" t="s">
        <x:v>12</x:v>
      </x:c>
      <x:c r="J2484" s="316" t="n">
        <x:f>IFERROR(G2484/F2484,0)</x:f>
        <x:v>0.3333333333333333</x:v>
      </x:c>
      <x:c r="K2484" s="312" t="str">
        <x:f>IF(B2484="Bilinmeyen Personel","Kontrol","OK")</x:f>
        <x:v>OK</x:v>
      </x:c>
    </x:row>
    <x:row r="2485" hidden="1">
      <x:c r="A2485" s="312" t="n">
        <x:f>ROW()-ROW($A$2)+1</x:f>
        <x:v>2484</x:v>
      </x:c>
      <x:c r="B2485" s="312" t="s">
        <x:v>13</x:v>
      </x:c>
      <x:c r="C2485" s="312" t="s">
        <x:v>14</x:v>
      </x:c>
      <x:c r="D2485" s="317">
        <x:v>3</x:v>
      </x:c>
      <x:c r="E2485" s="321">
        <x:v>1400</x:v>
      </x:c>
      <x:c r="F2485" s="321">
        <x:v>4200</x:v>
      </x:c>
      <x:c r="G2485" s="321">
        <x:v>1800</x:v>
      </x:c>
      <x:c r="H2485" s="312" t="s">
        <x:v>66</x:v>
      </x:c>
      <x:c r="I2485" s="312" t="s">
        <x:v>41</x:v>
      </x:c>
      <x:c r="J2485" s="316" t="n">
        <x:f>IFERROR(G2485/F2485,0)</x:f>
        <x:v>0.42857142857142855</x:v>
      </x:c>
      <x:c r="K2485" s="312" t="str">
        <x:f>IF(B2485="Bilinmeyen Personel","Kontrol","OK")</x:f>
        <x:v>OK</x:v>
      </x:c>
    </x:row>
    <x:row r="2486" hidden="1">
      <x:c r="A2486" s="312" t="n">
        <x:f>ROW()-ROW($A$2)+1</x:f>
        <x:v>2485</x:v>
      </x:c>
      <x:c r="B2486" s="312" t="s">
        <x:v>16</x:v>
      </x:c>
      <x:c r="C2486" s="312" t="s">
        <x:v>17</x:v>
      </x:c>
      <x:c r="D2486" s="317">
        <x:v>5</x:v>
      </x:c>
      <x:c r="E2486" s="321">
        <x:v>8450</x:v>
      </x:c>
      <x:c r="F2486" s="321">
        <x:v>42250</x:v>
      </x:c>
      <x:c r="G2486" s="321">
        <x:v>12250</x:v>
      </x:c>
      <x:c r="H2486" s="312" t="s">
        <x:v>66</x:v>
      </x:c>
      <x:c r="I2486" s="312" t="s">
        <x:v>31</x:v>
      </x:c>
      <x:c r="J2486" s="316" t="n">
        <x:f>IFERROR(G2486/F2486,0)</x:f>
        <x:v>0.28994082840236685</x:v>
      </x:c>
      <x:c r="K2486" s="312" t="str">
        <x:f>IF(B2486="Bilinmeyen Personel","Kontrol","OK")</x:f>
        <x:v>OK</x:v>
      </x:c>
    </x:row>
    <x:row r="2487" hidden="1">
      <x:c r="A2487" s="312" t="n">
        <x:f>ROW()-ROW($A$2)+1</x:f>
        <x:v>2486</x:v>
      </x:c>
      <x:c r="B2487" s="312" t="s">
        <x:v>19</x:v>
      </x:c>
      <x:c r="C2487" s="312" t="s">
        <x:v>20</x:v>
      </x:c>
      <x:c r="D2487" s="317">
        <x:v>5</x:v>
      </x:c>
      <x:c r="E2487" s="321">
        <x:v>1350</x:v>
      </x:c>
      <x:c r="F2487" s="321">
        <x:v>6750</x:v>
      </x:c>
      <x:c r="G2487" s="321">
        <x:v>2750</x:v>
      </x:c>
      <x:c r="H2487" s="312" t="s">
        <x:v>66</x:v>
      </x:c>
      <x:c r="I2487" s="312" t="s">
        <x:v>25</x:v>
      </x:c>
      <x:c r="J2487" s="316" t="n">
        <x:f>IFERROR(G2487/F2487,0)</x:f>
        <x:v>0.4074074074074074</x:v>
      </x:c>
      <x:c r="K2487" s="312" t="str">
        <x:f>IF(B2487="Bilinmeyen Personel","Kontrol","OK")</x:f>
        <x:v>OK</x:v>
      </x:c>
    </x:row>
    <x:row r="2488" hidden="1">
      <x:c r="A2488" s="312" t="n">
        <x:f>ROW()-ROW($A$2)+1</x:f>
        <x:v>2487</x:v>
      </x:c>
      <x:c r="B2488" s="312" t="s">
        <x:v>9</x:v>
      </x:c>
      <x:c r="C2488" s="312" t="s">
        <x:v>22</x:v>
      </x:c>
      <x:c r="D2488" s="317">
        <x:v>2</x:v>
      </x:c>
      <x:c r="E2488" s="321">
        <x:v>2180</x:v>
      </x:c>
      <x:c r="F2488" s="321">
        <x:v>4360</x:v>
      </x:c>
      <x:c r="G2488" s="321">
        <x:v>1360</x:v>
      </x:c>
      <x:c r="H2488" s="312" t="s">
        <x:v>66</x:v>
      </x:c>
      <x:c r="I2488" s="312" t="s">
        <x:v>25</x:v>
      </x:c>
      <x:c r="J2488" s="316" t="n">
        <x:f>IFERROR(G2488/F2488,0)</x:f>
        <x:v>0.3119266055045872</x:v>
      </x:c>
      <x:c r="K2488" s="312" t="str">
        <x:f>IF(B2488="Bilinmeyen Personel","Kontrol","OK")</x:f>
        <x:v>OK</x:v>
      </x:c>
    </x:row>
    <x:row r="2489" hidden="1">
      <x:c r="A2489" s="312" t="n">
        <x:f>ROW()-ROW($A$2)+1</x:f>
        <x:v>2488</x:v>
      </x:c>
      <x:c r="B2489" s="312" t="s">
        <x:v>23</x:v>
      </x:c>
      <x:c r="C2489" s="312" t="s">
        <x:v>24</x:v>
      </x:c>
      <x:c r="D2489" s="317">
        <x:v>5</x:v>
      </x:c>
      <x:c r="E2489" s="321">
        <x:v>7600</x:v>
      </x:c>
      <x:c r="F2489" s="321">
        <x:v>38000</x:v>
      </x:c>
      <x:c r="G2489" s="321">
        <x:v>8000</x:v>
      </x:c>
      <x:c r="H2489" s="312" t="s">
        <x:v>66</x:v>
      </x:c>
      <x:c r="I2489" s="312" t="s">
        <x:v>31</x:v>
      </x:c>
      <x:c r="J2489" s="316" t="n">
        <x:f>IFERROR(G2489/F2489,0)</x:f>
        <x:v>0.21052631578947367</x:v>
      </x:c>
      <x:c r="K2489" s="312" t="str">
        <x:f>IF(B2489="Bilinmeyen Personel","Kontrol","OK")</x:f>
        <x:v>OK</x:v>
      </x:c>
    </x:row>
    <x:row r="2490" hidden="1">
      <x:c r="A2490" s="312" t="n">
        <x:f>ROW()-ROW($A$2)+1</x:f>
        <x:v>2489</x:v>
      </x:c>
      <x:c r="B2490" s="312" t="s">
        <x:v>13</x:v>
      </x:c>
      <x:c r="C2490" s="312" t="s">
        <x:v>26</x:v>
      </x:c>
      <x:c r="D2490" s="317">
        <x:v>4</x:v>
      </x:c>
      <x:c r="E2490" s="321">
        <x:v>7250</x:v>
      </x:c>
      <x:c r="F2490" s="321">
        <x:v>29000</x:v>
      </x:c>
      <x:c r="G2490" s="321">
        <x:v>9000</x:v>
      </x:c>
      <x:c r="H2490" s="312" t="s">
        <x:v>66</x:v>
      </x:c>
      <x:c r="I2490" s="312" t="s">
        <x:v>46</x:v>
      </x:c>
      <x:c r="J2490" s="316" t="n">
        <x:f>IFERROR(G2490/F2490,0)</x:f>
        <x:v>0.3103448275862069</x:v>
      </x:c>
      <x:c r="K2490" s="312" t="str">
        <x:f>IF(B2490="Bilinmeyen Personel","Kontrol","OK")</x:f>
        <x:v>OK</x:v>
      </x:c>
    </x:row>
    <x:row r="2491" hidden="1">
      <x:c r="A2491" s="312" t="n">
        <x:f>ROW()-ROW($A$2)+1</x:f>
        <x:v>2490</x:v>
      </x:c>
      <x:c r="B2491" s="312" t="s">
        <x:v>19</x:v>
      </x:c>
      <x:c r="C2491" s="312" t="s">
        <x:v>27</x:v>
      </x:c>
      <x:c r="D2491" s="317">
        <x:v>2</x:v>
      </x:c>
      <x:c r="E2491" s="321">
        <x:v>1100</x:v>
      </x:c>
      <x:c r="F2491" s="321">
        <x:v>2200</x:v>
      </x:c>
      <x:c r="G2491" s="321">
        <x:v>600</x:v>
      </x:c>
      <x:c r="H2491" s="312" t="s">
        <x:v>66</x:v>
      </x:c>
      <x:c r="I2491" s="312" t="s">
        <x:v>25</x:v>
      </x:c>
      <x:c r="J2491" s="316" t="n">
        <x:f>IFERROR(G2491/F2491,0)</x:f>
        <x:v>0.2727272727272727</x:v>
      </x:c>
      <x:c r="K2491" s="312" t="str">
        <x:f>IF(B2491="Bilinmeyen Personel","Kontrol","OK")</x:f>
        <x:v>OK</x:v>
      </x:c>
    </x:row>
    <x:row r="2492" hidden="1">
      <x:c r="A2492" s="312" t="n">
        <x:f>ROW()-ROW($A$2)+1</x:f>
        <x:v>2491</x:v>
      </x:c>
      <x:c r="B2492" s="312" t="s">
        <x:v>29</x:v>
      </x:c>
      <x:c r="C2492" s="312" t="s">
        <x:v>10</x:v>
      </x:c>
      <x:c r="D2492" s="317">
        <x:v>5</x:v>
      </x:c>
      <x:c r="E2492" s="321">
        <x:v>6000</x:v>
      </x:c>
      <x:c r="F2492" s="321">
        <x:v>30000</x:v>
      </x:c>
      <x:c r="G2492" s="321">
        <x:v>10000</x:v>
      </x:c>
      <x:c r="H2492" s="312" t="s">
        <x:v>66</x:v>
      </x:c>
      <x:c r="I2492" s="312" t="s">
        <x:v>41</x:v>
      </x:c>
      <x:c r="J2492" s="316" t="n">
        <x:f>IFERROR(G2492/F2492,0)</x:f>
        <x:v>0.3333333333333333</x:v>
      </x:c>
      <x:c r="K2492" s="312" t="str">
        <x:f>IF(B2492="Bilinmeyen Personel","Kontrol","OK")</x:f>
        <x:v>OK</x:v>
      </x:c>
    </x:row>
    <x:row r="2493" hidden="1">
      <x:c r="A2493" s="312" t="n">
        <x:f>ROW()-ROW($A$2)+1</x:f>
        <x:v>2492</x:v>
      </x:c>
      <x:c r="B2493" s="312" t="s">
        <x:v>9</x:v>
      </x:c>
      <x:c r="C2493" s="312" t="s">
        <x:v>30</x:v>
      </x:c>
      <x:c r="D2493" s="317">
        <x:v>3</x:v>
      </x:c>
      <x:c r="E2493" s="321">
        <x:v>1200</x:v>
      </x:c>
      <x:c r="F2493" s="321">
        <x:v>3600</x:v>
      </x:c>
      <x:c r="G2493" s="321">
        <x:v>1200</x:v>
      </x:c>
      <x:c r="H2493" s="312" t="s">
        <x:v>66</x:v>
      </x:c>
      <x:c r="I2493" s="312" t="s">
        <x:v>37</x:v>
      </x:c>
      <x:c r="J2493" s="316" t="n">
        <x:f>IFERROR(G2493/F2493,0)</x:f>
        <x:v>0.3333333333333333</x:v>
      </x:c>
      <x:c r="K2493" s="312" t="str">
        <x:f>IF(B2493="Bilinmeyen Personel","Kontrol","OK")</x:f>
        <x:v>OK</x:v>
      </x:c>
    </x:row>
    <x:row r="2494" hidden="1">
      <x:c r="A2494" s="312" t="n">
        <x:f>ROW()-ROW($A$2)+1</x:f>
        <x:v>2493</x:v>
      </x:c>
      <x:c r="B2494" s="312" t="s">
        <x:v>32</x:v>
      </x:c>
      <x:c r="C2494" s="312" t="s">
        <x:v>33</x:v>
      </x:c>
      <x:c r="D2494" s="317">
        <x:v>3</x:v>
      </x:c>
      <x:c r="E2494" s="321">
        <x:v>1800</x:v>
      </x:c>
      <x:c r="F2494" s="321">
        <x:v>5400</x:v>
      </x:c>
      <x:c r="G2494" s="321">
        <x:v>3000</x:v>
      </x:c>
      <x:c r="H2494" s="312" t="s">
        <x:v>66</x:v>
      </x:c>
      <x:c r="I2494" s="312" t="s">
        <x:v>12</x:v>
      </x:c>
      <x:c r="J2494" s="316" t="n">
        <x:f>IFERROR(G2494/F2494,0)</x:f>
        <x:v>0.5555555555555556</x:v>
      </x:c>
      <x:c r="K2494" s="312" t="str">
        <x:f>IF(B2494="Bilinmeyen Personel","Kontrol","OK")</x:f>
        <x:v>OK</x:v>
      </x:c>
    </x:row>
    <x:row r="2495" hidden="1">
      <x:c r="A2495" s="312" t="n">
        <x:f>ROW()-ROW($A$2)+1</x:f>
        <x:v>2494</x:v>
      </x:c>
      <x:c r="B2495" s="312" t="s">
        <x:v>32</x:v>
      </x:c>
      <x:c r="C2495" s="312" t="s">
        <x:v>34</x:v>
      </x:c>
      <x:c r="D2495" s="317">
        <x:v>3</x:v>
      </x:c>
      <x:c r="E2495" s="321">
        <x:v>1090</x:v>
      </x:c>
      <x:c r="F2495" s="321">
        <x:v>3270</x:v>
      </x:c>
      <x:c r="G2495" s="321">
        <x:v>870</x:v>
      </x:c>
      <x:c r="H2495" s="312" t="s">
        <x:v>66</x:v>
      </x:c>
      <x:c r="I2495" s="312" t="s">
        <x:v>12</x:v>
      </x:c>
      <x:c r="J2495" s="316" t="n">
        <x:f>IFERROR(G2495/F2495,0)</x:f>
        <x:v>0.26605504587155965</x:v>
      </x:c>
      <x:c r="K2495" s="312" t="str">
        <x:f>IF(B2495="Bilinmeyen Personel","Kontrol","OK")</x:f>
        <x:v>OK</x:v>
      </x:c>
    </x:row>
    <x:row r="2496" hidden="1">
      <x:c r="A2496" s="312" t="n">
        <x:f>ROW()-ROW($A$2)+1</x:f>
        <x:v>2495</x:v>
      </x:c>
      <x:c r="B2496" s="312" t="s">
        <x:v>29</x:v>
      </x:c>
      <x:c r="C2496" s="312" t="s">
        <x:v>22</x:v>
      </x:c>
      <x:c r="D2496" s="317">
        <x:v>2</x:v>
      </x:c>
      <x:c r="E2496" s="321">
        <x:v>2180</x:v>
      </x:c>
      <x:c r="F2496" s="321">
        <x:v>4360</x:v>
      </x:c>
      <x:c r="G2496" s="321">
        <x:v>1360</x:v>
      </x:c>
      <x:c r="H2496" s="312" t="s">
        <x:v>66</x:v>
      </x:c>
      <x:c r="I2496" s="312" t="s">
        <x:v>54</x:v>
      </x:c>
      <x:c r="J2496" s="316" t="n">
        <x:f>IFERROR(G2496/F2496,0)</x:f>
        <x:v>0.3119266055045872</x:v>
      </x:c>
      <x:c r="K2496" s="312" t="str">
        <x:f>IF(B2496="Bilinmeyen Personel","Kontrol","OK")</x:f>
        <x:v>OK</x:v>
      </x:c>
    </x:row>
    <x:row r="2497" hidden="1">
      <x:c r="A2497" s="312" t="n">
        <x:f>ROW()-ROW($A$2)+1</x:f>
        <x:v>2496</x:v>
      </x:c>
      <x:c r="B2497" s="312" t="s">
        <x:v>35</x:v>
      </x:c>
      <x:c r="C2497" s="312" t="s">
        <x:v>33</x:v>
      </x:c>
      <x:c r="D2497" s="317">
        <x:v>4</x:v>
      </x:c>
      <x:c r="E2497" s="321">
        <x:v>1800</x:v>
      </x:c>
      <x:c r="F2497" s="321">
        <x:v>7200</x:v>
      </x:c>
      <x:c r="G2497" s="321">
        <x:v>4000</x:v>
      </x:c>
      <x:c r="H2497" s="312" t="s">
        <x:v>66</x:v>
      </x:c>
      <x:c r="I2497" s="312" t="s">
        <x:v>15</x:v>
      </x:c>
      <x:c r="J2497" s="316" t="n">
        <x:f>IFERROR(G2497/F2497,0)</x:f>
        <x:v>0.5555555555555556</x:v>
      </x:c>
      <x:c r="K2497" s="312" t="str">
        <x:f>IF(B2497="Bilinmeyen Personel","Kontrol","OK")</x:f>
        <x:v>OK</x:v>
      </x:c>
    </x:row>
    <x:row r="2498" hidden="1">
      <x:c r="A2498" s="312" t="n">
        <x:f>ROW()-ROW($A$2)+1</x:f>
        <x:v>2497</x:v>
      </x:c>
      <x:c r="B2498" s="312" t="s">
        <x:v>23</x:v>
      </x:c>
      <x:c r="C2498" s="312" t="s">
        <x:v>36</x:v>
      </x:c>
      <x:c r="D2498" s="317">
        <x:v>2</x:v>
      </x:c>
      <x:c r="E2498" s="321">
        <x:v>8000</x:v>
      </x:c>
      <x:c r="F2498" s="321">
        <x:v>16000</x:v>
      </x:c>
      <x:c r="G2498" s="321">
        <x:v>4000</x:v>
      </x:c>
      <x:c r="H2498" s="312" t="s">
        <x:v>66</x:v>
      </x:c>
      <x:c r="I2498" s="312" t="s">
        <x:v>37</x:v>
      </x:c>
      <x:c r="J2498" s="316" t="n">
        <x:f>IFERROR(G2498/F2498,0)</x:f>
        <x:v>0.25</x:v>
      </x:c>
      <x:c r="K2498" s="312" t="str">
        <x:f>IF(B2498="Bilinmeyen Personel","Kontrol","OK")</x:f>
        <x:v>OK</x:v>
      </x:c>
    </x:row>
    <x:row r="2499" hidden="1">
      <x:c r="A2499" s="312" t="n">
        <x:f>ROW()-ROW($A$2)+1</x:f>
        <x:v>2498</x:v>
      </x:c>
      <x:c r="B2499" s="312" t="s">
        <x:v>29</x:v>
      </x:c>
      <x:c r="C2499" s="312" t="s">
        <x:v>14</x:v>
      </x:c>
      <x:c r="D2499" s="317">
        <x:v>5</x:v>
      </x:c>
      <x:c r="E2499" s="321">
        <x:v>1400</x:v>
      </x:c>
      <x:c r="F2499" s="321">
        <x:v>7000</x:v>
      </x:c>
      <x:c r="G2499" s="321">
        <x:v>3000</x:v>
      </x:c>
      <x:c r="H2499" s="312" t="s">
        <x:v>66</x:v>
      </x:c>
      <x:c r="I2499" s="312" t="s">
        <x:v>37</x:v>
      </x:c>
      <x:c r="J2499" s="316" t="n">
        <x:f>IFERROR(G2499/F2499,0)</x:f>
        <x:v>0.42857142857142855</x:v>
      </x:c>
      <x:c r="K2499" s="312" t="str">
        <x:f>IF(B2499="Bilinmeyen Personel","Kontrol","OK")</x:f>
        <x:v>OK</x:v>
      </x:c>
    </x:row>
    <x:row r="2500" hidden="1">
      <x:c r="A2500" s="312" t="n">
        <x:f>ROW()-ROW($A$2)+1</x:f>
        <x:v>2499</x:v>
      </x:c>
      <x:c r="B2500" s="312" t="s">
        <x:v>38</x:v>
      </x:c>
      <x:c r="C2500" s="312" t="s">
        <x:v>39</x:v>
      </x:c>
      <x:c r="D2500" s="317">
        <x:v>3</x:v>
      </x:c>
      <x:c r="E2500" s="321">
        <x:v>10590</x:v>
      </x:c>
      <x:c r="F2500" s="321">
        <x:v>31770</x:v>
      </x:c>
      <x:c r="G2500" s="321">
        <x:v>13770</x:v>
      </x:c>
      <x:c r="H2500" s="312" t="s">
        <x:v>66</x:v>
      </x:c>
      <x:c r="I2500" s="312" t="s">
        <x:v>18</x:v>
      </x:c>
      <x:c r="J2500" s="316" t="n">
        <x:f>IFERROR(G2500/F2500,0)</x:f>
        <x:v>0.43342776203966005</x:v>
      </x:c>
      <x:c r="K2500" s="312" t="str">
        <x:f>IF(B2500="Bilinmeyen Personel","Kontrol","OK")</x:f>
        <x:v>OK</x:v>
      </x:c>
    </x:row>
    <x:row r="2501" hidden="1">
      <x:c r="A2501" s="312" t="n">
        <x:f>ROW()-ROW($A$2)+1</x:f>
        <x:v>2500</x:v>
      </x:c>
      <x:c r="B2501" s="312" t="s">
        <x:v>40</x:v>
      </x:c>
      <x:c r="C2501" s="312" t="s">
        <x:v>20</x:v>
      </x:c>
      <x:c r="D2501" s="317">
        <x:v>5</x:v>
      </x:c>
      <x:c r="E2501" s="321">
        <x:v>1350</x:v>
      </x:c>
      <x:c r="F2501" s="321">
        <x:v>6750</x:v>
      </x:c>
      <x:c r="G2501" s="321">
        <x:v>2750</x:v>
      </x:c>
      <x:c r="H2501" s="312" t="s">
        <x:v>66</x:v>
      </x:c>
      <x:c r="I2501" s="312" t="s">
        <x:v>31</x:v>
      </x:c>
      <x:c r="J2501" s="316" t="n">
        <x:f>IFERROR(G2501/F2501,0)</x:f>
        <x:v>0.4074074074074074</x:v>
      </x:c>
      <x:c r="K2501" s="312" t="str">
        <x:f>IF(B2501="Bilinmeyen Personel","Kontrol","OK")</x:f>
        <x:v>OK</x:v>
      </x:c>
    </x:row>
    <x:row r="2502" hidden="1">
      <x:c r="A2502" s="312" t="n">
        <x:f>ROW()-ROW($A$2)+1</x:f>
        <x:v>2501</x:v>
      </x:c>
      <x:c r="B2502" s="312" t="s">
        <x:v>32</x:v>
      </x:c>
      <x:c r="C2502" s="312" t="s">
        <x:v>14</x:v>
      </x:c>
      <x:c r="D2502" s="317">
        <x:v>5</x:v>
      </x:c>
      <x:c r="E2502" s="321">
        <x:v>1400</x:v>
      </x:c>
      <x:c r="F2502" s="321">
        <x:v>7000</x:v>
      </x:c>
      <x:c r="G2502" s="321">
        <x:v>3000</x:v>
      </x:c>
      <x:c r="H2502" s="312" t="s">
        <x:v>66</x:v>
      </x:c>
      <x:c r="I2502" s="312" t="s">
        <x:v>31</x:v>
      </x:c>
      <x:c r="J2502" s="316" t="n">
        <x:f>IFERROR(G2502/F2502,0)</x:f>
        <x:v>0.42857142857142855</x:v>
      </x:c>
      <x:c r="K2502" s="312" t="str">
        <x:f>IF(B2502="Bilinmeyen Personel","Kontrol","OK")</x:f>
        <x:v>OK</x:v>
      </x:c>
    </x:row>
    <x:row r="2503" hidden="1">
      <x:c r="A2503" s="312" t="n">
        <x:f>ROW()-ROW($A$2)+1</x:f>
        <x:v>2502</x:v>
      </x:c>
      <x:c r="B2503" s="312" t="s">
        <x:v>19</x:v>
      </x:c>
      <x:c r="C2503" s="312" t="s">
        <x:v>10</x:v>
      </x:c>
      <x:c r="D2503" s="317">
        <x:v>2</x:v>
      </x:c>
      <x:c r="E2503" s="321">
        <x:v>6000</x:v>
      </x:c>
      <x:c r="F2503" s="321">
        <x:v>12000</x:v>
      </x:c>
      <x:c r="G2503" s="321">
        <x:v>4000</x:v>
      </x:c>
      <x:c r="H2503" s="312" t="s">
        <x:v>66</x:v>
      </x:c>
      <x:c r="I2503" s="312" t="s">
        <x:v>28</x:v>
      </x:c>
      <x:c r="J2503" s="316" t="n">
        <x:f>IFERROR(G2503/F2503,0)</x:f>
        <x:v>0.3333333333333333</x:v>
      </x:c>
      <x:c r="K2503" s="312" t="str">
        <x:f>IF(B2503="Bilinmeyen Personel","Kontrol","OK")</x:f>
        <x:v>OK</x:v>
      </x:c>
    </x:row>
    <x:row r="2504" hidden="1">
      <x:c r="A2504" s="312" t="n">
        <x:f>ROW()-ROW($A$2)+1</x:f>
        <x:v>2503</x:v>
      </x:c>
      <x:c r="B2504" s="312" t="s">
        <x:v>38</x:v>
      </x:c>
      <x:c r="C2504" s="312" t="s">
        <x:v>27</x:v>
      </x:c>
      <x:c r="D2504" s="317">
        <x:v>4</x:v>
      </x:c>
      <x:c r="E2504" s="321">
        <x:v>1100</x:v>
      </x:c>
      <x:c r="F2504" s="321">
        <x:v>4400</x:v>
      </x:c>
      <x:c r="G2504" s="321">
        <x:v>1200</x:v>
      </x:c>
      <x:c r="H2504" s="312" t="s">
        <x:v>66</x:v>
      </x:c>
      <x:c r="I2504" s="312" t="s">
        <x:v>42</x:v>
      </x:c>
      <x:c r="J2504" s="316" t="n">
        <x:f>IFERROR(G2504/F2504,0)</x:f>
        <x:v>0.2727272727272727</x:v>
      </x:c>
      <x:c r="K2504" s="312" t="str">
        <x:f>IF(B2504="Bilinmeyen Personel","Kontrol","OK")</x:f>
        <x:v>OK</x:v>
      </x:c>
    </x:row>
    <x:row r="2505" hidden="1">
      <x:c r="A2505" s="312" t="n">
        <x:f>ROW()-ROW($A$2)+1</x:f>
        <x:v>2504</x:v>
      </x:c>
      <x:c r="B2505" s="312" t="s">
        <x:v>16</x:v>
      </x:c>
      <x:c r="C2505" s="312" t="s">
        <x:v>10</x:v>
      </x:c>
      <x:c r="D2505" s="317">
        <x:v>5</x:v>
      </x:c>
      <x:c r="E2505" s="321">
        <x:v>6000</x:v>
      </x:c>
      <x:c r="F2505" s="321">
        <x:v>30000</x:v>
      </x:c>
      <x:c r="G2505" s="321">
        <x:v>10000</x:v>
      </x:c>
      <x:c r="H2505" s="312" t="s">
        <x:v>66</x:v>
      </x:c>
      <x:c r="I2505" s="312" t="s">
        <x:v>18</x:v>
      </x:c>
      <x:c r="J2505" s="316" t="n">
        <x:f>IFERROR(G2505/F2505,0)</x:f>
        <x:v>0.3333333333333333</x:v>
      </x:c>
      <x:c r="K2505" s="312" t="str">
        <x:f>IF(B2505="Bilinmeyen Personel","Kontrol","OK")</x:f>
        <x:v>OK</x:v>
      </x:c>
    </x:row>
    <x:row r="2506" hidden="1">
      <x:c r="A2506" s="312" t="n">
        <x:f>ROW()-ROW($A$2)+1</x:f>
        <x:v>2505</x:v>
      </x:c>
      <x:c r="B2506" s="312" t="s">
        <x:v>40</x:v>
      </x:c>
      <x:c r="C2506" s="312" t="s">
        <x:v>43</x:v>
      </x:c>
      <x:c r="D2506" s="317">
        <x:v>3</x:v>
      </x:c>
      <x:c r="E2506" s="321">
        <x:v>1490</x:v>
      </x:c>
      <x:c r="F2506" s="321">
        <x:v>4470</x:v>
      </x:c>
      <x:c r="G2506" s="321">
        <x:v>2070</x:v>
      </x:c>
      <x:c r="H2506" s="312" t="s">
        <x:v>66</x:v>
      </x:c>
      <x:c r="I2506" s="312" t="s">
        <x:v>12</x:v>
      </x:c>
      <x:c r="J2506" s="316" t="n">
        <x:f>IFERROR(G2506/F2506,0)</x:f>
        <x:v>0.46308724832214765</x:v>
      </x:c>
      <x:c r="K2506" s="312" t="str">
        <x:f>IF(B2506="Bilinmeyen Personel","Kontrol","OK")</x:f>
        <x:v>OK</x:v>
      </x:c>
    </x:row>
    <x:row r="2507" hidden="1">
      <x:c r="A2507" s="312" t="n">
        <x:f>ROW()-ROW($A$2)+1</x:f>
        <x:v>2506</x:v>
      </x:c>
      <x:c r="B2507" s="312" t="s">
        <x:v>38</x:v>
      </x:c>
      <x:c r="C2507" s="312" t="s">
        <x:v>39</x:v>
      </x:c>
      <x:c r="D2507" s="317">
        <x:v>2</x:v>
      </x:c>
      <x:c r="E2507" s="321">
        <x:v>10590</x:v>
      </x:c>
      <x:c r="F2507" s="321">
        <x:v>21180</x:v>
      </x:c>
      <x:c r="G2507" s="321">
        <x:v>9180</x:v>
      </x:c>
      <x:c r="H2507" s="312" t="s">
        <x:v>66</x:v>
      </x:c>
      <x:c r="I2507" s="312" t="s">
        <x:v>41</x:v>
      </x:c>
      <x:c r="J2507" s="316" t="n">
        <x:f>IFERROR(G2507/F2507,0)</x:f>
        <x:v>0.43342776203966005</x:v>
      </x:c>
      <x:c r="K2507" s="312" t="str">
        <x:f>IF(B2507="Bilinmeyen Personel","Kontrol","OK")</x:f>
        <x:v>OK</x:v>
      </x:c>
    </x:row>
    <x:row r="2508" hidden="1">
      <x:c r="A2508" s="312" t="n">
        <x:f>ROW()-ROW($A$2)+1</x:f>
        <x:v>2507</x:v>
      </x:c>
      <x:c r="B2508" s="312" t="s">
        <x:v>16</x:v>
      </x:c>
      <x:c r="C2508" s="312" t="s">
        <x:v>36</x:v>
      </x:c>
      <x:c r="D2508" s="317">
        <x:v>5</x:v>
      </x:c>
      <x:c r="E2508" s="321">
        <x:v>8000</x:v>
      </x:c>
      <x:c r="F2508" s="321">
        <x:v>40000</x:v>
      </x:c>
      <x:c r="G2508" s="321">
        <x:v>10000</x:v>
      </x:c>
      <x:c r="H2508" s="312" t="s">
        <x:v>66</x:v>
      </x:c>
      <x:c r="I2508" s="312" t="s">
        <x:v>18</x:v>
      </x:c>
      <x:c r="J2508" s="316" t="n">
        <x:f>IFERROR(G2508/F2508,0)</x:f>
        <x:v>0.25</x:v>
      </x:c>
      <x:c r="K2508" s="312" t="str">
        <x:f>IF(B2508="Bilinmeyen Personel","Kontrol","OK")</x:f>
        <x:v>OK</x:v>
      </x:c>
    </x:row>
    <x:row r="2509" hidden="1">
      <x:c r="A2509" s="312" t="n">
        <x:f>ROW()-ROW($A$2)+1</x:f>
        <x:v>2508</x:v>
      </x:c>
      <x:c r="B2509" s="312" t="s">
        <x:v>32</x:v>
      </x:c>
      <x:c r="C2509" s="312" t="s">
        <x:v>27</x:v>
      </x:c>
      <x:c r="D2509" s="317">
        <x:v>5</x:v>
      </x:c>
      <x:c r="E2509" s="321">
        <x:v>1100</x:v>
      </x:c>
      <x:c r="F2509" s="321">
        <x:v>5500</x:v>
      </x:c>
      <x:c r="G2509" s="321">
        <x:v>1500</x:v>
      </x:c>
      <x:c r="H2509" s="312" t="s">
        <x:v>66</x:v>
      </x:c>
      <x:c r="I2509" s="312" t="s">
        <x:v>28</x:v>
      </x:c>
      <x:c r="J2509" s="316" t="n">
        <x:f>IFERROR(G2509/F2509,0)</x:f>
        <x:v>0.2727272727272727</x:v>
      </x:c>
      <x:c r="K2509" s="312" t="str">
        <x:f>IF(B2509="Bilinmeyen Personel","Kontrol","OK")</x:f>
        <x:v>OK</x:v>
      </x:c>
    </x:row>
    <x:row r="2510" hidden="1">
      <x:c r="A2510" s="312" t="n">
        <x:f>ROW()-ROW($A$2)+1</x:f>
        <x:v>2509</x:v>
      </x:c>
      <x:c r="B2510" s="312" t="s">
        <x:v>40</x:v>
      </x:c>
      <x:c r="C2510" s="312" t="s">
        <x:v>30</x:v>
      </x:c>
      <x:c r="D2510" s="317">
        <x:v>4</x:v>
      </x:c>
      <x:c r="E2510" s="321">
        <x:v>1200</x:v>
      </x:c>
      <x:c r="F2510" s="321">
        <x:v>4800</x:v>
      </x:c>
      <x:c r="G2510" s="321">
        <x:v>1600</x:v>
      </x:c>
      <x:c r="H2510" s="312" t="s">
        <x:v>66</x:v>
      </x:c>
      <x:c r="I2510" s="312" t="s">
        <x:v>12</x:v>
      </x:c>
      <x:c r="J2510" s="316" t="n">
        <x:f>IFERROR(G2510/F2510,0)</x:f>
        <x:v>0.3333333333333333</x:v>
      </x:c>
      <x:c r="K2510" s="312" t="str">
        <x:f>IF(B2510="Bilinmeyen Personel","Kontrol","OK")</x:f>
        <x:v>OK</x:v>
      </x:c>
    </x:row>
    <x:row r="2511" hidden="1">
      <x:c r="A2511" s="312" t="n">
        <x:f>ROW()-ROW($A$2)+1</x:f>
        <x:v>2510</x:v>
      </x:c>
      <x:c r="B2511" s="312" t="s">
        <x:v>23</x:v>
      </x:c>
      <x:c r="C2511" s="312" t="s">
        <x:v>45</x:v>
      </x:c>
      <x:c r="D2511" s="317">
        <x:v>3</x:v>
      </x:c>
      <x:c r="E2511" s="321">
        <x:v>4200</x:v>
      </x:c>
      <x:c r="F2511" s="321">
        <x:v>12600</x:v>
      </x:c>
      <x:c r="G2511" s="321">
        <x:v>3600</x:v>
      </x:c>
      <x:c r="H2511" s="312" t="s">
        <x:v>66</x:v>
      </x:c>
      <x:c r="I2511" s="312" t="s">
        <x:v>25</x:v>
      </x:c>
      <x:c r="J2511" s="316" t="n">
        <x:f>IFERROR(G2511/F2511,0)</x:f>
        <x:v>0.2857142857142857</x:v>
      </x:c>
      <x:c r="K2511" s="312" t="str">
        <x:f>IF(B2511="Bilinmeyen Personel","Kontrol","OK")</x:f>
        <x:v>OK</x:v>
      </x:c>
    </x:row>
    <x:row r="2512" hidden="1">
      <x:c r="A2512" s="312" t="n">
        <x:f>ROW()-ROW($A$2)+1</x:f>
        <x:v>2511</x:v>
      </x:c>
      <x:c r="B2512" s="312" t="s">
        <x:v>13</x:v>
      </x:c>
      <x:c r="C2512" s="312" t="s">
        <x:v>47</x:v>
      </x:c>
      <x:c r="D2512" s="317">
        <x:v>2</x:v>
      </x:c>
      <x:c r="E2512" s="321">
        <x:v>5775</x:v>
      </x:c>
      <x:c r="F2512" s="321">
        <x:v>11550</x:v>
      </x:c>
      <x:c r="G2512" s="321">
        <x:v>3550</x:v>
      </x:c>
      <x:c r="H2512" s="312" t="s">
        <x:v>66</x:v>
      </x:c>
      <x:c r="I2512" s="312" t="s">
        <x:v>25</x:v>
      </x:c>
      <x:c r="J2512" s="316" t="n">
        <x:f>IFERROR(G2512/F2512,0)</x:f>
        <x:v>0.30735930735930733</x:v>
      </x:c>
      <x:c r="K2512" s="312" t="str">
        <x:f>IF(B2512="Bilinmeyen Personel","Kontrol","OK")</x:f>
        <x:v>OK</x:v>
      </x:c>
    </x:row>
    <x:row r="2513" hidden="1">
      <x:c r="A2513" s="312" t="n">
        <x:f>ROW()-ROW($A$2)+1</x:f>
        <x:v>2512</x:v>
      </x:c>
      <x:c r="B2513" s="312" t="s">
        <x:v>48</x:v>
      </x:c>
      <x:c r="C2513" s="312" t="s">
        <x:v>24</x:v>
      </x:c>
      <x:c r="D2513" s="317">
        <x:v>4</x:v>
      </x:c>
      <x:c r="E2513" s="321">
        <x:v>7600</x:v>
      </x:c>
      <x:c r="F2513" s="321">
        <x:v>30400</x:v>
      </x:c>
      <x:c r="G2513" s="321">
        <x:v>6400</x:v>
      </x:c>
      <x:c r="H2513" s="312" t="s">
        <x:v>66</x:v>
      </x:c>
      <x:c r="I2513" s="312" t="s">
        <x:v>54</x:v>
      </x:c>
      <x:c r="J2513" s="316" t="n">
        <x:f>IFERROR(G2513/F2513,0)</x:f>
        <x:v>0.21052631578947367</x:v>
      </x:c>
      <x:c r="K2513" s="312" t="str">
        <x:f>IF(B2513="Bilinmeyen Personel","Kontrol","OK")</x:f>
        <x:v>OK</x:v>
      </x:c>
    </x:row>
    <x:row r="2514" hidden="1">
      <x:c r="A2514" s="312" t="n">
        <x:f>ROW()-ROW($A$2)+1</x:f>
        <x:v>2513</x:v>
      </x:c>
      <x:c r="B2514" s="312" t="s">
        <x:v>13</x:v>
      </x:c>
      <x:c r="C2514" s="312" t="s">
        <x:v>26</x:v>
      </x:c>
      <x:c r="D2514" s="317">
        <x:v>2</x:v>
      </x:c>
      <x:c r="E2514" s="321">
        <x:v>7250</x:v>
      </x:c>
      <x:c r="F2514" s="321">
        <x:v>14500</x:v>
      </x:c>
      <x:c r="G2514" s="321">
        <x:v>4500</x:v>
      </x:c>
      <x:c r="H2514" s="312" t="s">
        <x:v>66</x:v>
      </x:c>
      <x:c r="I2514" s="312" t="s">
        <x:v>42</x:v>
      </x:c>
      <x:c r="J2514" s="316" t="n">
        <x:f>IFERROR(G2514/F2514,0)</x:f>
        <x:v>0.3103448275862069</x:v>
      </x:c>
      <x:c r="K2514" s="312" t="str">
        <x:f>IF(B2514="Bilinmeyen Personel","Kontrol","OK")</x:f>
        <x:v>OK</x:v>
      </x:c>
    </x:row>
    <x:row r="2515" hidden="1">
      <x:c r="A2515" s="312" t="n">
        <x:f>ROW()-ROW($A$2)+1</x:f>
        <x:v>2514</x:v>
      </x:c>
      <x:c r="B2515" s="312" t="s">
        <x:v>9</x:v>
      </x:c>
      <x:c r="C2515" s="312" t="s">
        <x:v>26</x:v>
      </x:c>
      <x:c r="D2515" s="317">
        <x:v>3</x:v>
      </x:c>
      <x:c r="E2515" s="321">
        <x:v>7250</x:v>
      </x:c>
      <x:c r="F2515" s="321">
        <x:v>21750</x:v>
      </x:c>
      <x:c r="G2515" s="321">
        <x:v>6750</x:v>
      </x:c>
      <x:c r="H2515" s="312" t="s">
        <x:v>66</x:v>
      </x:c>
      <x:c r="I2515" s="312" t="s">
        <x:v>42</x:v>
      </x:c>
      <x:c r="J2515" s="316" t="n">
        <x:f>IFERROR(G2515/F2515,0)</x:f>
        <x:v>0.3103448275862069</x:v>
      </x:c>
      <x:c r="K2515" s="312" t="str">
        <x:f>IF(B2515="Bilinmeyen Personel","Kontrol","OK")</x:f>
        <x:v>OK</x:v>
      </x:c>
    </x:row>
    <x:row r="2516" hidden="1">
      <x:c r="A2516" s="312" t="n">
        <x:f>ROW()-ROW($A$2)+1</x:f>
        <x:v>2515</x:v>
      </x:c>
      <x:c r="B2516" s="312" t="s">
        <x:v>38</x:v>
      </x:c>
      <x:c r="C2516" s="312" t="s">
        <x:v>26</x:v>
      </x:c>
      <x:c r="D2516" s="317">
        <x:v>3</x:v>
      </x:c>
      <x:c r="E2516" s="321">
        <x:v>7250</x:v>
      </x:c>
      <x:c r="F2516" s="321">
        <x:v>21750</x:v>
      </x:c>
      <x:c r="G2516" s="321">
        <x:v>6750</x:v>
      </x:c>
      <x:c r="H2516" s="312" t="s">
        <x:v>66</x:v>
      </x:c>
      <x:c r="I2516" s="312" t="s">
        <x:v>21</x:v>
      </x:c>
      <x:c r="J2516" s="316" t="n">
        <x:f>IFERROR(G2516/F2516,0)</x:f>
        <x:v>0.3103448275862069</x:v>
      </x:c>
      <x:c r="K2516" s="312" t="str">
        <x:f>IF(B2516="Bilinmeyen Personel","Kontrol","OK")</x:f>
        <x:v>OK</x:v>
      </x:c>
    </x:row>
    <x:row r="2517" hidden="1">
      <x:c r="A2517" s="312" t="n">
        <x:f>ROW()-ROW($A$2)+1</x:f>
        <x:v>2516</x:v>
      </x:c>
      <x:c r="B2517" s="312" t="s">
        <x:v>29</x:v>
      </x:c>
      <x:c r="C2517" s="312" t="s">
        <x:v>20</x:v>
      </x:c>
      <x:c r="D2517" s="317">
        <x:v>3</x:v>
      </x:c>
      <x:c r="E2517" s="321">
        <x:v>1350</x:v>
      </x:c>
      <x:c r="F2517" s="321">
        <x:v>4050</x:v>
      </x:c>
      <x:c r="G2517" s="321">
        <x:v>1650</x:v>
      </x:c>
      <x:c r="H2517" s="312" t="s">
        <x:v>66</x:v>
      </x:c>
      <x:c r="I2517" s="312" t="s">
        <x:v>28</x:v>
      </x:c>
      <x:c r="J2517" s="316" t="n">
        <x:f>IFERROR(G2517/F2517,0)</x:f>
        <x:v>0.4074074074074074</x:v>
      </x:c>
      <x:c r="K2517" s="312" t="str">
        <x:f>IF(B2517="Bilinmeyen Personel","Kontrol","OK")</x:f>
        <x:v>OK</x:v>
      </x:c>
    </x:row>
    <x:row r="2518" hidden="1">
      <x:c r="A2518" s="312" t="n">
        <x:f>ROW()-ROW($A$2)+1</x:f>
        <x:v>2517</x:v>
      </x:c>
      <x:c r="B2518" s="312" t="s">
        <x:v>13</x:v>
      </x:c>
      <x:c r="C2518" s="312" t="s">
        <x:v>26</x:v>
      </x:c>
      <x:c r="D2518" s="317">
        <x:v>2</x:v>
      </x:c>
      <x:c r="E2518" s="321">
        <x:v>7250</x:v>
      </x:c>
      <x:c r="F2518" s="321">
        <x:v>14500</x:v>
      </x:c>
      <x:c r="G2518" s="321">
        <x:v>4500</x:v>
      </x:c>
      <x:c r="H2518" s="312" t="s">
        <x:v>66</x:v>
      </x:c>
      <x:c r="I2518" s="312" t="s">
        <x:v>31</x:v>
      </x:c>
      <x:c r="J2518" s="316" t="n">
        <x:f>IFERROR(G2518/F2518,0)</x:f>
        <x:v>0.3103448275862069</x:v>
      </x:c>
      <x:c r="K2518" s="312" t="str">
        <x:f>IF(B2518="Bilinmeyen Personel","Kontrol","OK")</x:f>
        <x:v>OK</x:v>
      </x:c>
    </x:row>
    <x:row r="2519" hidden="1">
      <x:c r="A2519" s="312" t="n">
        <x:f>ROW()-ROW($A$2)+1</x:f>
        <x:v>2518</x:v>
      </x:c>
      <x:c r="B2519" s="312" t="s">
        <x:v>32</x:v>
      </x:c>
      <x:c r="C2519" s="312" t="s">
        <x:v>24</x:v>
      </x:c>
      <x:c r="D2519" s="317">
        <x:v>5</x:v>
      </x:c>
      <x:c r="E2519" s="321">
        <x:v>7600</x:v>
      </x:c>
      <x:c r="F2519" s="321">
        <x:v>38000</x:v>
      </x:c>
      <x:c r="G2519" s="321">
        <x:v>8000</x:v>
      </x:c>
      <x:c r="H2519" s="312" t="s">
        <x:v>66</x:v>
      </x:c>
      <x:c r="I2519" s="312" t="s">
        <x:v>25</x:v>
      </x:c>
      <x:c r="J2519" s="316" t="n">
        <x:f>IFERROR(G2519/F2519,0)</x:f>
        <x:v>0.21052631578947367</x:v>
      </x:c>
      <x:c r="K2519" s="312" t="str">
        <x:f>IF(B2519="Bilinmeyen Personel","Kontrol","OK")</x:f>
        <x:v>OK</x:v>
      </x:c>
    </x:row>
    <x:row r="2520" hidden="1">
      <x:c r="A2520" s="312" t="n">
        <x:f>ROW()-ROW($A$2)+1</x:f>
        <x:v>2519</x:v>
      </x:c>
      <x:c r="B2520" s="312" t="s">
        <x:v>50</x:v>
      </x:c>
      <x:c r="C2520" s="312" t="s">
        <x:v>24</x:v>
      </x:c>
      <x:c r="D2520" s="317">
        <x:v>4</x:v>
      </x:c>
      <x:c r="E2520" s="321">
        <x:v>7600</x:v>
      </x:c>
      <x:c r="F2520" s="321">
        <x:v>30400</x:v>
      </x:c>
      <x:c r="G2520" s="321">
        <x:v>6400</x:v>
      </x:c>
      <x:c r="H2520" s="312" t="s">
        <x:v>66</x:v>
      </x:c>
      <x:c r="I2520" s="312" t="s">
        <x:v>28</x:v>
      </x:c>
      <x:c r="J2520" s="316" t="n">
        <x:f>IFERROR(G2520/F2520,0)</x:f>
        <x:v>0.21052631578947367</x:v>
      </x:c>
      <x:c r="K2520" s="312" t="str">
        <x:f>IF(B2520="Bilinmeyen Personel","Kontrol","OK")</x:f>
        <x:v>OK</x:v>
      </x:c>
    </x:row>
    <x:row r="2521" hidden="1">
      <x:c r="A2521" s="312" t="n">
        <x:f>ROW()-ROW($A$2)+1</x:f>
        <x:v>2520</x:v>
      </x:c>
      <x:c r="B2521" s="312" t="s">
        <x:v>13</x:v>
      </x:c>
      <x:c r="C2521" s="312" t="s">
        <x:v>43</x:v>
      </x:c>
      <x:c r="D2521" s="317">
        <x:v>3</x:v>
      </x:c>
      <x:c r="E2521" s="321">
        <x:v>1490</x:v>
      </x:c>
      <x:c r="F2521" s="321">
        <x:v>4470</x:v>
      </x:c>
      <x:c r="G2521" s="321">
        <x:v>2070</x:v>
      </x:c>
      <x:c r="H2521" s="312" t="s">
        <x:v>66</x:v>
      </x:c>
      <x:c r="I2521" s="312" t="s">
        <x:v>31</x:v>
      </x:c>
      <x:c r="J2521" s="316" t="n">
        <x:f>IFERROR(G2521/F2521,0)</x:f>
        <x:v>0.46308724832214765</x:v>
      </x:c>
      <x:c r="K2521" s="312" t="str">
        <x:f>IF(B2521="Bilinmeyen Personel","Kontrol","OK")</x:f>
        <x:v>OK</x:v>
      </x:c>
    </x:row>
    <x:row r="2522" hidden="1">
      <x:c r="A2522" s="312" t="n">
        <x:f>ROW()-ROW($A$2)+1</x:f>
        <x:v>2521</x:v>
      </x:c>
      <x:c r="B2522" s="312" t="s">
        <x:v>29</x:v>
      </x:c>
      <x:c r="C2522" s="312" t="s">
        <x:v>51</x:v>
      </x:c>
      <x:c r="D2522" s="317">
        <x:v>5</x:v>
      </x:c>
      <x:c r="E2522" s="321">
        <x:v>2900</x:v>
      </x:c>
      <x:c r="F2522" s="321">
        <x:v>14500</x:v>
      </x:c>
      <x:c r="G2522" s="321">
        <x:v>4500</x:v>
      </x:c>
      <x:c r="H2522" s="312" t="s">
        <x:v>66</x:v>
      </x:c>
      <x:c r="I2522" s="312" t="s">
        <x:v>44</x:v>
      </x:c>
      <x:c r="J2522" s="316" t="n">
        <x:f>IFERROR(G2522/F2522,0)</x:f>
        <x:v>0.3103448275862069</x:v>
      </x:c>
      <x:c r="K2522" s="312" t="str">
        <x:f>IF(B2522="Bilinmeyen Personel","Kontrol","OK")</x:f>
        <x:v>OK</x:v>
      </x:c>
    </x:row>
    <x:row r="2523" hidden="1">
      <x:c r="A2523" s="312" t="n">
        <x:f>ROW()-ROW($A$2)+1</x:f>
        <x:v>2522</x:v>
      </x:c>
      <x:c r="B2523" s="312" t="s">
        <x:v>40</x:v>
      </x:c>
      <x:c r="C2523" s="312" t="s">
        <x:v>43</x:v>
      </x:c>
      <x:c r="D2523" s="317">
        <x:v>4</x:v>
      </x:c>
      <x:c r="E2523" s="321">
        <x:v>1490</x:v>
      </x:c>
      <x:c r="F2523" s="321">
        <x:v>5960</x:v>
      </x:c>
      <x:c r="G2523" s="321">
        <x:v>2760</x:v>
      </x:c>
      <x:c r="H2523" s="312" t="s">
        <x:v>66</x:v>
      </x:c>
      <x:c r="I2523" s="312" t="s">
        <x:v>41</x:v>
      </x:c>
      <x:c r="J2523" s="316" t="n">
        <x:f>IFERROR(G2523/F2523,0)</x:f>
        <x:v>0.46308724832214765</x:v>
      </x:c>
      <x:c r="K2523" s="312" t="str">
        <x:f>IF(B2523="Bilinmeyen Personel","Kontrol","OK")</x:f>
        <x:v>OK</x:v>
      </x:c>
    </x:row>
    <x:row r="2524" hidden="1">
      <x:c r="A2524" s="312" t="n">
        <x:f>ROW()-ROW($A$2)+1</x:f>
        <x:v>2523</x:v>
      </x:c>
      <x:c r="B2524" s="312" t="s">
        <x:v>40</x:v>
      </x:c>
      <x:c r="C2524" s="312" t="s">
        <x:v>34</x:v>
      </x:c>
      <x:c r="D2524" s="317">
        <x:v>2</x:v>
      </x:c>
      <x:c r="E2524" s="321">
        <x:v>1090</x:v>
      </x:c>
      <x:c r="F2524" s="321">
        <x:v>2180</x:v>
      </x:c>
      <x:c r="G2524" s="321">
        <x:v>580</x:v>
      </x:c>
      <x:c r="H2524" s="312" t="s">
        <x:v>66</x:v>
      </x:c>
      <x:c r="I2524" s="312" t="s">
        <x:v>37</x:v>
      </x:c>
      <x:c r="J2524" s="316" t="n">
        <x:f>IFERROR(G2524/F2524,0)</x:f>
        <x:v>0.26605504587155965</x:v>
      </x:c>
      <x:c r="K2524" s="312" t="str">
        <x:f>IF(B2524="Bilinmeyen Personel","Kontrol","OK")</x:f>
        <x:v>OK</x:v>
      </x:c>
    </x:row>
    <x:row r="2525" hidden="1">
      <x:c r="A2525" s="312" t="n">
        <x:f>ROW()-ROW($A$2)+1</x:f>
        <x:v>2524</x:v>
      </x:c>
      <x:c r="B2525" s="312" t="s">
        <x:v>29</x:v>
      </x:c>
      <x:c r="C2525" s="312" t="s">
        <x:v>30</x:v>
      </x:c>
      <x:c r="D2525" s="317">
        <x:v>2</x:v>
      </x:c>
      <x:c r="E2525" s="321">
        <x:v>1200</x:v>
      </x:c>
      <x:c r="F2525" s="321">
        <x:v>2400</x:v>
      </x:c>
      <x:c r="G2525" s="321">
        <x:v>800</x:v>
      </x:c>
      <x:c r="H2525" s="312" t="s">
        <x:v>66</x:v>
      </x:c>
      <x:c r="I2525" s="312" t="s">
        <x:v>12</x:v>
      </x:c>
      <x:c r="J2525" s="316" t="n">
        <x:f>IFERROR(G2525/F2525,0)</x:f>
        <x:v>0.3333333333333333</x:v>
      </x:c>
      <x:c r="K2525" s="312" t="str">
        <x:f>IF(B2525="Bilinmeyen Personel","Kontrol","OK")</x:f>
        <x:v>OK</x:v>
      </x:c>
    </x:row>
    <x:row r="2526" hidden="1">
      <x:c r="A2526" s="312" t="n">
        <x:f>ROW()-ROW($A$2)+1</x:f>
        <x:v>2525</x:v>
      </x:c>
      <x:c r="B2526" s="312" t="s">
        <x:v>38</x:v>
      </x:c>
      <x:c r="C2526" s="312" t="s">
        <x:v>39</x:v>
      </x:c>
      <x:c r="D2526" s="317">
        <x:v>4</x:v>
      </x:c>
      <x:c r="E2526" s="321">
        <x:v>10590</x:v>
      </x:c>
      <x:c r="F2526" s="321">
        <x:v>42360</x:v>
      </x:c>
      <x:c r="G2526" s="321">
        <x:v>18360</x:v>
      </x:c>
      <x:c r="H2526" s="312" t="s">
        <x:v>66</x:v>
      </x:c>
      <x:c r="I2526" s="312" t="s">
        <x:v>41</x:v>
      </x:c>
      <x:c r="J2526" s="316" t="n">
        <x:f>IFERROR(G2526/F2526,0)</x:f>
        <x:v>0.43342776203966005</x:v>
      </x:c>
      <x:c r="K2526" s="312" t="str">
        <x:f>IF(B2526="Bilinmeyen Personel","Kontrol","OK")</x:f>
        <x:v>OK</x:v>
      </x:c>
    </x:row>
    <x:row r="2527" hidden="1">
      <x:c r="A2527" s="312" t="n">
        <x:f>ROW()-ROW($A$2)+1</x:f>
        <x:v>2526</x:v>
      </x:c>
      <x:c r="B2527" s="312" t="s">
        <x:v>32</x:v>
      </x:c>
      <x:c r="C2527" s="312" t="s">
        <x:v>45</x:v>
      </x:c>
      <x:c r="D2527" s="317">
        <x:v>2</x:v>
      </x:c>
      <x:c r="E2527" s="321">
        <x:v>4200</x:v>
      </x:c>
      <x:c r="F2527" s="321">
        <x:v>8400</x:v>
      </x:c>
      <x:c r="G2527" s="321">
        <x:v>2400</x:v>
      </x:c>
      <x:c r="H2527" s="312" t="s">
        <x:v>66</x:v>
      </x:c>
      <x:c r="I2527" s="312" t="s">
        <x:v>12</x:v>
      </x:c>
      <x:c r="J2527" s="316" t="n">
        <x:f>IFERROR(G2527/F2527,0)</x:f>
        <x:v>0.2857142857142857</x:v>
      </x:c>
      <x:c r="K2527" s="312" t="str">
        <x:f>IF(B2527="Bilinmeyen Personel","Kontrol","OK")</x:f>
        <x:v>OK</x:v>
      </x:c>
    </x:row>
    <x:row r="2528" hidden="1">
      <x:c r="A2528" s="312" t="n">
        <x:f>ROW()-ROW($A$2)+1</x:f>
        <x:v>2527</x:v>
      </x:c>
      <x:c r="B2528" s="312" t="s">
        <x:v>19</x:v>
      </x:c>
      <x:c r="C2528" s="312" t="s">
        <x:v>45</x:v>
      </x:c>
      <x:c r="D2528" s="317">
        <x:v>2</x:v>
      </x:c>
      <x:c r="E2528" s="321">
        <x:v>4200</x:v>
      </x:c>
      <x:c r="F2528" s="321">
        <x:v>8400</x:v>
      </x:c>
      <x:c r="G2528" s="321">
        <x:v>2400</x:v>
      </x:c>
      <x:c r="H2528" s="312" t="s">
        <x:v>66</x:v>
      </x:c>
      <x:c r="I2528" s="312" t="s">
        <x:v>44</x:v>
      </x:c>
      <x:c r="J2528" s="316" t="n">
        <x:f>IFERROR(G2528/F2528,0)</x:f>
        <x:v>0.2857142857142857</x:v>
      </x:c>
      <x:c r="K2528" s="312" t="str">
        <x:f>IF(B2528="Bilinmeyen Personel","Kontrol","OK")</x:f>
        <x:v>OK</x:v>
      </x:c>
    </x:row>
    <x:row r="2529" hidden="1">
      <x:c r="A2529" s="312" t="n">
        <x:f>ROW()-ROW($A$2)+1</x:f>
        <x:v>2528</x:v>
      </x:c>
      <x:c r="B2529" s="312" t="s">
        <x:v>35</x:v>
      </x:c>
      <x:c r="C2529" s="312" t="s">
        <x:v>39</x:v>
      </x:c>
      <x:c r="D2529" s="317">
        <x:v>4</x:v>
      </x:c>
      <x:c r="E2529" s="321">
        <x:v>10590</x:v>
      </x:c>
      <x:c r="F2529" s="321">
        <x:v>42360</x:v>
      </x:c>
      <x:c r="G2529" s="321">
        <x:v>18360</x:v>
      </x:c>
      <x:c r="H2529" s="312" t="s">
        <x:v>66</x:v>
      </x:c>
      <x:c r="I2529" s="312" t="s">
        <x:v>41</x:v>
      </x:c>
      <x:c r="J2529" s="316" t="n">
        <x:f>IFERROR(G2529/F2529,0)</x:f>
        <x:v>0.43342776203966005</x:v>
      </x:c>
      <x:c r="K2529" s="312" t="str">
        <x:f>IF(B2529="Bilinmeyen Personel","Kontrol","OK")</x:f>
        <x:v>OK</x:v>
      </x:c>
    </x:row>
    <x:row r="2530" hidden="1">
      <x:c r="A2530" s="312" t="n">
        <x:f>ROW()-ROW($A$2)+1</x:f>
        <x:v>2529</x:v>
      </x:c>
      <x:c r="B2530" s="312" t="s">
        <x:v>50</x:v>
      </x:c>
      <x:c r="C2530" s="312" t="s">
        <x:v>52</x:v>
      </x:c>
      <x:c r="D2530" s="317">
        <x:v>3</x:v>
      </x:c>
      <x:c r="E2530" s="321">
        <x:v>1250</x:v>
      </x:c>
      <x:c r="F2530" s="321">
        <x:v>3750</x:v>
      </x:c>
      <x:c r="G2530" s="321">
        <x:v>1350</x:v>
      </x:c>
      <x:c r="H2530" s="312" t="s">
        <x:v>66</x:v>
      </x:c>
      <x:c r="I2530" s="312" t="s">
        <x:v>42</x:v>
      </x:c>
      <x:c r="J2530" s="316" t="n">
        <x:f>IFERROR(G2530/F2530,0)</x:f>
        <x:v>0.36</x:v>
      </x:c>
      <x:c r="K2530" s="312" t="str">
        <x:f>IF(B2530="Bilinmeyen Personel","Kontrol","OK")</x:f>
        <x:v>OK</x:v>
      </x:c>
    </x:row>
    <x:row r="2531" hidden="1">
      <x:c r="A2531" s="312" t="n">
        <x:f>ROW()-ROW($A$2)+1</x:f>
        <x:v>2530</x:v>
      </x:c>
      <x:c r="B2531" s="312" t="s">
        <x:v>9</x:v>
      </x:c>
      <x:c r="C2531" s="312" t="s">
        <x:v>43</x:v>
      </x:c>
      <x:c r="D2531" s="317">
        <x:v>5</x:v>
      </x:c>
      <x:c r="E2531" s="321">
        <x:v>1490</x:v>
      </x:c>
      <x:c r="F2531" s="321">
        <x:v>7450</x:v>
      </x:c>
      <x:c r="G2531" s="321">
        <x:v>3450</x:v>
      </x:c>
      <x:c r="H2531" s="312" t="s">
        <x:v>66</x:v>
      </x:c>
      <x:c r="I2531" s="312" t="s">
        <x:v>44</x:v>
      </x:c>
      <x:c r="J2531" s="316" t="n">
        <x:f>IFERROR(G2531/F2531,0)</x:f>
        <x:v>0.46308724832214765</x:v>
      </x:c>
      <x:c r="K2531" s="312" t="str">
        <x:f>IF(B2531="Bilinmeyen Personel","Kontrol","OK")</x:f>
        <x:v>OK</x:v>
      </x:c>
    </x:row>
    <x:row r="2532" hidden="1">
      <x:c r="A2532" s="312" t="n">
        <x:f>ROW()-ROW($A$2)+1</x:f>
        <x:v>2531</x:v>
      </x:c>
      <x:c r="B2532" s="312" t="s">
        <x:v>32</x:v>
      </x:c>
      <x:c r="C2532" s="312" t="s">
        <x:v>30</x:v>
      </x:c>
      <x:c r="D2532" s="317">
        <x:v>5</x:v>
      </x:c>
      <x:c r="E2532" s="321">
        <x:v>1200</x:v>
      </x:c>
      <x:c r="F2532" s="321">
        <x:v>6000</x:v>
      </x:c>
      <x:c r="G2532" s="321">
        <x:v>2000</x:v>
      </x:c>
      <x:c r="H2532" s="312" t="s">
        <x:v>66</x:v>
      </x:c>
      <x:c r="I2532" s="312" t="s">
        <x:v>25</x:v>
      </x:c>
      <x:c r="J2532" s="316" t="n">
        <x:f>IFERROR(G2532/F2532,0)</x:f>
        <x:v>0.3333333333333333</x:v>
      </x:c>
      <x:c r="K2532" s="312" t="str">
        <x:f>IF(B2532="Bilinmeyen Personel","Kontrol","OK")</x:f>
        <x:v>OK</x:v>
      </x:c>
    </x:row>
    <x:row r="2533" hidden="1">
      <x:c r="A2533" s="312" t="n">
        <x:f>ROW()-ROW($A$2)+1</x:f>
        <x:v>2532</x:v>
      </x:c>
      <x:c r="B2533" s="312" t="s">
        <x:v>16</x:v>
      </x:c>
      <x:c r="C2533" s="312" t="s">
        <x:v>22</x:v>
      </x:c>
      <x:c r="D2533" s="317">
        <x:v>5</x:v>
      </x:c>
      <x:c r="E2533" s="321">
        <x:v>2180</x:v>
      </x:c>
      <x:c r="F2533" s="321">
        <x:v>10900</x:v>
      </x:c>
      <x:c r="G2533" s="321">
        <x:v>3400</x:v>
      </x:c>
      <x:c r="H2533" s="312" t="s">
        <x:v>66</x:v>
      </x:c>
      <x:c r="I2533" s="312" t="s">
        <x:v>12</x:v>
      </x:c>
      <x:c r="J2533" s="316" t="n">
        <x:f>IFERROR(G2533/F2533,0)</x:f>
        <x:v>0.3119266055045872</x:v>
      </x:c>
      <x:c r="K2533" s="312" t="str">
        <x:f>IF(B2533="Bilinmeyen Personel","Kontrol","OK")</x:f>
        <x:v>OK</x:v>
      </x:c>
    </x:row>
    <x:row r="2534" hidden="1">
      <x:c r="A2534" s="312" t="n">
        <x:f>ROW()-ROW($A$2)+1</x:f>
        <x:v>2533</x:v>
      </x:c>
      <x:c r="B2534" s="312" t="s">
        <x:v>40</x:v>
      </x:c>
      <x:c r="C2534" s="312" t="s">
        <x:v>53</x:v>
      </x:c>
      <x:c r="D2534" s="317">
        <x:v>2</x:v>
      </x:c>
      <x:c r="E2534" s="321">
        <x:v>1200</x:v>
      </x:c>
      <x:c r="F2534" s="321">
        <x:v>2400</x:v>
      </x:c>
      <x:c r="G2534" s="321">
        <x:v>800</x:v>
      </x:c>
      <x:c r="H2534" s="312" t="s">
        <x:v>66</x:v>
      </x:c>
      <x:c r="I2534" s="312" t="s">
        <x:v>18</x:v>
      </x:c>
      <x:c r="J2534" s="316" t="n">
        <x:f>IFERROR(G2534/F2534,0)</x:f>
        <x:v>0.3333333333333333</x:v>
      </x:c>
      <x:c r="K2534" s="312" t="str">
        <x:f>IF(B2534="Bilinmeyen Personel","Kontrol","OK")</x:f>
        <x:v>OK</x:v>
      </x:c>
    </x:row>
    <x:row r="2535" hidden="1">
      <x:c r="A2535" s="312" t="n">
        <x:f>ROW()-ROW($A$2)+1</x:f>
        <x:v>2534</x:v>
      </x:c>
      <x:c r="B2535" s="312" t="s">
        <x:v>9</x:v>
      </x:c>
      <x:c r="C2535" s="312" t="s">
        <x:v>33</x:v>
      </x:c>
      <x:c r="D2535" s="317">
        <x:v>2</x:v>
      </x:c>
      <x:c r="E2535" s="321">
        <x:v>1800</x:v>
      </x:c>
      <x:c r="F2535" s="321">
        <x:v>3600</x:v>
      </x:c>
      <x:c r="G2535" s="321">
        <x:v>2000</x:v>
      </x:c>
      <x:c r="H2535" s="312" t="s">
        <x:v>66</x:v>
      </x:c>
      <x:c r="I2535" s="312" t="s">
        <x:v>15</x:v>
      </x:c>
      <x:c r="J2535" s="316" t="n">
        <x:f>IFERROR(G2535/F2535,0)</x:f>
        <x:v>0.5555555555555556</x:v>
      </x:c>
      <x:c r="K2535" s="312" t="str">
        <x:f>IF(B2535="Bilinmeyen Personel","Kontrol","OK")</x:f>
        <x:v>OK</x:v>
      </x:c>
    </x:row>
    <x:row r="2536" hidden="1">
      <x:c r="A2536" s="312" t="n">
        <x:f>ROW()-ROW($A$2)+1</x:f>
        <x:v>2535</x:v>
      </x:c>
      <x:c r="B2536" s="312" t="s">
        <x:v>16</x:v>
      </x:c>
      <x:c r="C2536" s="312" t="s">
        <x:v>24</x:v>
      </x:c>
      <x:c r="D2536" s="317">
        <x:v>4</x:v>
      </x:c>
      <x:c r="E2536" s="321">
        <x:v>7600</x:v>
      </x:c>
      <x:c r="F2536" s="321">
        <x:v>30400</x:v>
      </x:c>
      <x:c r="G2536" s="321">
        <x:v>6400</x:v>
      </x:c>
      <x:c r="H2536" s="312" t="s">
        <x:v>66</x:v>
      </x:c>
      <x:c r="I2536" s="312" t="s">
        <x:v>42</x:v>
      </x:c>
      <x:c r="J2536" s="316" t="n">
        <x:f>IFERROR(G2536/F2536,0)</x:f>
        <x:v>0.21052631578947367</x:v>
      </x:c>
      <x:c r="K2536" s="312" t="str">
        <x:f>IF(B2536="Bilinmeyen Personel","Kontrol","OK")</x:f>
        <x:v>OK</x:v>
      </x:c>
    </x:row>
    <x:row r="2537" hidden="1">
      <x:c r="A2537" s="312" t="n">
        <x:f>ROW()-ROW($A$2)+1</x:f>
        <x:v>2536</x:v>
      </x:c>
      <x:c r="B2537" s="312" t="s">
        <x:v>35</x:v>
      </x:c>
      <x:c r="C2537" s="312" t="s">
        <x:v>55</x:v>
      </x:c>
      <x:c r="D2537" s="317">
        <x:v>5</x:v>
      </x:c>
      <x:c r="E2537" s="321">
        <x:v>7530</x:v>
      </x:c>
      <x:c r="F2537" s="321">
        <x:v>37650</x:v>
      </x:c>
      <x:c r="G2537" s="321">
        <x:v>7650</x:v>
      </x:c>
      <x:c r="H2537" s="312" t="s">
        <x:v>66</x:v>
      </x:c>
      <x:c r="I2537" s="312" t="s">
        <x:v>44</x:v>
      </x:c>
      <x:c r="J2537" s="316" t="n">
        <x:f>IFERROR(G2537/F2537,0)</x:f>
        <x:v>0.20318725099601595</x:v>
      </x:c>
      <x:c r="K2537" s="312" t="str">
        <x:f>IF(B2537="Bilinmeyen Personel","Kontrol","OK")</x:f>
        <x:v>OK</x:v>
      </x:c>
    </x:row>
    <x:row r="2538" hidden="1">
      <x:c r="A2538" s="312" t="n">
        <x:f>ROW()-ROW($A$2)+1</x:f>
        <x:v>2537</x:v>
      </x:c>
      <x:c r="B2538" s="312" t="s">
        <x:v>50</x:v>
      </x:c>
      <x:c r="C2538" s="312" t="s">
        <x:v>43</x:v>
      </x:c>
      <x:c r="D2538" s="317">
        <x:v>2</x:v>
      </x:c>
      <x:c r="E2538" s="321">
        <x:v>1490</x:v>
      </x:c>
      <x:c r="F2538" s="321">
        <x:v>2980</x:v>
      </x:c>
      <x:c r="G2538" s="321">
        <x:v>1380</x:v>
      </x:c>
      <x:c r="H2538" s="312" t="s">
        <x:v>66</x:v>
      </x:c>
      <x:c r="I2538" s="312" t="s">
        <x:v>28</x:v>
      </x:c>
      <x:c r="J2538" s="316" t="n">
        <x:f>IFERROR(G2538/F2538,0)</x:f>
        <x:v>0.46308724832214765</x:v>
      </x:c>
      <x:c r="K2538" s="312" t="str">
        <x:f>IF(B2538="Bilinmeyen Personel","Kontrol","OK")</x:f>
        <x:v>OK</x:v>
      </x:c>
    </x:row>
    <x:row r="2539" hidden="1">
      <x:c r="A2539" s="312" t="n">
        <x:f>ROW()-ROW($A$2)+1</x:f>
        <x:v>2538</x:v>
      </x:c>
      <x:c r="B2539" s="312" t="s">
        <x:v>9</x:v>
      </x:c>
      <x:c r="C2539" s="312" t="s">
        <x:v>56</x:v>
      </x:c>
      <x:c r="D2539" s="317">
        <x:v>5</x:v>
      </x:c>
      <x:c r="E2539" s="321">
        <x:v>5300</x:v>
      </x:c>
      <x:c r="F2539" s="321">
        <x:v>26500</x:v>
      </x:c>
      <x:c r="G2539" s="321">
        <x:v>6500</x:v>
      </x:c>
      <x:c r="H2539" s="312" t="s">
        <x:v>66</x:v>
      </x:c>
      <x:c r="I2539" s="312" t="s">
        <x:v>37</x:v>
      </x:c>
      <x:c r="J2539" s="316" t="n">
        <x:f>IFERROR(G2539/F2539,0)</x:f>
        <x:v>0.24528301886792453</x:v>
      </x:c>
      <x:c r="K2539" s="312" t="str">
        <x:f>IF(B2539="Bilinmeyen Personel","Kontrol","OK")</x:f>
        <x:v>OK</x:v>
      </x:c>
    </x:row>
    <x:row r="2540" hidden="1">
      <x:c r="A2540" s="312" t="n">
        <x:f>ROW()-ROW($A$2)+1</x:f>
        <x:v>2539</x:v>
      </x:c>
      <x:c r="B2540" s="312" t="s">
        <x:v>23</x:v>
      </x:c>
      <x:c r="C2540" s="312" t="s">
        <x:v>30</x:v>
      </x:c>
      <x:c r="D2540" s="317">
        <x:v>2</x:v>
      </x:c>
      <x:c r="E2540" s="321">
        <x:v>1200</x:v>
      </x:c>
      <x:c r="F2540" s="321">
        <x:v>2400</x:v>
      </x:c>
      <x:c r="G2540" s="321">
        <x:v>800</x:v>
      </x:c>
      <x:c r="H2540" s="312" t="s">
        <x:v>66</x:v>
      </x:c>
      <x:c r="I2540" s="312" t="s">
        <x:v>12</x:v>
      </x:c>
      <x:c r="J2540" s="316" t="n">
        <x:f>IFERROR(G2540/F2540,0)</x:f>
        <x:v>0.3333333333333333</x:v>
      </x:c>
      <x:c r="K2540" s="312" t="str">
        <x:f>IF(B2540="Bilinmeyen Personel","Kontrol","OK")</x:f>
        <x:v>OK</x:v>
      </x:c>
    </x:row>
    <x:row r="2541" hidden="1">
      <x:c r="A2541" s="312" t="n">
        <x:f>ROW()-ROW($A$2)+1</x:f>
        <x:v>2540</x:v>
      </x:c>
      <x:c r="B2541" s="312" t="s">
        <x:v>40</x:v>
      </x:c>
      <x:c r="C2541" s="312" t="s">
        <x:v>34</x:v>
      </x:c>
      <x:c r="D2541" s="317">
        <x:v>3</x:v>
      </x:c>
      <x:c r="E2541" s="321">
        <x:v>1090</x:v>
      </x:c>
      <x:c r="F2541" s="321">
        <x:v>3270</x:v>
      </x:c>
      <x:c r="G2541" s="321">
        <x:v>870</x:v>
      </x:c>
      <x:c r="H2541" s="312" t="s">
        <x:v>66</x:v>
      </x:c>
      <x:c r="I2541" s="312" t="s">
        <x:v>28</x:v>
      </x:c>
      <x:c r="J2541" s="316" t="n">
        <x:f>IFERROR(G2541/F2541,0)</x:f>
        <x:v>0.26605504587155965</x:v>
      </x:c>
      <x:c r="K2541" s="312" t="str">
        <x:f>IF(B2541="Bilinmeyen Personel","Kontrol","OK")</x:f>
        <x:v>OK</x:v>
      </x:c>
    </x:row>
    <x:row r="2542" hidden="1">
      <x:c r="A2542" s="312" t="n">
        <x:f>ROW()-ROW($A$2)+1</x:f>
        <x:v>2541</x:v>
      </x:c>
      <x:c r="B2542" s="312" t="s">
        <x:v>23</x:v>
      </x:c>
      <x:c r="C2542" s="312" t="s">
        <x:v>26</x:v>
      </x:c>
      <x:c r="D2542" s="317">
        <x:v>5</x:v>
      </x:c>
      <x:c r="E2542" s="321">
        <x:v>7250</x:v>
      </x:c>
      <x:c r="F2542" s="321">
        <x:v>36250</x:v>
      </x:c>
      <x:c r="G2542" s="321">
        <x:v>11250</x:v>
      </x:c>
      <x:c r="H2542" s="312" t="s">
        <x:v>66</x:v>
      </x:c>
      <x:c r="I2542" s="312" t="s">
        <x:v>12</x:v>
      </x:c>
      <x:c r="J2542" s="316" t="n">
        <x:f>IFERROR(G2542/F2542,0)</x:f>
        <x:v>0.3103448275862069</x:v>
      </x:c>
      <x:c r="K2542" s="312" t="str">
        <x:f>IF(B2542="Bilinmeyen Personel","Kontrol","OK")</x:f>
        <x:v>OK</x:v>
      </x:c>
    </x:row>
    <x:row r="2543" hidden="1">
      <x:c r="A2543" s="312" t="n">
        <x:f>ROW()-ROW($A$2)+1</x:f>
        <x:v>2542</x:v>
      </x:c>
      <x:c r="B2543" s="312" t="s">
        <x:v>48</x:v>
      </x:c>
      <x:c r="C2543" s="312" t="s">
        <x:v>14</x:v>
      </x:c>
      <x:c r="D2543" s="317">
        <x:v>2</x:v>
      </x:c>
      <x:c r="E2543" s="321">
        <x:v>1400</x:v>
      </x:c>
      <x:c r="F2543" s="321">
        <x:v>2800</x:v>
      </x:c>
      <x:c r="G2543" s="321">
        <x:v>1200</x:v>
      </x:c>
      <x:c r="H2543" s="312" t="s">
        <x:v>66</x:v>
      </x:c>
      <x:c r="I2543" s="312" t="s">
        <x:v>54</x:v>
      </x:c>
      <x:c r="J2543" s="316" t="n">
        <x:f>IFERROR(G2543/F2543,0)</x:f>
        <x:v>0.42857142857142855</x:v>
      </x:c>
      <x:c r="K2543" s="312" t="str">
        <x:f>IF(B2543="Bilinmeyen Personel","Kontrol","OK")</x:f>
        <x:v>OK</x:v>
      </x:c>
    </x:row>
    <x:row r="2544" hidden="1">
      <x:c r="A2544" s="312" t="n">
        <x:f>ROW()-ROW($A$2)+1</x:f>
        <x:v>2543</x:v>
      </x:c>
      <x:c r="B2544" s="312" t="s">
        <x:v>16</x:v>
      </x:c>
      <x:c r="C2544" s="312" t="s">
        <x:v>57</x:v>
      </x:c>
      <x:c r="D2544" s="317">
        <x:v>4</x:v>
      </x:c>
      <x:c r="E2544" s="321">
        <x:v>1500</x:v>
      </x:c>
      <x:c r="F2544" s="321">
        <x:v>6000</x:v>
      </x:c>
      <x:c r="G2544" s="321">
        <x:v>2800</x:v>
      </x:c>
      <x:c r="H2544" s="312" t="s">
        <x:v>66</x:v>
      </x:c>
      <x:c r="I2544" s="312" t="s">
        <x:v>46</x:v>
      </x:c>
      <x:c r="J2544" s="316" t="n">
        <x:f>IFERROR(G2544/F2544,0)</x:f>
        <x:v>0.4666666666666667</x:v>
      </x:c>
      <x:c r="K2544" s="312" t="str">
        <x:f>IF(B2544="Bilinmeyen Personel","Kontrol","OK")</x:f>
        <x:v>OK</x:v>
      </x:c>
    </x:row>
    <x:row r="2545" hidden="1">
      <x:c r="A2545" s="312" t="n">
        <x:f>ROW()-ROW($A$2)+1</x:f>
        <x:v>2544</x:v>
      </x:c>
      <x:c r="B2545" s="312" t="s">
        <x:v>35</x:v>
      </x:c>
      <x:c r="C2545" s="312" t="s">
        <x:v>20</x:v>
      </x:c>
      <x:c r="D2545" s="317">
        <x:v>5</x:v>
      </x:c>
      <x:c r="E2545" s="321">
        <x:v>1350</x:v>
      </x:c>
      <x:c r="F2545" s="321">
        <x:v>6750</x:v>
      </x:c>
      <x:c r="G2545" s="321">
        <x:v>2750</x:v>
      </x:c>
      <x:c r="H2545" s="312" t="s">
        <x:v>66</x:v>
      </x:c>
      <x:c r="I2545" s="312" t="s">
        <x:v>18</x:v>
      </x:c>
      <x:c r="J2545" s="316" t="n">
        <x:f>IFERROR(G2545/F2545,0)</x:f>
        <x:v>0.4074074074074074</x:v>
      </x:c>
      <x:c r="K2545" s="312" t="str">
        <x:f>IF(B2545="Bilinmeyen Personel","Kontrol","OK")</x:f>
        <x:v>OK</x:v>
      </x:c>
    </x:row>
    <x:row r="2546" hidden="1">
      <x:c r="A2546" s="312" t="n">
        <x:f>ROW()-ROW($A$2)+1</x:f>
        <x:v>2545</x:v>
      </x:c>
      <x:c r="B2546" s="312" t="s">
        <x:v>35</x:v>
      </x:c>
      <x:c r="C2546" s="312" t="s">
        <x:v>30</x:v>
      </x:c>
      <x:c r="D2546" s="317">
        <x:v>2</x:v>
      </x:c>
      <x:c r="E2546" s="321">
        <x:v>1200</x:v>
      </x:c>
      <x:c r="F2546" s="321">
        <x:v>2400</x:v>
      </x:c>
      <x:c r="G2546" s="321">
        <x:v>800</x:v>
      </x:c>
      <x:c r="H2546" s="312" t="s">
        <x:v>66</x:v>
      </x:c>
      <x:c r="I2546" s="312" t="s">
        <x:v>25</x:v>
      </x:c>
      <x:c r="J2546" s="316" t="n">
        <x:f>IFERROR(G2546/F2546,0)</x:f>
        <x:v>0.3333333333333333</x:v>
      </x:c>
      <x:c r="K2546" s="312" t="str">
        <x:f>IF(B2546="Bilinmeyen Personel","Kontrol","OK")</x:f>
        <x:v>OK</x:v>
      </x:c>
    </x:row>
    <x:row r="2547" hidden="1">
      <x:c r="A2547" s="312" t="n">
        <x:f>ROW()-ROW($A$2)+1</x:f>
        <x:v>2546</x:v>
      </x:c>
      <x:c r="B2547" s="312" t="s">
        <x:v>13</x:v>
      </x:c>
      <x:c r="C2547" s="312" t="s">
        <x:v>55</x:v>
      </x:c>
      <x:c r="D2547" s="317">
        <x:v>2</x:v>
      </x:c>
      <x:c r="E2547" s="321">
        <x:v>7530</x:v>
      </x:c>
      <x:c r="F2547" s="321">
        <x:v>15060</x:v>
      </x:c>
      <x:c r="G2547" s="321">
        <x:v>3060</x:v>
      </x:c>
      <x:c r="H2547" s="312" t="s">
        <x:v>66</x:v>
      </x:c>
      <x:c r="I2547" s="312" t="s">
        <x:v>28</x:v>
      </x:c>
      <x:c r="J2547" s="316" t="n">
        <x:f>IFERROR(G2547/F2547,0)</x:f>
        <x:v>0.20318725099601595</x:v>
      </x:c>
      <x:c r="K2547" s="312" t="str">
        <x:f>IF(B2547="Bilinmeyen Personel","Kontrol","OK")</x:f>
        <x:v>OK</x:v>
      </x:c>
    </x:row>
    <x:row r="2548" hidden="1">
      <x:c r="A2548" s="312" t="n">
        <x:f>ROW()-ROW($A$2)+1</x:f>
        <x:v>2547</x:v>
      </x:c>
      <x:c r="B2548" s="312" t="s">
        <x:v>48</x:v>
      </x:c>
      <x:c r="C2548" s="312" t="s">
        <x:v>30</x:v>
      </x:c>
      <x:c r="D2548" s="317">
        <x:v>2</x:v>
      </x:c>
      <x:c r="E2548" s="321">
        <x:v>1200</x:v>
      </x:c>
      <x:c r="F2548" s="321">
        <x:v>2400</x:v>
      </x:c>
      <x:c r="G2548" s="321">
        <x:v>800</x:v>
      </x:c>
      <x:c r="H2548" s="312" t="s">
        <x:v>66</x:v>
      </x:c>
      <x:c r="I2548" s="312" t="s">
        <x:v>44</x:v>
      </x:c>
      <x:c r="J2548" s="316" t="n">
        <x:f>IFERROR(G2548/F2548,0)</x:f>
        <x:v>0.3333333333333333</x:v>
      </x:c>
      <x:c r="K2548" s="312" t="str">
        <x:f>IF(B2548="Bilinmeyen Personel","Kontrol","OK")</x:f>
        <x:v>OK</x:v>
      </x:c>
    </x:row>
    <x:row r="2549" hidden="1">
      <x:c r="A2549" s="312" t="n">
        <x:f>ROW()-ROW($A$2)+1</x:f>
        <x:v>2548</x:v>
      </x:c>
      <x:c r="B2549" s="312" t="s">
        <x:v>38</x:v>
      </x:c>
      <x:c r="C2549" s="312" t="s">
        <x:v>33</x:v>
      </x:c>
      <x:c r="D2549" s="317">
        <x:v>3</x:v>
      </x:c>
      <x:c r="E2549" s="321">
        <x:v>1800</x:v>
      </x:c>
      <x:c r="F2549" s="321">
        <x:v>5400</x:v>
      </x:c>
      <x:c r="G2549" s="321">
        <x:v>3000</x:v>
      </x:c>
      <x:c r="H2549" s="312" t="s">
        <x:v>66</x:v>
      </x:c>
      <x:c r="I2549" s="312" t="s">
        <x:v>46</x:v>
      </x:c>
      <x:c r="J2549" s="316" t="n">
        <x:f>IFERROR(G2549/F2549,0)</x:f>
        <x:v>0.5555555555555556</x:v>
      </x:c>
      <x:c r="K2549" s="312" t="str">
        <x:f>IF(B2549="Bilinmeyen Personel","Kontrol","OK")</x:f>
        <x:v>OK</x:v>
      </x:c>
    </x:row>
    <x:row r="2550" hidden="1">
      <x:c r="A2550" s="312" t="n">
        <x:f>ROW()-ROW($A$2)+1</x:f>
        <x:v>2549</x:v>
      </x:c>
      <x:c r="B2550" s="312" t="s">
        <x:v>9</x:v>
      </x:c>
      <x:c r="C2550" s="312" t="s">
        <x:v>26</x:v>
      </x:c>
      <x:c r="D2550" s="317">
        <x:v>2</x:v>
      </x:c>
      <x:c r="E2550" s="321">
        <x:v>7250</x:v>
      </x:c>
      <x:c r="F2550" s="321">
        <x:v>14500</x:v>
      </x:c>
      <x:c r="G2550" s="321">
        <x:v>4500</x:v>
      </x:c>
      <x:c r="H2550" s="312" t="s">
        <x:v>66</x:v>
      </x:c>
      <x:c r="I2550" s="312" t="s">
        <x:v>12</x:v>
      </x:c>
      <x:c r="J2550" s="316" t="n">
        <x:f>IFERROR(G2550/F2550,0)</x:f>
        <x:v>0.3103448275862069</x:v>
      </x:c>
      <x:c r="K2550" s="312" t="str">
        <x:f>IF(B2550="Bilinmeyen Personel","Kontrol","OK")</x:f>
        <x:v>OK</x:v>
      </x:c>
    </x:row>
    <x:row r="2551" hidden="1">
      <x:c r="A2551" s="312" t="n">
        <x:f>ROW()-ROW($A$2)+1</x:f>
        <x:v>2550</x:v>
      </x:c>
      <x:c r="B2551" s="312" t="s">
        <x:v>40</x:v>
      </x:c>
      <x:c r="C2551" s="312" t="s">
        <x:v>43</x:v>
      </x:c>
      <x:c r="D2551" s="317">
        <x:v>3</x:v>
      </x:c>
      <x:c r="E2551" s="321">
        <x:v>1490</x:v>
      </x:c>
      <x:c r="F2551" s="321">
        <x:v>4470</x:v>
      </x:c>
      <x:c r="G2551" s="321">
        <x:v>2070</x:v>
      </x:c>
      <x:c r="H2551" s="312" t="s">
        <x:v>66</x:v>
      </x:c>
      <x:c r="I2551" s="312" t="s">
        <x:v>44</x:v>
      </x:c>
      <x:c r="J2551" s="316" t="n">
        <x:f>IFERROR(G2551/F2551,0)</x:f>
        <x:v>0.46308724832214765</x:v>
      </x:c>
      <x:c r="K2551" s="312" t="str">
        <x:f>IF(B2551="Bilinmeyen Personel","Kontrol","OK")</x:f>
        <x:v>OK</x:v>
      </x:c>
    </x:row>
    <x:row r="2552" hidden="1">
      <x:c r="A2552" s="312" t="n">
        <x:f>ROW()-ROW($A$2)+1</x:f>
        <x:v>2551</x:v>
      </x:c>
      <x:c r="B2552" s="312" t="s">
        <x:v>40</x:v>
      </x:c>
      <x:c r="C2552" s="312" t="s">
        <x:v>53</x:v>
      </x:c>
      <x:c r="D2552" s="317">
        <x:v>4</x:v>
      </x:c>
      <x:c r="E2552" s="321">
        <x:v>1200</x:v>
      </x:c>
      <x:c r="F2552" s="321">
        <x:v>4800</x:v>
      </x:c>
      <x:c r="G2552" s="321">
        <x:v>1600</x:v>
      </x:c>
      <x:c r="H2552" s="312" t="s">
        <x:v>66</x:v>
      </x:c>
      <x:c r="I2552" s="312" t="s">
        <x:v>44</x:v>
      </x:c>
      <x:c r="J2552" s="316" t="n">
        <x:f>IFERROR(G2552/F2552,0)</x:f>
        <x:v>0.3333333333333333</x:v>
      </x:c>
      <x:c r="K2552" s="312" t="str">
        <x:f>IF(B2552="Bilinmeyen Personel","Kontrol","OK")</x:f>
        <x:v>OK</x:v>
      </x:c>
    </x:row>
    <x:row r="2553" hidden="1">
      <x:c r="A2553" s="312" t="n">
        <x:f>ROW()-ROW($A$2)+1</x:f>
        <x:v>2552</x:v>
      </x:c>
      <x:c r="B2553" s="312" t="s">
        <x:v>13</x:v>
      </x:c>
      <x:c r="C2553" s="312" t="s">
        <x:v>36</x:v>
      </x:c>
      <x:c r="D2553" s="317">
        <x:v>4</x:v>
      </x:c>
      <x:c r="E2553" s="321">
        <x:v>8000</x:v>
      </x:c>
      <x:c r="F2553" s="321">
        <x:v>32000</x:v>
      </x:c>
      <x:c r="G2553" s="321">
        <x:v>8000</x:v>
      </x:c>
      <x:c r="H2553" s="312" t="s">
        <x:v>66</x:v>
      </x:c>
      <x:c r="I2553" s="312" t="s">
        <x:v>46</x:v>
      </x:c>
      <x:c r="J2553" s="316" t="n">
        <x:f>IFERROR(G2553/F2553,0)</x:f>
        <x:v>0.25</x:v>
      </x:c>
      <x:c r="K2553" s="312" t="str">
        <x:f>IF(B2553="Bilinmeyen Personel","Kontrol","OK")</x:f>
        <x:v>OK</x:v>
      </x:c>
    </x:row>
    <x:row r="2554" hidden="1">
      <x:c r="A2554" s="312" t="n">
        <x:f>ROW()-ROW($A$2)+1</x:f>
        <x:v>2553</x:v>
      </x:c>
      <x:c r="B2554" s="312" t="s">
        <x:v>32</x:v>
      </x:c>
      <x:c r="C2554" s="312" t="s">
        <x:v>14</x:v>
      </x:c>
      <x:c r="D2554" s="317">
        <x:v>4</x:v>
      </x:c>
      <x:c r="E2554" s="321">
        <x:v>1400</x:v>
      </x:c>
      <x:c r="F2554" s="321">
        <x:v>5600</x:v>
      </x:c>
      <x:c r="G2554" s="321">
        <x:v>2400</x:v>
      </x:c>
      <x:c r="H2554" s="312" t="s">
        <x:v>66</x:v>
      </x:c>
      <x:c r="I2554" s="312" t="s">
        <x:v>31</x:v>
      </x:c>
      <x:c r="J2554" s="316" t="n">
        <x:f>IFERROR(G2554/F2554,0)</x:f>
        <x:v>0.42857142857142855</x:v>
      </x:c>
      <x:c r="K2554" s="312" t="str">
        <x:f>IF(B2554="Bilinmeyen Personel","Kontrol","OK")</x:f>
        <x:v>OK</x:v>
      </x:c>
    </x:row>
    <x:row r="2555" hidden="1">
      <x:c r="A2555" s="312" t="n">
        <x:f>ROW()-ROW($A$2)+1</x:f>
        <x:v>2554</x:v>
      </x:c>
      <x:c r="B2555" s="312" t="s">
        <x:v>29</x:v>
      </x:c>
      <x:c r="C2555" s="312" t="s">
        <x:v>20</x:v>
      </x:c>
      <x:c r="D2555" s="317">
        <x:v>4</x:v>
      </x:c>
      <x:c r="E2555" s="321">
        <x:v>1350</x:v>
      </x:c>
      <x:c r="F2555" s="321">
        <x:v>5400</x:v>
      </x:c>
      <x:c r="G2555" s="321">
        <x:v>2200</x:v>
      </x:c>
      <x:c r="H2555" s="312" t="s">
        <x:v>66</x:v>
      </x:c>
      <x:c r="I2555" s="312" t="s">
        <x:v>15</x:v>
      </x:c>
      <x:c r="J2555" s="316" t="n">
        <x:f>IFERROR(G2555/F2555,0)</x:f>
        <x:v>0.4074074074074074</x:v>
      </x:c>
      <x:c r="K2555" s="312" t="str">
        <x:f>IF(B2555="Bilinmeyen Personel","Kontrol","OK")</x:f>
        <x:v>OK</x:v>
      </x:c>
    </x:row>
    <x:row r="2556" hidden="1">
      <x:c r="A2556" s="312" t="n">
        <x:f>ROW()-ROW($A$2)+1</x:f>
        <x:v>2555</x:v>
      </x:c>
      <x:c r="B2556" s="312" t="s">
        <x:v>38</x:v>
      </x:c>
      <x:c r="C2556" s="312" t="s">
        <x:v>53</x:v>
      </x:c>
      <x:c r="D2556" s="317">
        <x:v>3</x:v>
      </x:c>
      <x:c r="E2556" s="321">
        <x:v>1200</x:v>
      </x:c>
      <x:c r="F2556" s="321">
        <x:v>3600</x:v>
      </x:c>
      <x:c r="G2556" s="321">
        <x:v>1200</x:v>
      </x:c>
      <x:c r="H2556" s="312" t="s">
        <x:v>66</x:v>
      </x:c>
      <x:c r="I2556" s="312" t="s">
        <x:v>21</x:v>
      </x:c>
      <x:c r="J2556" s="316" t="n">
        <x:f>IFERROR(G2556/F2556,0)</x:f>
        <x:v>0.3333333333333333</x:v>
      </x:c>
      <x:c r="K2556" s="312" t="str">
        <x:f>IF(B2556="Bilinmeyen Personel","Kontrol","OK")</x:f>
        <x:v>OK</x:v>
      </x:c>
    </x:row>
    <x:row r="2557" hidden="1">
      <x:c r="A2557" s="312" t="n">
        <x:f>ROW()-ROW($A$2)+1</x:f>
        <x:v>2556</x:v>
      </x:c>
      <x:c r="B2557" s="312" t="s">
        <x:v>32</x:v>
      </x:c>
      <x:c r="C2557" s="312" t="s">
        <x:v>56</x:v>
      </x:c>
      <x:c r="D2557" s="317">
        <x:v>5</x:v>
      </x:c>
      <x:c r="E2557" s="321">
        <x:v>5300</x:v>
      </x:c>
      <x:c r="F2557" s="321">
        <x:v>26500</x:v>
      </x:c>
      <x:c r="G2557" s="321">
        <x:v>6500</x:v>
      </x:c>
      <x:c r="H2557" s="312" t="s">
        <x:v>66</x:v>
      </x:c>
      <x:c r="I2557" s="312" t="s">
        <x:v>42</x:v>
      </x:c>
      <x:c r="J2557" s="316" t="n">
        <x:f>IFERROR(G2557/F2557,0)</x:f>
        <x:v>0.24528301886792453</x:v>
      </x:c>
      <x:c r="K2557" s="312" t="str">
        <x:f>IF(B2557="Bilinmeyen Personel","Kontrol","OK")</x:f>
        <x:v>OK</x:v>
      </x:c>
    </x:row>
    <x:row r="2558" hidden="1">
      <x:c r="A2558" s="312" t="n">
        <x:f>ROW()-ROW($A$2)+1</x:f>
        <x:v>2557</x:v>
      </x:c>
      <x:c r="B2558" s="312" t="s">
        <x:v>40</x:v>
      </x:c>
      <x:c r="C2558" s="312" t="s">
        <x:v>39</x:v>
      </x:c>
      <x:c r="D2558" s="317">
        <x:v>5</x:v>
      </x:c>
      <x:c r="E2558" s="321">
        <x:v>10590</x:v>
      </x:c>
      <x:c r="F2558" s="321">
        <x:v>52950</x:v>
      </x:c>
      <x:c r="G2558" s="321">
        <x:v>22950</x:v>
      </x:c>
      <x:c r="H2558" s="312" t="s">
        <x:v>66</x:v>
      </x:c>
      <x:c r="I2558" s="312" t="s">
        <x:v>54</x:v>
      </x:c>
      <x:c r="J2558" s="316" t="n">
        <x:f>IFERROR(G2558/F2558,0)</x:f>
        <x:v>0.43342776203966005</x:v>
      </x:c>
      <x:c r="K2558" s="312" t="str">
        <x:f>IF(B2558="Bilinmeyen Personel","Kontrol","OK")</x:f>
        <x:v>OK</x:v>
      </x:c>
    </x:row>
    <x:row r="2559" hidden="1">
      <x:c r="A2559" s="312" t="n">
        <x:f>ROW()-ROW($A$2)+1</x:f>
        <x:v>2558</x:v>
      </x:c>
      <x:c r="B2559" s="312" t="s">
        <x:v>23</x:v>
      </x:c>
      <x:c r="C2559" s="312" t="s">
        <x:v>52</x:v>
      </x:c>
      <x:c r="D2559" s="317">
        <x:v>2</x:v>
      </x:c>
      <x:c r="E2559" s="321">
        <x:v>1250</x:v>
      </x:c>
      <x:c r="F2559" s="321">
        <x:v>2500</x:v>
      </x:c>
      <x:c r="G2559" s="321">
        <x:v>900</x:v>
      </x:c>
      <x:c r="H2559" s="312" t="s">
        <x:v>66</x:v>
      </x:c>
      <x:c r="I2559" s="312" t="s">
        <x:v>25</x:v>
      </x:c>
      <x:c r="J2559" s="316" t="n">
        <x:f>IFERROR(G2559/F2559,0)</x:f>
        <x:v>0.36</x:v>
      </x:c>
      <x:c r="K2559" s="312" t="str">
        <x:f>IF(B2559="Bilinmeyen Personel","Kontrol","OK")</x:f>
        <x:v>OK</x:v>
      </x:c>
    </x:row>
    <x:row r="2560" hidden="1">
      <x:c r="A2560" s="312" t="n">
        <x:f>ROW()-ROW($A$2)+1</x:f>
        <x:v>2559</x:v>
      </x:c>
      <x:c r="B2560" s="312" t="s">
        <x:v>50</x:v>
      </x:c>
      <x:c r="C2560" s="312" t="s">
        <x:v>53</x:v>
      </x:c>
      <x:c r="D2560" s="317">
        <x:v>3</x:v>
      </x:c>
      <x:c r="E2560" s="321">
        <x:v>1200</x:v>
      </x:c>
      <x:c r="F2560" s="321">
        <x:v>3600</x:v>
      </x:c>
      <x:c r="G2560" s="321">
        <x:v>1200</x:v>
      </x:c>
      <x:c r="H2560" s="312" t="s">
        <x:v>66</x:v>
      </x:c>
      <x:c r="I2560" s="312" t="s">
        <x:v>37</x:v>
      </x:c>
      <x:c r="J2560" s="316" t="n">
        <x:f>IFERROR(G2560/F2560,0)</x:f>
        <x:v>0.3333333333333333</x:v>
      </x:c>
      <x:c r="K2560" s="312" t="str">
        <x:f>IF(B2560="Bilinmeyen Personel","Kontrol","OK")</x:f>
        <x:v>OK</x:v>
      </x:c>
    </x:row>
    <x:row r="2561" hidden="1">
      <x:c r="A2561" s="312" t="n">
        <x:f>ROW()-ROW($A$2)+1</x:f>
        <x:v>2560</x:v>
      </x:c>
      <x:c r="B2561" s="312" t="s">
        <x:v>23</x:v>
      </x:c>
      <x:c r="C2561" s="312" t="s">
        <x:v>14</x:v>
      </x:c>
      <x:c r="D2561" s="317">
        <x:v>4</x:v>
      </x:c>
      <x:c r="E2561" s="321">
        <x:v>1400</x:v>
      </x:c>
      <x:c r="F2561" s="321">
        <x:v>5600</x:v>
      </x:c>
      <x:c r="G2561" s="321">
        <x:v>2400</x:v>
      </x:c>
      <x:c r="H2561" s="312" t="s">
        <x:v>66</x:v>
      </x:c>
      <x:c r="I2561" s="312" t="s">
        <x:v>42</x:v>
      </x:c>
      <x:c r="J2561" s="316" t="n">
        <x:f>IFERROR(G2561/F2561,0)</x:f>
        <x:v>0.42857142857142855</x:v>
      </x:c>
      <x:c r="K2561" s="312" t="str">
        <x:f>IF(B2561="Bilinmeyen Personel","Kontrol","OK")</x:f>
        <x:v>OK</x:v>
      </x:c>
    </x:row>
    <x:row r="2562" hidden="1">
      <x:c r="A2562" s="312" t="n">
        <x:f>ROW()-ROW($A$2)+1</x:f>
        <x:v>2561</x:v>
      </x:c>
      <x:c r="B2562" s="312" t="s">
        <x:v>50</x:v>
      </x:c>
      <x:c r="C2562" s="312" t="s">
        <x:v>55</x:v>
      </x:c>
      <x:c r="D2562" s="317">
        <x:v>2</x:v>
      </x:c>
      <x:c r="E2562" s="321">
        <x:v>7530</x:v>
      </x:c>
      <x:c r="F2562" s="321">
        <x:v>15060</x:v>
      </x:c>
      <x:c r="G2562" s="321">
        <x:v>3060</x:v>
      </x:c>
      <x:c r="H2562" s="312" t="s">
        <x:v>66</x:v>
      </x:c>
      <x:c r="I2562" s="312" t="s">
        <x:v>31</x:v>
      </x:c>
      <x:c r="J2562" s="316" t="n">
        <x:f>IFERROR(G2562/F2562,0)</x:f>
        <x:v>0.20318725099601595</x:v>
      </x:c>
      <x:c r="K2562" s="312" t="str">
        <x:f>IF(B2562="Bilinmeyen Personel","Kontrol","OK")</x:f>
        <x:v>OK</x:v>
      </x:c>
    </x:row>
    <x:row r="2563" hidden="1">
      <x:c r="A2563" s="312" t="n">
        <x:f>ROW()-ROW($A$2)+1</x:f>
        <x:v>2562</x:v>
      </x:c>
      <x:c r="B2563" s="312" t="s">
        <x:v>32</x:v>
      </x:c>
      <x:c r="C2563" s="312" t="s">
        <x:v>24</x:v>
      </x:c>
      <x:c r="D2563" s="317">
        <x:v>4</x:v>
      </x:c>
      <x:c r="E2563" s="321">
        <x:v>7600</x:v>
      </x:c>
      <x:c r="F2563" s="321">
        <x:v>30400</x:v>
      </x:c>
      <x:c r="G2563" s="321">
        <x:v>6400</x:v>
      </x:c>
      <x:c r="H2563" s="312" t="s">
        <x:v>66</x:v>
      </x:c>
      <x:c r="I2563" s="312" t="s">
        <x:v>37</x:v>
      </x:c>
      <x:c r="J2563" s="316" t="n">
        <x:f>IFERROR(G2563/F2563,0)</x:f>
        <x:v>0.21052631578947367</x:v>
      </x:c>
      <x:c r="K2563" s="312" t="str">
        <x:f>IF(B2563="Bilinmeyen Personel","Kontrol","OK")</x:f>
        <x:v>OK</x:v>
      </x:c>
    </x:row>
    <x:row r="2564" hidden="1">
      <x:c r="A2564" s="312" t="n">
        <x:f>ROW()-ROW($A$2)+1</x:f>
        <x:v>2563</x:v>
      </x:c>
      <x:c r="B2564" s="312" t="s">
        <x:v>50</x:v>
      </x:c>
      <x:c r="C2564" s="312" t="s">
        <x:v>57</x:v>
      </x:c>
      <x:c r="D2564" s="317">
        <x:v>5</x:v>
      </x:c>
      <x:c r="E2564" s="321">
        <x:v>1500</x:v>
      </x:c>
      <x:c r="F2564" s="321">
        <x:v>7500</x:v>
      </x:c>
      <x:c r="G2564" s="321">
        <x:v>3500</x:v>
      </x:c>
      <x:c r="H2564" s="312" t="s">
        <x:v>66</x:v>
      </x:c>
      <x:c r="I2564" s="312" t="s">
        <x:v>18</x:v>
      </x:c>
      <x:c r="J2564" s="316" t="n">
        <x:f>IFERROR(G2564/F2564,0)</x:f>
        <x:v>0.4666666666666667</x:v>
      </x:c>
      <x:c r="K2564" s="312" t="str">
        <x:f>IF(B2564="Bilinmeyen Personel","Kontrol","OK")</x:f>
        <x:v>OK</x:v>
      </x:c>
    </x:row>
    <x:row r="2565" hidden="1">
      <x:c r="A2565" s="312" t="n">
        <x:f>ROW()-ROW($A$2)+1</x:f>
        <x:v>2564</x:v>
      </x:c>
      <x:c r="B2565" s="312" t="s">
        <x:v>40</x:v>
      </x:c>
      <x:c r="C2565" s="312" t="s">
        <x:v>22</x:v>
      </x:c>
      <x:c r="D2565" s="317">
        <x:v>3</x:v>
      </x:c>
      <x:c r="E2565" s="321">
        <x:v>2180</x:v>
      </x:c>
      <x:c r="F2565" s="321">
        <x:v>6540</x:v>
      </x:c>
      <x:c r="G2565" s="321">
        <x:v>2040</x:v>
      </x:c>
      <x:c r="H2565" s="312" t="s">
        <x:v>66</x:v>
      </x:c>
      <x:c r="I2565" s="312" t="s">
        <x:v>21</x:v>
      </x:c>
      <x:c r="J2565" s="316" t="n">
        <x:f>IFERROR(G2565/F2565,0)</x:f>
        <x:v>0.3119266055045872</x:v>
      </x:c>
      <x:c r="K2565" s="312" t="str">
        <x:f>IF(B2565="Bilinmeyen Personel","Kontrol","OK")</x:f>
        <x:v>OK</x:v>
      </x:c>
    </x:row>
    <x:row r="2566" hidden="1">
      <x:c r="A2566" s="312" t="n">
        <x:f>ROW()-ROW($A$2)+1</x:f>
        <x:v>2565</x:v>
      </x:c>
      <x:c r="B2566" s="312" t="s">
        <x:v>19</x:v>
      </x:c>
      <x:c r="C2566" s="312" t="s">
        <x:v>22</x:v>
      </x:c>
      <x:c r="D2566" s="317">
        <x:v>4</x:v>
      </x:c>
      <x:c r="E2566" s="321">
        <x:v>2180</x:v>
      </x:c>
      <x:c r="F2566" s="321">
        <x:v>8720</x:v>
      </x:c>
      <x:c r="G2566" s="321">
        <x:v>2720</x:v>
      </x:c>
      <x:c r="H2566" s="312" t="s">
        <x:v>66</x:v>
      </x:c>
      <x:c r="I2566" s="312" t="s">
        <x:v>12</x:v>
      </x:c>
      <x:c r="J2566" s="316" t="n">
        <x:f>IFERROR(G2566/F2566,0)</x:f>
        <x:v>0.3119266055045872</x:v>
      </x:c>
      <x:c r="K2566" s="312" t="str">
        <x:f>IF(B2566="Bilinmeyen Personel","Kontrol","OK")</x:f>
        <x:v>OK</x:v>
      </x:c>
    </x:row>
    <x:row r="2567" hidden="1">
      <x:c r="A2567" s="312" t="n">
        <x:f>ROW()-ROW($A$2)+1</x:f>
        <x:v>2566</x:v>
      </x:c>
      <x:c r="B2567" s="312" t="s">
        <x:v>40</x:v>
      </x:c>
      <x:c r="C2567" s="312" t="s">
        <x:v>47</x:v>
      </x:c>
      <x:c r="D2567" s="317">
        <x:v>3</x:v>
      </x:c>
      <x:c r="E2567" s="321">
        <x:v>5775</x:v>
      </x:c>
      <x:c r="F2567" s="321">
        <x:v>17325</x:v>
      </x:c>
      <x:c r="G2567" s="321">
        <x:v>5325</x:v>
      </x:c>
      <x:c r="H2567" s="312" t="s">
        <x:v>66</x:v>
      </x:c>
      <x:c r="I2567" s="312" t="s">
        <x:v>21</x:v>
      </x:c>
      <x:c r="J2567" s="316" t="n">
        <x:f>IFERROR(G2567/F2567,0)</x:f>
        <x:v>0.30735930735930733</x:v>
      </x:c>
      <x:c r="K2567" s="312" t="str">
        <x:f>IF(B2567="Bilinmeyen Personel","Kontrol","OK")</x:f>
        <x:v>OK</x:v>
      </x:c>
    </x:row>
    <x:row r="2568" hidden="1">
      <x:c r="A2568" s="312" t="n">
        <x:f>ROW()-ROW($A$2)+1</x:f>
        <x:v>2567</x:v>
      </x:c>
      <x:c r="B2568" s="312" t="s">
        <x:v>40</x:v>
      </x:c>
      <x:c r="C2568" s="312" t="s">
        <x:v>27</x:v>
      </x:c>
      <x:c r="D2568" s="317">
        <x:v>2</x:v>
      </x:c>
      <x:c r="E2568" s="321">
        <x:v>1100</x:v>
      </x:c>
      <x:c r="F2568" s="321">
        <x:v>2200</x:v>
      </x:c>
      <x:c r="G2568" s="321">
        <x:v>600</x:v>
      </x:c>
      <x:c r="H2568" s="312" t="s">
        <x:v>66</x:v>
      </x:c>
      <x:c r="I2568" s="312" t="s">
        <x:v>12</x:v>
      </x:c>
      <x:c r="J2568" s="316" t="n">
        <x:f>IFERROR(G2568/F2568,0)</x:f>
        <x:v>0.2727272727272727</x:v>
      </x:c>
      <x:c r="K2568" s="312" t="str">
        <x:f>IF(B2568="Bilinmeyen Personel","Kontrol","OK")</x:f>
        <x:v>OK</x:v>
      </x:c>
    </x:row>
    <x:row r="2569" hidden="1">
      <x:c r="A2569" s="312" t="n">
        <x:f>ROW()-ROW($A$2)+1</x:f>
        <x:v>2568</x:v>
      </x:c>
      <x:c r="B2569" s="312" t="s">
        <x:v>48</x:v>
      </x:c>
      <x:c r="C2569" s="312" t="s">
        <x:v>47</x:v>
      </x:c>
      <x:c r="D2569" s="317">
        <x:v>5</x:v>
      </x:c>
      <x:c r="E2569" s="321">
        <x:v>5775</x:v>
      </x:c>
      <x:c r="F2569" s="321">
        <x:v>28875</x:v>
      </x:c>
      <x:c r="G2569" s="321">
        <x:v>8875</x:v>
      </x:c>
      <x:c r="H2569" s="312" t="s">
        <x:v>66</x:v>
      </x:c>
      <x:c r="I2569" s="312" t="s">
        <x:v>21</x:v>
      </x:c>
      <x:c r="J2569" s="316" t="n">
        <x:f>IFERROR(G2569/F2569,0)</x:f>
        <x:v>0.30735930735930733</x:v>
      </x:c>
      <x:c r="K2569" s="312" t="str">
        <x:f>IF(B2569="Bilinmeyen Personel","Kontrol","OK")</x:f>
        <x:v>OK</x:v>
      </x:c>
    </x:row>
    <x:row r="2570" hidden="1">
      <x:c r="A2570" s="312" t="n">
        <x:f>ROW()-ROW($A$2)+1</x:f>
        <x:v>2569</x:v>
      </x:c>
      <x:c r="B2570" s="312" t="s">
        <x:v>35</x:v>
      </x:c>
      <x:c r="C2570" s="312" t="s">
        <x:v>20</x:v>
      </x:c>
      <x:c r="D2570" s="317">
        <x:v>5</x:v>
      </x:c>
      <x:c r="E2570" s="321">
        <x:v>1350</x:v>
      </x:c>
      <x:c r="F2570" s="321">
        <x:v>6750</x:v>
      </x:c>
      <x:c r="G2570" s="321">
        <x:v>2750</x:v>
      </x:c>
      <x:c r="H2570" s="312" t="s">
        <x:v>66</x:v>
      </x:c>
      <x:c r="I2570" s="312" t="s">
        <x:v>41</x:v>
      </x:c>
      <x:c r="J2570" s="316" t="n">
        <x:f>IFERROR(G2570/F2570,0)</x:f>
        <x:v>0.4074074074074074</x:v>
      </x:c>
      <x:c r="K2570" s="312" t="str">
        <x:f>IF(B2570="Bilinmeyen Personel","Kontrol","OK")</x:f>
        <x:v>OK</x:v>
      </x:c>
    </x:row>
    <x:row r="2571" hidden="1">
      <x:c r="A2571" s="312" t="n">
        <x:f>ROW()-ROW($A$2)+1</x:f>
        <x:v>2570</x:v>
      </x:c>
      <x:c r="B2571" s="312" t="s">
        <x:v>9</x:v>
      </x:c>
      <x:c r="C2571" s="312" t="s">
        <x:v>24</x:v>
      </x:c>
      <x:c r="D2571" s="317">
        <x:v>3</x:v>
      </x:c>
      <x:c r="E2571" s="321">
        <x:v>7600</x:v>
      </x:c>
      <x:c r="F2571" s="321">
        <x:v>22800</x:v>
      </x:c>
      <x:c r="G2571" s="321">
        <x:v>4800</x:v>
      </x:c>
      <x:c r="H2571" s="312" t="s">
        <x:v>66</x:v>
      </x:c>
      <x:c r="I2571" s="312" t="s">
        <x:v>18</x:v>
      </x:c>
      <x:c r="J2571" s="316" t="n">
        <x:f>IFERROR(G2571/F2571,0)</x:f>
        <x:v>0.21052631578947367</x:v>
      </x:c>
      <x:c r="K2571" s="312" t="str">
        <x:f>IF(B2571="Bilinmeyen Personel","Kontrol","OK")</x:f>
        <x:v>OK</x:v>
      </x:c>
    </x:row>
    <x:row r="2572" hidden="1">
      <x:c r="A2572" s="312" t="n">
        <x:f>ROW()-ROW($A$2)+1</x:f>
        <x:v>2571</x:v>
      </x:c>
      <x:c r="B2572" s="312" t="s">
        <x:v>16</x:v>
      </x:c>
      <x:c r="C2572" s="312" t="s">
        <x:v>26</x:v>
      </x:c>
      <x:c r="D2572" s="317">
        <x:v>3</x:v>
      </x:c>
      <x:c r="E2572" s="321">
        <x:v>7250</x:v>
      </x:c>
      <x:c r="F2572" s="321">
        <x:v>21750</x:v>
      </x:c>
      <x:c r="G2572" s="321">
        <x:v>6750</x:v>
      </x:c>
      <x:c r="H2572" s="312" t="s">
        <x:v>66</x:v>
      </x:c>
      <x:c r="I2572" s="312" t="s">
        <x:v>42</x:v>
      </x:c>
      <x:c r="J2572" s="316" t="n">
        <x:f>IFERROR(G2572/F2572,0)</x:f>
        <x:v>0.3103448275862069</x:v>
      </x:c>
      <x:c r="K2572" s="312" t="str">
        <x:f>IF(B2572="Bilinmeyen Personel","Kontrol","OK")</x:f>
        <x:v>OK</x:v>
      </x:c>
    </x:row>
    <x:row r="2573" hidden="1">
      <x:c r="A2573" s="312" t="n">
        <x:f>ROW()-ROW($A$2)+1</x:f>
        <x:v>2572</x:v>
      </x:c>
      <x:c r="B2573" s="312" t="s">
        <x:v>50</x:v>
      </x:c>
      <x:c r="C2573" s="312" t="s">
        <x:v>43</x:v>
      </x:c>
      <x:c r="D2573" s="317">
        <x:v>5</x:v>
      </x:c>
      <x:c r="E2573" s="321">
        <x:v>1490</x:v>
      </x:c>
      <x:c r="F2573" s="321">
        <x:v>7450</x:v>
      </x:c>
      <x:c r="G2573" s="321">
        <x:v>3450</x:v>
      </x:c>
      <x:c r="H2573" s="312" t="s">
        <x:v>66</x:v>
      </x:c>
      <x:c r="I2573" s="312" t="s">
        <x:v>15</x:v>
      </x:c>
      <x:c r="J2573" s="316" t="n">
        <x:f>IFERROR(G2573/F2573,0)</x:f>
        <x:v>0.46308724832214765</x:v>
      </x:c>
      <x:c r="K2573" s="312" t="str">
        <x:f>IF(B2573="Bilinmeyen Personel","Kontrol","OK")</x:f>
        <x:v>OK</x:v>
      </x:c>
    </x:row>
    <x:row r="2574" hidden="1">
      <x:c r="A2574" s="312" t="n">
        <x:f>ROW()-ROW($A$2)+1</x:f>
        <x:v>2573</x:v>
      </x:c>
      <x:c r="B2574" s="312" t="s">
        <x:v>19</x:v>
      </x:c>
      <x:c r="C2574" s="312" t="s">
        <x:v>43</x:v>
      </x:c>
      <x:c r="D2574" s="317">
        <x:v>3</x:v>
      </x:c>
      <x:c r="E2574" s="321">
        <x:v>1490</x:v>
      </x:c>
      <x:c r="F2574" s="321">
        <x:v>4470</x:v>
      </x:c>
      <x:c r="G2574" s="321">
        <x:v>2070</x:v>
      </x:c>
      <x:c r="H2574" s="312" t="s">
        <x:v>66</x:v>
      </x:c>
      <x:c r="I2574" s="312" t="s">
        <x:v>44</x:v>
      </x:c>
      <x:c r="J2574" s="316" t="n">
        <x:f>IFERROR(G2574/F2574,0)</x:f>
        <x:v>0.46308724832214765</x:v>
      </x:c>
      <x:c r="K2574" s="312" t="str">
        <x:f>IF(B2574="Bilinmeyen Personel","Kontrol","OK")</x:f>
        <x:v>OK</x:v>
      </x:c>
    </x:row>
    <x:row r="2575" hidden="1">
      <x:c r="A2575" s="312" t="n">
        <x:f>ROW()-ROW($A$2)+1</x:f>
        <x:v>2574</x:v>
      </x:c>
      <x:c r="B2575" s="312" t="s">
        <x:v>38</x:v>
      </x:c>
      <x:c r="C2575" s="312" t="s">
        <x:v>34</x:v>
      </x:c>
      <x:c r="D2575" s="317">
        <x:v>4</x:v>
      </x:c>
      <x:c r="E2575" s="321">
        <x:v>1090</x:v>
      </x:c>
      <x:c r="F2575" s="321">
        <x:v>4360</x:v>
      </x:c>
      <x:c r="G2575" s="321">
        <x:v>1160</x:v>
      </x:c>
      <x:c r="H2575" s="312" t="s">
        <x:v>66</x:v>
      </x:c>
      <x:c r="I2575" s="312" t="s">
        <x:v>42</x:v>
      </x:c>
      <x:c r="J2575" s="316" t="n">
        <x:f>IFERROR(G2575/F2575,0)</x:f>
        <x:v>0.26605504587155965</x:v>
      </x:c>
      <x:c r="K2575" s="312" t="str">
        <x:f>IF(B2575="Bilinmeyen Personel","Kontrol","OK")</x:f>
        <x:v>OK</x:v>
      </x:c>
    </x:row>
    <x:row r="2576" hidden="1">
      <x:c r="A2576" s="312" t="n">
        <x:f>ROW()-ROW($A$2)+1</x:f>
        <x:v>2575</x:v>
      </x:c>
      <x:c r="B2576" s="312" t="s">
        <x:v>38</x:v>
      </x:c>
      <x:c r="C2576" s="312" t="s">
        <x:v>30</x:v>
      </x:c>
      <x:c r="D2576" s="317">
        <x:v>5</x:v>
      </x:c>
      <x:c r="E2576" s="321">
        <x:v>1200</x:v>
      </x:c>
      <x:c r="F2576" s="321">
        <x:v>6000</x:v>
      </x:c>
      <x:c r="G2576" s="321">
        <x:v>2000</x:v>
      </x:c>
      <x:c r="H2576" s="312" t="s">
        <x:v>66</x:v>
      </x:c>
      <x:c r="I2576" s="312" t="s">
        <x:v>42</x:v>
      </x:c>
      <x:c r="J2576" s="316" t="n">
        <x:f>IFERROR(G2576/F2576,0)</x:f>
        <x:v>0.3333333333333333</x:v>
      </x:c>
      <x:c r="K2576" s="312" t="str">
        <x:f>IF(B2576="Bilinmeyen Personel","Kontrol","OK")</x:f>
        <x:v>OK</x:v>
      </x:c>
    </x:row>
    <x:row r="2577" hidden="1">
      <x:c r="A2577" s="312" t="n">
        <x:f>ROW()-ROW($A$2)+1</x:f>
        <x:v>2576</x:v>
      </x:c>
      <x:c r="B2577" s="312" t="s">
        <x:v>50</x:v>
      </x:c>
      <x:c r="C2577" s="312" t="s">
        <x:v>34</x:v>
      </x:c>
      <x:c r="D2577" s="317">
        <x:v>3</x:v>
      </x:c>
      <x:c r="E2577" s="321">
        <x:v>1090</x:v>
      </x:c>
      <x:c r="F2577" s="321">
        <x:v>3270</x:v>
      </x:c>
      <x:c r="G2577" s="321">
        <x:v>870</x:v>
      </x:c>
      <x:c r="H2577" s="312" t="s">
        <x:v>66</x:v>
      </x:c>
      <x:c r="I2577" s="312" t="s">
        <x:v>46</x:v>
      </x:c>
      <x:c r="J2577" s="316" t="n">
        <x:f>IFERROR(G2577/F2577,0)</x:f>
        <x:v>0.26605504587155965</x:v>
      </x:c>
      <x:c r="K2577" s="312" t="str">
        <x:f>IF(B2577="Bilinmeyen Personel","Kontrol","OK")</x:f>
        <x:v>OK</x:v>
      </x:c>
    </x:row>
    <x:row r="2578" hidden="1">
      <x:c r="A2578" s="312" t="n">
        <x:f>ROW()-ROW($A$2)+1</x:f>
        <x:v>2577</x:v>
      </x:c>
      <x:c r="B2578" s="312" t="s">
        <x:v>50</x:v>
      </x:c>
      <x:c r="C2578" s="312" t="s">
        <x:v>22</x:v>
      </x:c>
      <x:c r="D2578" s="317">
        <x:v>2</x:v>
      </x:c>
      <x:c r="E2578" s="321">
        <x:v>2180</x:v>
      </x:c>
      <x:c r="F2578" s="321">
        <x:v>4360</x:v>
      </x:c>
      <x:c r="G2578" s="321">
        <x:v>1360</x:v>
      </x:c>
      <x:c r="H2578" s="312" t="s">
        <x:v>66</x:v>
      </x:c>
      <x:c r="I2578" s="312" t="s">
        <x:v>41</x:v>
      </x:c>
      <x:c r="J2578" s="316" t="n">
        <x:f>IFERROR(G2578/F2578,0)</x:f>
        <x:v>0.3119266055045872</x:v>
      </x:c>
      <x:c r="K2578" s="312" t="str">
        <x:f>IF(B2578="Bilinmeyen Personel","Kontrol","OK")</x:f>
        <x:v>OK</x:v>
      </x:c>
    </x:row>
    <x:row r="2579" hidden="1">
      <x:c r="A2579" s="312" t="n">
        <x:f>ROW()-ROW($A$2)+1</x:f>
        <x:v>2578</x:v>
      </x:c>
      <x:c r="B2579" s="312" t="s">
        <x:v>16</x:v>
      </x:c>
      <x:c r="C2579" s="312" t="s">
        <x:v>56</x:v>
      </x:c>
      <x:c r="D2579" s="317">
        <x:v>5</x:v>
      </x:c>
      <x:c r="E2579" s="321">
        <x:v>5300</x:v>
      </x:c>
      <x:c r="F2579" s="321">
        <x:v>26500</x:v>
      </x:c>
      <x:c r="G2579" s="321">
        <x:v>6500</x:v>
      </x:c>
      <x:c r="H2579" s="312" t="s">
        <x:v>66</x:v>
      </x:c>
      <x:c r="I2579" s="312" t="s">
        <x:v>15</x:v>
      </x:c>
      <x:c r="J2579" s="316" t="n">
        <x:f>IFERROR(G2579/F2579,0)</x:f>
        <x:v>0.24528301886792453</x:v>
      </x:c>
      <x:c r="K2579" s="312" t="str">
        <x:f>IF(B2579="Bilinmeyen Personel","Kontrol","OK")</x:f>
        <x:v>OK</x:v>
      </x:c>
    </x:row>
    <x:row r="2580" hidden="1">
      <x:c r="A2580" s="312" t="n">
        <x:f>ROW()-ROW($A$2)+1</x:f>
        <x:v>2579</x:v>
      </x:c>
      <x:c r="B2580" s="312" t="s">
        <x:v>50</x:v>
      </x:c>
      <x:c r="C2580" s="312" t="s">
        <x:v>56</x:v>
      </x:c>
      <x:c r="D2580" s="317">
        <x:v>3</x:v>
      </x:c>
      <x:c r="E2580" s="321">
        <x:v>5300</x:v>
      </x:c>
      <x:c r="F2580" s="321">
        <x:v>15900</x:v>
      </x:c>
      <x:c r="G2580" s="321">
        <x:v>3900</x:v>
      </x:c>
      <x:c r="H2580" s="312" t="s">
        <x:v>66</x:v>
      </x:c>
      <x:c r="I2580" s="312" t="s">
        <x:v>37</x:v>
      </x:c>
      <x:c r="J2580" s="316" t="n">
        <x:f>IFERROR(G2580/F2580,0)</x:f>
        <x:v>0.24528301886792453</x:v>
      </x:c>
      <x:c r="K2580" s="312" t="str">
        <x:f>IF(B2580="Bilinmeyen Personel","Kontrol","OK")</x:f>
        <x:v>OK</x:v>
      </x:c>
    </x:row>
    <x:row r="2581" hidden="1">
      <x:c r="A2581" s="312" t="n">
        <x:f>ROW()-ROW($A$2)+1</x:f>
        <x:v>2580</x:v>
      </x:c>
      <x:c r="B2581" s="312" t="s">
        <x:v>29</x:v>
      </x:c>
      <x:c r="C2581" s="312" t="s">
        <x:v>26</x:v>
      </x:c>
      <x:c r="D2581" s="317">
        <x:v>5</x:v>
      </x:c>
      <x:c r="E2581" s="321">
        <x:v>7250</x:v>
      </x:c>
      <x:c r="F2581" s="321">
        <x:v>36250</x:v>
      </x:c>
      <x:c r="G2581" s="321">
        <x:v>11250</x:v>
      </x:c>
      <x:c r="H2581" s="312" t="s">
        <x:v>66</x:v>
      </x:c>
      <x:c r="I2581" s="312" t="s">
        <x:v>42</x:v>
      </x:c>
      <x:c r="J2581" s="316" t="n">
        <x:f>IFERROR(G2581/F2581,0)</x:f>
        <x:v>0.3103448275862069</x:v>
      </x:c>
      <x:c r="K2581" s="312" t="str">
        <x:f>IF(B2581="Bilinmeyen Personel","Kontrol","OK")</x:f>
        <x:v>OK</x:v>
      </x:c>
    </x:row>
    <x:row r="2582" hidden="1">
      <x:c r="A2582" s="312" t="n">
        <x:f>ROW()-ROW($A$2)+1</x:f>
        <x:v>2581</x:v>
      </x:c>
      <x:c r="B2582" s="312" t="s">
        <x:v>29</x:v>
      </x:c>
      <x:c r="C2582" s="312" t="s">
        <x:v>53</x:v>
      </x:c>
      <x:c r="D2582" s="317">
        <x:v>3</x:v>
      </x:c>
      <x:c r="E2582" s="321">
        <x:v>1200</x:v>
      </x:c>
      <x:c r="F2582" s="321">
        <x:v>3600</x:v>
      </x:c>
      <x:c r="G2582" s="321">
        <x:v>1200</x:v>
      </x:c>
      <x:c r="H2582" s="312" t="s">
        <x:v>66</x:v>
      </x:c>
      <x:c r="I2582" s="312" t="s">
        <x:v>46</x:v>
      </x:c>
      <x:c r="J2582" s="316" t="n">
        <x:f>IFERROR(G2582/F2582,0)</x:f>
        <x:v>0.3333333333333333</x:v>
      </x:c>
      <x:c r="K2582" s="312" t="str">
        <x:f>IF(B2582="Bilinmeyen Personel","Kontrol","OK")</x:f>
        <x:v>OK</x:v>
      </x:c>
    </x:row>
    <x:row r="2583" hidden="1">
      <x:c r="A2583" s="312" t="n">
        <x:f>ROW()-ROW($A$2)+1</x:f>
        <x:v>2582</x:v>
      </x:c>
      <x:c r="B2583" s="312" t="s">
        <x:v>19</x:v>
      </x:c>
      <x:c r="C2583" s="312" t="s">
        <x:v>10</x:v>
      </x:c>
      <x:c r="D2583" s="317">
        <x:v>4</x:v>
      </x:c>
      <x:c r="E2583" s="321">
        <x:v>6000</x:v>
      </x:c>
      <x:c r="F2583" s="321">
        <x:v>24000</x:v>
      </x:c>
      <x:c r="G2583" s="321">
        <x:v>8000</x:v>
      </x:c>
      <x:c r="H2583" s="312" t="s">
        <x:v>66</x:v>
      </x:c>
      <x:c r="I2583" s="312" t="s">
        <x:v>31</x:v>
      </x:c>
      <x:c r="J2583" s="316" t="n">
        <x:f>IFERROR(G2583/F2583,0)</x:f>
        <x:v>0.3333333333333333</x:v>
      </x:c>
      <x:c r="K2583" s="312" t="str">
        <x:f>IF(B2583="Bilinmeyen Personel","Kontrol","OK")</x:f>
        <x:v>OK</x:v>
      </x:c>
    </x:row>
    <x:row r="2584" hidden="1">
      <x:c r="A2584" s="312" t="n">
        <x:f>ROW()-ROW($A$2)+1</x:f>
        <x:v>2583</x:v>
      </x:c>
      <x:c r="B2584" s="312" t="s">
        <x:v>16</x:v>
      </x:c>
      <x:c r="C2584" s="312" t="s">
        <x:v>17</x:v>
      </x:c>
      <x:c r="D2584" s="317">
        <x:v>3</x:v>
      </x:c>
      <x:c r="E2584" s="321">
        <x:v>8450</x:v>
      </x:c>
      <x:c r="F2584" s="321">
        <x:v>25350</x:v>
      </x:c>
      <x:c r="G2584" s="321">
        <x:v>7350</x:v>
      </x:c>
      <x:c r="H2584" s="312" t="s">
        <x:v>66</x:v>
      </x:c>
      <x:c r="I2584" s="312" t="s">
        <x:v>12</x:v>
      </x:c>
      <x:c r="J2584" s="316" t="n">
        <x:f>IFERROR(G2584/F2584,0)</x:f>
        <x:v>0.28994082840236685</x:v>
      </x:c>
      <x:c r="K2584" s="312" t="str">
        <x:f>IF(B2584="Bilinmeyen Personel","Kontrol","OK")</x:f>
        <x:v>OK</x:v>
      </x:c>
    </x:row>
    <x:row r="2585" hidden="1">
      <x:c r="A2585" s="312" t="n">
        <x:f>ROW()-ROW($A$2)+1</x:f>
        <x:v>2584</x:v>
      </x:c>
      <x:c r="B2585" s="312" t="s">
        <x:v>32</x:v>
      </x:c>
      <x:c r="C2585" s="312" t="s">
        <x:v>45</x:v>
      </x:c>
      <x:c r="D2585" s="317">
        <x:v>3</x:v>
      </x:c>
      <x:c r="E2585" s="321">
        <x:v>4200</x:v>
      </x:c>
      <x:c r="F2585" s="321">
        <x:v>12600</x:v>
      </x:c>
      <x:c r="G2585" s="321">
        <x:v>3600</x:v>
      </x:c>
      <x:c r="H2585" s="312" t="s">
        <x:v>66</x:v>
      </x:c>
      <x:c r="I2585" s="312" t="s">
        <x:v>12</x:v>
      </x:c>
      <x:c r="J2585" s="316" t="n">
        <x:f>IFERROR(G2585/F2585,0)</x:f>
        <x:v>0.2857142857142857</x:v>
      </x:c>
      <x:c r="K2585" s="312" t="str">
        <x:f>IF(B2585="Bilinmeyen Personel","Kontrol","OK")</x:f>
        <x:v>OK</x:v>
      </x:c>
    </x:row>
    <x:row r="2586" hidden="1">
      <x:c r="A2586" s="312" t="n">
        <x:f>ROW()-ROW($A$2)+1</x:f>
        <x:v>2585</x:v>
      </x:c>
      <x:c r="B2586" s="312" t="s">
        <x:v>32</x:v>
      </x:c>
      <x:c r="C2586" s="312" t="s">
        <x:v>39</x:v>
      </x:c>
      <x:c r="D2586" s="317">
        <x:v>2</x:v>
      </x:c>
      <x:c r="E2586" s="321">
        <x:v>10590</x:v>
      </x:c>
      <x:c r="F2586" s="321">
        <x:v>21180</x:v>
      </x:c>
      <x:c r="G2586" s="321">
        <x:v>9180</x:v>
      </x:c>
      <x:c r="H2586" s="312" t="s">
        <x:v>66</x:v>
      </x:c>
      <x:c r="I2586" s="312" t="s">
        <x:v>42</x:v>
      </x:c>
      <x:c r="J2586" s="316" t="n">
        <x:f>IFERROR(G2586/F2586,0)</x:f>
        <x:v>0.43342776203966005</x:v>
      </x:c>
      <x:c r="K2586" s="312" t="str">
        <x:f>IF(B2586="Bilinmeyen Personel","Kontrol","OK")</x:f>
        <x:v>OK</x:v>
      </x:c>
    </x:row>
    <x:row r="2587" hidden="1">
      <x:c r="A2587" s="312" t="n">
        <x:f>ROW()-ROW($A$2)+1</x:f>
        <x:v>2586</x:v>
      </x:c>
      <x:c r="B2587" s="312" t="s">
        <x:v>29</x:v>
      </x:c>
      <x:c r="C2587" s="312" t="s">
        <x:v>53</x:v>
      </x:c>
      <x:c r="D2587" s="317">
        <x:v>4</x:v>
      </x:c>
      <x:c r="E2587" s="321">
        <x:v>1200</x:v>
      </x:c>
      <x:c r="F2587" s="321">
        <x:v>4800</x:v>
      </x:c>
      <x:c r="G2587" s="321">
        <x:v>1600</x:v>
      </x:c>
      <x:c r="H2587" s="312" t="s">
        <x:v>66</x:v>
      </x:c>
      <x:c r="I2587" s="312" t="s">
        <x:v>41</x:v>
      </x:c>
      <x:c r="J2587" s="316" t="n">
        <x:f>IFERROR(G2587/F2587,0)</x:f>
        <x:v>0.3333333333333333</x:v>
      </x:c>
      <x:c r="K2587" s="312" t="str">
        <x:f>IF(B2587="Bilinmeyen Personel","Kontrol","OK")</x:f>
        <x:v>OK</x:v>
      </x:c>
    </x:row>
    <x:row r="2588" hidden="1">
      <x:c r="A2588" s="312" t="n">
        <x:f>ROW()-ROW($A$2)+1</x:f>
        <x:v>2587</x:v>
      </x:c>
      <x:c r="B2588" s="312" t="s">
        <x:v>48</x:v>
      </x:c>
      <x:c r="C2588" s="312" t="s">
        <x:v>27</x:v>
      </x:c>
      <x:c r="D2588" s="317">
        <x:v>4</x:v>
      </x:c>
      <x:c r="E2588" s="321">
        <x:v>1100</x:v>
      </x:c>
      <x:c r="F2588" s="321">
        <x:v>4400</x:v>
      </x:c>
      <x:c r="G2588" s="321">
        <x:v>1200</x:v>
      </x:c>
      <x:c r="H2588" s="312" t="s">
        <x:v>66</x:v>
      </x:c>
      <x:c r="I2588" s="312" t="s">
        <x:v>25</x:v>
      </x:c>
      <x:c r="J2588" s="316" t="n">
        <x:f>IFERROR(G2588/F2588,0)</x:f>
        <x:v>0.2727272727272727</x:v>
      </x:c>
      <x:c r="K2588" s="312" t="str">
        <x:f>IF(B2588="Bilinmeyen Personel","Kontrol","OK")</x:f>
        <x:v>OK</x:v>
      </x:c>
    </x:row>
    <x:row r="2589" hidden="1">
      <x:c r="A2589" s="312" t="n">
        <x:f>ROW()-ROW($A$2)+1</x:f>
        <x:v>2588</x:v>
      </x:c>
      <x:c r="B2589" s="312" t="s">
        <x:v>40</x:v>
      </x:c>
      <x:c r="C2589" s="312" t="s">
        <x:v>58</x:v>
      </x:c>
      <x:c r="D2589" s="317">
        <x:v>5</x:v>
      </x:c>
      <x:c r="E2589" s="321">
        <x:v>3700</x:v>
      </x:c>
      <x:c r="F2589" s="321">
        <x:v>18500</x:v>
      </x:c>
      <x:c r="G2589" s="321">
        <x:v>3500</x:v>
      </x:c>
      <x:c r="H2589" s="312" t="s">
        <x:v>66</x:v>
      </x:c>
      <x:c r="I2589" s="312" t="s">
        <x:v>15</x:v>
      </x:c>
      <x:c r="J2589" s="316" t="n">
        <x:f>IFERROR(G2589/F2589,0)</x:f>
        <x:v>0.1891891891891892</x:v>
      </x:c>
      <x:c r="K2589" s="312" t="str">
        <x:f>IF(B2589="Bilinmeyen Personel","Kontrol","OK")</x:f>
        <x:v>OK</x:v>
      </x:c>
    </x:row>
    <x:row r="2590" hidden="1">
      <x:c r="A2590" s="312" t="n">
        <x:f>ROW()-ROW($A$2)+1</x:f>
        <x:v>2589</x:v>
      </x:c>
      <x:c r="B2590" s="312" t="s">
        <x:v>13</x:v>
      </x:c>
      <x:c r="C2590" s="312" t="s">
        <x:v>58</x:v>
      </x:c>
      <x:c r="D2590" s="317">
        <x:v>5</x:v>
      </x:c>
      <x:c r="E2590" s="321">
        <x:v>3700</x:v>
      </x:c>
      <x:c r="F2590" s="321">
        <x:v>18500</x:v>
      </x:c>
      <x:c r="G2590" s="321">
        <x:v>3500</x:v>
      </x:c>
      <x:c r="H2590" s="312" t="s">
        <x:v>66</x:v>
      </x:c>
      <x:c r="I2590" s="312" t="s">
        <x:v>31</x:v>
      </x:c>
      <x:c r="J2590" s="316" t="n">
        <x:f>IFERROR(G2590/F2590,0)</x:f>
        <x:v>0.1891891891891892</x:v>
      </x:c>
      <x:c r="K2590" s="312" t="str">
        <x:f>IF(B2590="Bilinmeyen Personel","Kontrol","OK")</x:f>
        <x:v>OK</x:v>
      </x:c>
    </x:row>
    <x:row r="2591" hidden="1">
      <x:c r="A2591" s="312" t="n">
        <x:f>ROW()-ROW($A$2)+1</x:f>
        <x:v>2590</x:v>
      </x:c>
      <x:c r="B2591" s="312" t="s">
        <x:v>32</x:v>
      </x:c>
      <x:c r="C2591" s="312" t="s">
        <x:v>27</x:v>
      </x:c>
      <x:c r="D2591" s="317">
        <x:v>5</x:v>
      </x:c>
      <x:c r="E2591" s="321">
        <x:v>1100</x:v>
      </x:c>
      <x:c r="F2591" s="321">
        <x:v>5500</x:v>
      </x:c>
      <x:c r="G2591" s="321">
        <x:v>1500</x:v>
      </x:c>
      <x:c r="H2591" s="312" t="s">
        <x:v>67</x:v>
      </x:c>
      <x:c r="I2591" s="312" t="s">
        <x:v>25</x:v>
      </x:c>
      <x:c r="J2591" s="316" t="n">
        <x:f>IFERROR(G2591/F2591,0)</x:f>
        <x:v>0.2727272727272727</x:v>
      </x:c>
      <x:c r="K2591" s="312" t="str">
        <x:f>IF(B2591="Bilinmeyen Personel","Kontrol","OK")</x:f>
        <x:v>OK</x:v>
      </x:c>
    </x:row>
    <x:row r="2592" hidden="1">
      <x:c r="A2592" s="312" t="n">
        <x:f>ROW()-ROW($A$2)+1</x:f>
        <x:v>2591</x:v>
      </x:c>
      <x:c r="B2592" s="312" t="s">
        <x:v>29</x:v>
      </x:c>
      <x:c r="C2592" s="312" t="s">
        <x:v>58</x:v>
      </x:c>
      <x:c r="D2592" s="317">
        <x:v>5</x:v>
      </x:c>
      <x:c r="E2592" s="321">
        <x:v>3700</x:v>
      </x:c>
      <x:c r="F2592" s="321">
        <x:v>18500</x:v>
      </x:c>
      <x:c r="G2592" s="321">
        <x:v>3500</x:v>
      </x:c>
      <x:c r="H2592" s="312" t="s">
        <x:v>67</x:v>
      </x:c>
      <x:c r="I2592" s="312" t="s">
        <x:v>41</x:v>
      </x:c>
      <x:c r="J2592" s="316" t="n">
        <x:f>IFERROR(G2592/F2592,0)</x:f>
        <x:v>0.1891891891891892</x:v>
      </x:c>
      <x:c r="K2592" s="312" t="str">
        <x:f>IF(B2592="Bilinmeyen Personel","Kontrol","OK")</x:f>
        <x:v>OK</x:v>
      </x:c>
    </x:row>
    <x:row r="2593" hidden="1">
      <x:c r="A2593" s="312" t="n">
        <x:f>ROW()-ROW($A$2)+1</x:f>
        <x:v>2592</x:v>
      </x:c>
      <x:c r="B2593" s="312" t="s">
        <x:v>48</x:v>
      </x:c>
      <x:c r="C2593" s="312" t="s">
        <x:v>43</x:v>
      </x:c>
      <x:c r="D2593" s="317">
        <x:v>4</x:v>
      </x:c>
      <x:c r="E2593" s="321">
        <x:v>1490</x:v>
      </x:c>
      <x:c r="F2593" s="321">
        <x:v>5960</x:v>
      </x:c>
      <x:c r="G2593" s="321">
        <x:v>2760</x:v>
      </x:c>
      <x:c r="H2593" s="312" t="s">
        <x:v>67</x:v>
      </x:c>
      <x:c r="I2593" s="312" t="s">
        <x:v>28</x:v>
      </x:c>
      <x:c r="J2593" s="316" t="n">
        <x:f>IFERROR(G2593/F2593,0)</x:f>
        <x:v>0.46308724832214765</x:v>
      </x:c>
      <x:c r="K2593" s="312" t="str">
        <x:f>IF(B2593="Bilinmeyen Personel","Kontrol","OK")</x:f>
        <x:v>OK</x:v>
      </x:c>
    </x:row>
    <x:row r="2594" hidden="1">
      <x:c r="A2594" s="312" t="n">
        <x:f>ROW()-ROW($A$2)+1</x:f>
        <x:v>2593</x:v>
      </x:c>
      <x:c r="B2594" s="312" t="s">
        <x:v>40</x:v>
      </x:c>
      <x:c r="C2594" s="312" t="s">
        <x:v>57</x:v>
      </x:c>
      <x:c r="D2594" s="317">
        <x:v>2</x:v>
      </x:c>
      <x:c r="E2594" s="321">
        <x:v>1500</x:v>
      </x:c>
      <x:c r="F2594" s="321">
        <x:v>3000</x:v>
      </x:c>
      <x:c r="G2594" s="321">
        <x:v>1400</x:v>
      </x:c>
      <x:c r="H2594" s="312" t="s">
        <x:v>67</x:v>
      </x:c>
      <x:c r="I2594" s="312" t="s">
        <x:v>28</x:v>
      </x:c>
      <x:c r="J2594" s="316" t="n">
        <x:f>IFERROR(G2594/F2594,0)</x:f>
        <x:v>0.4666666666666667</x:v>
      </x:c>
      <x:c r="K2594" s="312" t="str">
        <x:f>IF(B2594="Bilinmeyen Personel","Kontrol","OK")</x:f>
        <x:v>OK</x:v>
      </x:c>
    </x:row>
    <x:row r="2595" hidden="1">
      <x:c r="A2595" s="312" t="n">
        <x:f>ROW()-ROW($A$2)+1</x:f>
        <x:v>2594</x:v>
      </x:c>
      <x:c r="B2595" s="312" t="s">
        <x:v>38</x:v>
      </x:c>
      <x:c r="C2595" s="312" t="s">
        <x:v>34</x:v>
      </x:c>
      <x:c r="D2595" s="317">
        <x:v>4</x:v>
      </x:c>
      <x:c r="E2595" s="321">
        <x:v>1090</x:v>
      </x:c>
      <x:c r="F2595" s="321">
        <x:v>4360</x:v>
      </x:c>
      <x:c r="G2595" s="321">
        <x:v>1160</x:v>
      </x:c>
      <x:c r="H2595" s="312" t="s">
        <x:v>67</x:v>
      </x:c>
      <x:c r="I2595" s="312" t="s">
        <x:v>54</x:v>
      </x:c>
      <x:c r="J2595" s="316" t="n">
        <x:f>IFERROR(G2595/F2595,0)</x:f>
        <x:v>0.26605504587155965</x:v>
      </x:c>
      <x:c r="K2595" s="312" t="str">
        <x:f>IF(B2595="Bilinmeyen Personel","Kontrol","OK")</x:f>
        <x:v>OK</x:v>
      </x:c>
    </x:row>
    <x:row r="2596" hidden="1">
      <x:c r="A2596" s="312" t="n">
        <x:f>ROW()-ROW($A$2)+1</x:f>
        <x:v>2595</x:v>
      </x:c>
      <x:c r="B2596" s="312" t="s">
        <x:v>48</x:v>
      </x:c>
      <x:c r="C2596" s="312" t="s">
        <x:v>33</x:v>
      </x:c>
      <x:c r="D2596" s="317">
        <x:v>3</x:v>
      </x:c>
      <x:c r="E2596" s="321">
        <x:v>1800</x:v>
      </x:c>
      <x:c r="F2596" s="321">
        <x:v>5400</x:v>
      </x:c>
      <x:c r="G2596" s="321">
        <x:v>3000</x:v>
      </x:c>
      <x:c r="H2596" s="312" t="s">
        <x:v>67</x:v>
      </x:c>
      <x:c r="I2596" s="312" t="s">
        <x:v>54</x:v>
      </x:c>
      <x:c r="J2596" s="316" t="n">
        <x:f>IFERROR(G2596/F2596,0)</x:f>
        <x:v>0.5555555555555556</x:v>
      </x:c>
      <x:c r="K2596" s="312" t="str">
        <x:f>IF(B2596="Bilinmeyen Personel","Kontrol","OK")</x:f>
        <x:v>OK</x:v>
      </x:c>
    </x:row>
    <x:row r="2597" hidden="1">
      <x:c r="A2597" s="312" t="n">
        <x:f>ROW()-ROW($A$2)+1</x:f>
        <x:v>2596</x:v>
      </x:c>
      <x:c r="B2597" s="312" t="s">
        <x:v>35</x:v>
      </x:c>
      <x:c r="C2597" s="312" t="s">
        <x:v>55</x:v>
      </x:c>
      <x:c r="D2597" s="317">
        <x:v>2</x:v>
      </x:c>
      <x:c r="E2597" s="321">
        <x:v>7530</x:v>
      </x:c>
      <x:c r="F2597" s="321">
        <x:v>15060</x:v>
      </x:c>
      <x:c r="G2597" s="321">
        <x:v>3060</x:v>
      </x:c>
      <x:c r="H2597" s="312" t="s">
        <x:v>67</x:v>
      </x:c>
      <x:c r="I2597" s="312" t="s">
        <x:v>37</x:v>
      </x:c>
      <x:c r="J2597" s="316" t="n">
        <x:f>IFERROR(G2597/F2597,0)</x:f>
        <x:v>0.20318725099601595</x:v>
      </x:c>
      <x:c r="K2597" s="312" t="str">
        <x:f>IF(B2597="Bilinmeyen Personel","Kontrol","OK")</x:f>
        <x:v>OK</x:v>
      </x:c>
    </x:row>
    <x:row r="2598" hidden="1">
      <x:c r="A2598" s="312" t="n">
        <x:f>ROW()-ROW($A$2)+1</x:f>
        <x:v>2597</x:v>
      </x:c>
      <x:c r="B2598" s="312" t="s">
        <x:v>32</x:v>
      </x:c>
      <x:c r="C2598" s="312" t="s">
        <x:v>27</x:v>
      </x:c>
      <x:c r="D2598" s="317">
        <x:v>2</x:v>
      </x:c>
      <x:c r="E2598" s="321">
        <x:v>1100</x:v>
      </x:c>
      <x:c r="F2598" s="321">
        <x:v>2200</x:v>
      </x:c>
      <x:c r="G2598" s="321">
        <x:v>600</x:v>
      </x:c>
      <x:c r="H2598" s="312" t="s">
        <x:v>67</x:v>
      </x:c>
      <x:c r="I2598" s="312" t="s">
        <x:v>31</x:v>
      </x:c>
      <x:c r="J2598" s="316" t="n">
        <x:f>IFERROR(G2598/F2598,0)</x:f>
        <x:v>0.2727272727272727</x:v>
      </x:c>
      <x:c r="K2598" s="312" t="str">
        <x:f>IF(B2598="Bilinmeyen Personel","Kontrol","OK")</x:f>
        <x:v>OK</x:v>
      </x:c>
    </x:row>
    <x:row r="2599" hidden="1">
      <x:c r="A2599" s="312" t="n">
        <x:f>ROW()-ROW($A$2)+1</x:f>
        <x:v>2598</x:v>
      </x:c>
      <x:c r="B2599" s="312" t="s">
        <x:v>40</x:v>
      </x:c>
      <x:c r="C2599" s="312" t="s">
        <x:v>20</x:v>
      </x:c>
      <x:c r="D2599" s="317">
        <x:v>4</x:v>
      </x:c>
      <x:c r="E2599" s="321">
        <x:v>1350</x:v>
      </x:c>
      <x:c r="F2599" s="321">
        <x:v>5400</x:v>
      </x:c>
      <x:c r="G2599" s="321">
        <x:v>2200</x:v>
      </x:c>
      <x:c r="H2599" s="312" t="s">
        <x:v>67</x:v>
      </x:c>
      <x:c r="I2599" s="312" t="s">
        <x:v>44</x:v>
      </x:c>
      <x:c r="J2599" s="316" t="n">
        <x:f>IFERROR(G2599/F2599,0)</x:f>
        <x:v>0.4074074074074074</x:v>
      </x:c>
      <x:c r="K2599" s="312" t="str">
        <x:f>IF(B2599="Bilinmeyen Personel","Kontrol","OK")</x:f>
        <x:v>OK</x:v>
      </x:c>
    </x:row>
    <x:row r="2600" hidden="1">
      <x:c r="A2600" s="312" t="n">
        <x:f>ROW()-ROW($A$2)+1</x:f>
        <x:v>2599</x:v>
      </x:c>
      <x:c r="B2600" s="312" t="s">
        <x:v>38</x:v>
      </x:c>
      <x:c r="C2600" s="312" t="s">
        <x:v>20</x:v>
      </x:c>
      <x:c r="D2600" s="317">
        <x:v>3</x:v>
      </x:c>
      <x:c r="E2600" s="321">
        <x:v>1350</x:v>
      </x:c>
      <x:c r="F2600" s="321">
        <x:v>4050</x:v>
      </x:c>
      <x:c r="G2600" s="321">
        <x:v>1650</x:v>
      </x:c>
      <x:c r="H2600" s="312" t="s">
        <x:v>67</x:v>
      </x:c>
      <x:c r="I2600" s="312" t="s">
        <x:v>44</x:v>
      </x:c>
      <x:c r="J2600" s="316" t="n">
        <x:f>IFERROR(G2600/F2600,0)</x:f>
        <x:v>0.4074074074074074</x:v>
      </x:c>
      <x:c r="K2600" s="312" t="str">
        <x:f>IF(B2600="Bilinmeyen Personel","Kontrol","OK")</x:f>
        <x:v>OK</x:v>
      </x:c>
    </x:row>
    <x:row r="2601" hidden="1">
      <x:c r="A2601" s="312" t="n">
        <x:f>ROW()-ROW($A$2)+1</x:f>
        <x:v>2600</x:v>
      </x:c>
      <x:c r="B2601" s="312" t="s">
        <x:v>35</x:v>
      </x:c>
      <x:c r="C2601" s="312" t="s">
        <x:v>34</x:v>
      </x:c>
      <x:c r="D2601" s="317">
        <x:v>5</x:v>
      </x:c>
      <x:c r="E2601" s="321">
        <x:v>1090</x:v>
      </x:c>
      <x:c r="F2601" s="321">
        <x:v>5450</x:v>
      </x:c>
      <x:c r="G2601" s="321">
        <x:v>1450</x:v>
      </x:c>
      <x:c r="H2601" s="312" t="s">
        <x:v>67</x:v>
      </x:c>
      <x:c r="I2601" s="312" t="s">
        <x:v>15</x:v>
      </x:c>
      <x:c r="J2601" s="316" t="n">
        <x:f>IFERROR(G2601/F2601,0)</x:f>
        <x:v>0.26605504587155965</x:v>
      </x:c>
      <x:c r="K2601" s="312" t="str">
        <x:f>IF(B2601="Bilinmeyen Personel","Kontrol","OK")</x:f>
        <x:v>OK</x:v>
      </x:c>
    </x:row>
    <x:row r="2602" hidden="1">
      <x:c r="A2602" s="312" t="n">
        <x:f>ROW()-ROW($A$2)+1</x:f>
        <x:v>2601</x:v>
      </x:c>
      <x:c r="B2602" s="312" t="s">
        <x:v>35</x:v>
      </x:c>
      <x:c r="C2602" s="312" t="s">
        <x:v>45</x:v>
      </x:c>
      <x:c r="D2602" s="317">
        <x:v>5</x:v>
      </x:c>
      <x:c r="E2602" s="321">
        <x:v>4200</x:v>
      </x:c>
      <x:c r="F2602" s="321">
        <x:v>21000</x:v>
      </x:c>
      <x:c r="G2602" s="321">
        <x:v>6000</x:v>
      </x:c>
      <x:c r="H2602" s="312" t="s">
        <x:v>67</x:v>
      </x:c>
      <x:c r="I2602" s="312" t="s">
        <x:v>44</x:v>
      </x:c>
      <x:c r="J2602" s="316" t="n">
        <x:f>IFERROR(G2602/F2602,0)</x:f>
        <x:v>0.2857142857142857</x:v>
      </x:c>
      <x:c r="K2602" s="312" t="str">
        <x:f>IF(B2602="Bilinmeyen Personel","Kontrol","OK")</x:f>
        <x:v>OK</x:v>
      </x:c>
    </x:row>
    <x:row r="2603" hidden="1">
      <x:c r="A2603" s="312" t="n">
        <x:f>ROW()-ROW($A$2)+1</x:f>
        <x:v>2602</x:v>
      </x:c>
      <x:c r="B2603" s="312" t="s">
        <x:v>40</x:v>
      </x:c>
      <x:c r="C2603" s="312" t="s">
        <x:v>33</x:v>
      </x:c>
      <x:c r="D2603" s="317">
        <x:v>3</x:v>
      </x:c>
      <x:c r="E2603" s="321">
        <x:v>1800</x:v>
      </x:c>
      <x:c r="F2603" s="321">
        <x:v>5400</x:v>
      </x:c>
      <x:c r="G2603" s="321">
        <x:v>3000</x:v>
      </x:c>
      <x:c r="H2603" s="312" t="s">
        <x:v>67</x:v>
      </x:c>
      <x:c r="I2603" s="312" t="s">
        <x:v>15</x:v>
      </x:c>
      <x:c r="J2603" s="316" t="n">
        <x:f>IFERROR(G2603/F2603,0)</x:f>
        <x:v>0.5555555555555556</x:v>
      </x:c>
      <x:c r="K2603" s="312" t="str">
        <x:f>IF(B2603="Bilinmeyen Personel","Kontrol","OK")</x:f>
        <x:v>OK</x:v>
      </x:c>
    </x:row>
    <x:row r="2604" hidden="1">
      <x:c r="A2604" s="312" t="n">
        <x:f>ROW()-ROW($A$2)+1</x:f>
        <x:v>2603</x:v>
      </x:c>
      <x:c r="B2604" s="312" t="s">
        <x:v>50</x:v>
      </x:c>
      <x:c r="C2604" s="312" t="s">
        <x:v>34</x:v>
      </x:c>
      <x:c r="D2604" s="317">
        <x:v>5</x:v>
      </x:c>
      <x:c r="E2604" s="321">
        <x:v>1090</x:v>
      </x:c>
      <x:c r="F2604" s="321">
        <x:v>5450</x:v>
      </x:c>
      <x:c r="G2604" s="321">
        <x:v>1450</x:v>
      </x:c>
      <x:c r="H2604" s="312" t="s">
        <x:v>67</x:v>
      </x:c>
      <x:c r="I2604" s="312" t="s">
        <x:v>42</x:v>
      </x:c>
      <x:c r="J2604" s="316" t="n">
        <x:f>IFERROR(G2604/F2604,0)</x:f>
        <x:v>0.26605504587155965</x:v>
      </x:c>
      <x:c r="K2604" s="312" t="str">
        <x:f>IF(B2604="Bilinmeyen Personel","Kontrol","OK")</x:f>
        <x:v>OK</x:v>
      </x:c>
    </x:row>
    <x:row r="2605" hidden="1">
      <x:c r="A2605" s="312" t="n">
        <x:f>ROW()-ROW($A$2)+1</x:f>
        <x:v>2604</x:v>
      </x:c>
      <x:c r="B2605" s="312" t="s">
        <x:v>9</x:v>
      </x:c>
      <x:c r="C2605" s="312" t="s">
        <x:v>24</x:v>
      </x:c>
      <x:c r="D2605" s="317">
        <x:v>3</x:v>
      </x:c>
      <x:c r="E2605" s="321">
        <x:v>7600</x:v>
      </x:c>
      <x:c r="F2605" s="321">
        <x:v>22800</x:v>
      </x:c>
      <x:c r="G2605" s="321">
        <x:v>4800</x:v>
      </x:c>
      <x:c r="H2605" s="312" t="s">
        <x:v>67</x:v>
      </x:c>
      <x:c r="I2605" s="312" t="s">
        <x:v>15</x:v>
      </x:c>
      <x:c r="J2605" s="316" t="n">
        <x:f>IFERROR(G2605/F2605,0)</x:f>
        <x:v>0.21052631578947367</x:v>
      </x:c>
      <x:c r="K2605" s="312" t="str">
        <x:f>IF(B2605="Bilinmeyen Personel","Kontrol","OK")</x:f>
        <x:v>OK</x:v>
      </x:c>
    </x:row>
    <x:row r="2606" hidden="1">
      <x:c r="A2606" s="312" t="n">
        <x:f>ROW()-ROW($A$2)+1</x:f>
        <x:v>2605</x:v>
      </x:c>
      <x:c r="B2606" s="312" t="s">
        <x:v>38</x:v>
      </x:c>
      <x:c r="C2606" s="312" t="s">
        <x:v>24</x:v>
      </x:c>
      <x:c r="D2606" s="317">
        <x:v>4</x:v>
      </x:c>
      <x:c r="E2606" s="321">
        <x:v>7600</x:v>
      </x:c>
      <x:c r="F2606" s="321">
        <x:v>30400</x:v>
      </x:c>
      <x:c r="G2606" s="321">
        <x:v>6400</x:v>
      </x:c>
      <x:c r="H2606" s="312" t="s">
        <x:v>67</x:v>
      </x:c>
      <x:c r="I2606" s="312" t="s">
        <x:v>21</x:v>
      </x:c>
      <x:c r="J2606" s="316" t="n">
        <x:f>IFERROR(G2606/F2606,0)</x:f>
        <x:v>0.21052631578947367</x:v>
      </x:c>
      <x:c r="K2606" s="312" t="str">
        <x:f>IF(B2606="Bilinmeyen Personel","Kontrol","OK")</x:f>
        <x:v>OK</x:v>
      </x:c>
    </x:row>
    <x:row r="2607" hidden="1">
      <x:c r="A2607" s="312" t="n">
        <x:f>ROW()-ROW($A$2)+1</x:f>
        <x:v>2606</x:v>
      </x:c>
      <x:c r="B2607" s="312" t="s">
        <x:v>16</x:v>
      </x:c>
      <x:c r="C2607" s="312" t="s">
        <x:v>58</x:v>
      </x:c>
      <x:c r="D2607" s="317">
        <x:v>4</x:v>
      </x:c>
      <x:c r="E2607" s="321">
        <x:v>3700</x:v>
      </x:c>
      <x:c r="F2607" s="321">
        <x:v>14800</x:v>
      </x:c>
      <x:c r="G2607" s="321">
        <x:v>2800</x:v>
      </x:c>
      <x:c r="H2607" s="312" t="s">
        <x:v>67</x:v>
      </x:c>
      <x:c r="I2607" s="312" t="s">
        <x:v>42</x:v>
      </x:c>
      <x:c r="J2607" s="316" t="n">
        <x:f>IFERROR(G2607/F2607,0)</x:f>
        <x:v>0.1891891891891892</x:v>
      </x:c>
      <x:c r="K2607" s="312" t="str">
        <x:f>IF(B2607="Bilinmeyen Personel","Kontrol","OK")</x:f>
        <x:v>OK</x:v>
      </x:c>
    </x:row>
    <x:row r="2608" hidden="1">
      <x:c r="A2608" s="312" t="n">
        <x:f>ROW()-ROW($A$2)+1</x:f>
        <x:v>2607</x:v>
      </x:c>
      <x:c r="B2608" s="312" t="s">
        <x:v>23</x:v>
      </x:c>
      <x:c r="C2608" s="312" t="s">
        <x:v>26</x:v>
      </x:c>
      <x:c r="D2608" s="317">
        <x:v>5</x:v>
      </x:c>
      <x:c r="E2608" s="321">
        <x:v>7250</x:v>
      </x:c>
      <x:c r="F2608" s="321">
        <x:v>36250</x:v>
      </x:c>
      <x:c r="G2608" s="321">
        <x:v>11250</x:v>
      </x:c>
      <x:c r="H2608" s="312" t="s">
        <x:v>67</x:v>
      </x:c>
      <x:c r="I2608" s="312" t="s">
        <x:v>28</x:v>
      </x:c>
      <x:c r="J2608" s="316" t="n">
        <x:f>IFERROR(G2608/F2608,0)</x:f>
        <x:v>0.3103448275862069</x:v>
      </x:c>
      <x:c r="K2608" s="312" t="str">
        <x:f>IF(B2608="Bilinmeyen Personel","Kontrol","OK")</x:f>
        <x:v>OK</x:v>
      </x:c>
    </x:row>
    <x:row r="2609" hidden="1">
      <x:c r="A2609" s="312" t="n">
        <x:f>ROW()-ROW($A$2)+1</x:f>
        <x:v>2608</x:v>
      </x:c>
      <x:c r="B2609" s="312" t="s">
        <x:v>13</x:v>
      </x:c>
      <x:c r="C2609" s="312" t="s">
        <x:v>24</x:v>
      </x:c>
      <x:c r="D2609" s="317">
        <x:v>3</x:v>
      </x:c>
      <x:c r="E2609" s="321">
        <x:v>7600</x:v>
      </x:c>
      <x:c r="F2609" s="321">
        <x:v>22800</x:v>
      </x:c>
      <x:c r="G2609" s="321">
        <x:v>4800</x:v>
      </x:c>
      <x:c r="H2609" s="312" t="s">
        <x:v>67</x:v>
      </x:c>
      <x:c r="I2609" s="312" t="s">
        <x:v>28</x:v>
      </x:c>
      <x:c r="J2609" s="316" t="n">
        <x:f>IFERROR(G2609/F2609,0)</x:f>
        <x:v>0.21052631578947367</x:v>
      </x:c>
      <x:c r="K2609" s="312" t="str">
        <x:f>IF(B2609="Bilinmeyen Personel","Kontrol","OK")</x:f>
        <x:v>OK</x:v>
      </x:c>
    </x:row>
    <x:row r="2610" hidden="1">
      <x:c r="A2610" s="312" t="n">
        <x:f>ROW()-ROW($A$2)+1</x:f>
        <x:v>2609</x:v>
      </x:c>
      <x:c r="B2610" s="312" t="s">
        <x:v>48</x:v>
      </x:c>
      <x:c r="C2610" s="312" t="s">
        <x:v>45</x:v>
      </x:c>
      <x:c r="D2610" s="317">
        <x:v>3</x:v>
      </x:c>
      <x:c r="E2610" s="321">
        <x:v>4200</x:v>
      </x:c>
      <x:c r="F2610" s="321">
        <x:v>12600</x:v>
      </x:c>
      <x:c r="G2610" s="321">
        <x:v>3600</x:v>
      </x:c>
      <x:c r="H2610" s="312" t="s">
        <x:v>67</x:v>
      </x:c>
      <x:c r="I2610" s="312" t="s">
        <x:v>46</x:v>
      </x:c>
      <x:c r="J2610" s="316" t="n">
        <x:f>IFERROR(G2610/F2610,0)</x:f>
        <x:v>0.2857142857142857</x:v>
      </x:c>
      <x:c r="K2610" s="312" t="str">
        <x:f>IF(B2610="Bilinmeyen Personel","Kontrol","OK")</x:f>
        <x:v>OK</x:v>
      </x:c>
    </x:row>
    <x:row r="2611" hidden="1">
      <x:c r="A2611" s="312" t="n">
        <x:f>ROW()-ROW($A$2)+1</x:f>
        <x:v>2610</x:v>
      </x:c>
      <x:c r="B2611" s="312" t="s">
        <x:v>32</x:v>
      </x:c>
      <x:c r="C2611" s="312" t="s">
        <x:v>52</x:v>
      </x:c>
      <x:c r="D2611" s="317">
        <x:v>3</x:v>
      </x:c>
      <x:c r="E2611" s="321">
        <x:v>1250</x:v>
      </x:c>
      <x:c r="F2611" s="321">
        <x:v>3750</x:v>
      </x:c>
      <x:c r="G2611" s="321">
        <x:v>1350</x:v>
      </x:c>
      <x:c r="H2611" s="312" t="s">
        <x:v>67</x:v>
      </x:c>
      <x:c r="I2611" s="312" t="s">
        <x:v>12</x:v>
      </x:c>
      <x:c r="J2611" s="316" t="n">
        <x:f>IFERROR(G2611/F2611,0)</x:f>
        <x:v>0.36</x:v>
      </x:c>
      <x:c r="K2611" s="312" t="str">
        <x:f>IF(B2611="Bilinmeyen Personel","Kontrol","OK")</x:f>
        <x:v>OK</x:v>
      </x:c>
    </x:row>
    <x:row r="2612" hidden="1">
      <x:c r="A2612" s="312" t="n">
        <x:f>ROW()-ROW($A$2)+1</x:f>
        <x:v>2611</x:v>
      </x:c>
      <x:c r="B2612" s="312" t="s">
        <x:v>38</x:v>
      </x:c>
      <x:c r="C2612" s="312" t="s">
        <x:v>34</x:v>
      </x:c>
      <x:c r="D2612" s="317">
        <x:v>3</x:v>
      </x:c>
      <x:c r="E2612" s="321">
        <x:v>1090</x:v>
      </x:c>
      <x:c r="F2612" s="321">
        <x:v>3270</x:v>
      </x:c>
      <x:c r="G2612" s="321">
        <x:v>870</x:v>
      </x:c>
      <x:c r="H2612" s="312" t="s">
        <x:v>67</x:v>
      </x:c>
      <x:c r="I2612" s="312" t="s">
        <x:v>42</x:v>
      </x:c>
      <x:c r="J2612" s="316" t="n">
        <x:f>IFERROR(G2612/F2612,0)</x:f>
        <x:v>0.26605504587155965</x:v>
      </x:c>
      <x:c r="K2612" s="312" t="str">
        <x:f>IF(B2612="Bilinmeyen Personel","Kontrol","OK")</x:f>
        <x:v>OK</x:v>
      </x:c>
    </x:row>
    <x:row r="2613" hidden="1">
      <x:c r="A2613" s="312" t="n">
        <x:f>ROW()-ROW($A$2)+1</x:f>
        <x:v>2612</x:v>
      </x:c>
      <x:c r="B2613" s="312" t="s">
        <x:v>19</x:v>
      </x:c>
      <x:c r="C2613" s="312" t="s">
        <x:v>22</x:v>
      </x:c>
      <x:c r="D2613" s="317">
        <x:v>5</x:v>
      </x:c>
      <x:c r="E2613" s="321">
        <x:v>2180</x:v>
      </x:c>
      <x:c r="F2613" s="321">
        <x:v>10900</x:v>
      </x:c>
      <x:c r="G2613" s="321">
        <x:v>3400</x:v>
      </x:c>
      <x:c r="H2613" s="312" t="s">
        <x:v>67</x:v>
      </x:c>
      <x:c r="I2613" s="312" t="s">
        <x:v>37</x:v>
      </x:c>
      <x:c r="J2613" s="316" t="n">
        <x:f>IFERROR(G2613/F2613,0)</x:f>
        <x:v>0.3119266055045872</x:v>
      </x:c>
      <x:c r="K2613" s="312" t="str">
        <x:f>IF(B2613="Bilinmeyen Personel","Kontrol","OK")</x:f>
        <x:v>OK</x:v>
      </x:c>
    </x:row>
    <x:row r="2614" hidden="1">
      <x:c r="A2614" s="312" t="n">
        <x:f>ROW()-ROW($A$2)+1</x:f>
        <x:v>2613</x:v>
      </x:c>
      <x:c r="B2614" s="312" t="s">
        <x:v>50</x:v>
      </x:c>
      <x:c r="C2614" s="312" t="s">
        <x:v>58</x:v>
      </x:c>
      <x:c r="D2614" s="317">
        <x:v>2</x:v>
      </x:c>
      <x:c r="E2614" s="321">
        <x:v>3700</x:v>
      </x:c>
      <x:c r="F2614" s="321">
        <x:v>7400</x:v>
      </x:c>
      <x:c r="G2614" s="321">
        <x:v>1400</x:v>
      </x:c>
      <x:c r="H2614" s="312" t="s">
        <x:v>67</x:v>
      </x:c>
      <x:c r="I2614" s="312" t="s">
        <x:v>31</x:v>
      </x:c>
      <x:c r="J2614" s="316" t="n">
        <x:f>IFERROR(G2614/F2614,0)</x:f>
        <x:v>0.1891891891891892</x:v>
      </x:c>
      <x:c r="K2614" s="312" t="str">
        <x:f>IF(B2614="Bilinmeyen Personel","Kontrol","OK")</x:f>
        <x:v>OK</x:v>
      </x:c>
    </x:row>
    <x:row r="2615" hidden="1">
      <x:c r="A2615" s="312" t="n">
        <x:f>ROW()-ROW($A$2)+1</x:f>
        <x:v>2614</x:v>
      </x:c>
      <x:c r="B2615" s="312" t="s">
        <x:v>40</x:v>
      </x:c>
      <x:c r="C2615" s="312" t="s">
        <x:v>10</x:v>
      </x:c>
      <x:c r="D2615" s="317">
        <x:v>5</x:v>
      </x:c>
      <x:c r="E2615" s="321">
        <x:v>6000</x:v>
      </x:c>
      <x:c r="F2615" s="321">
        <x:v>30000</x:v>
      </x:c>
      <x:c r="G2615" s="321">
        <x:v>10000</x:v>
      </x:c>
      <x:c r="H2615" s="312" t="s">
        <x:v>67</x:v>
      </x:c>
      <x:c r="I2615" s="312" t="s">
        <x:v>25</x:v>
      </x:c>
      <x:c r="J2615" s="316" t="n">
        <x:f>IFERROR(G2615/F2615,0)</x:f>
        <x:v>0.3333333333333333</x:v>
      </x:c>
      <x:c r="K2615" s="312" t="str">
        <x:f>IF(B2615="Bilinmeyen Personel","Kontrol","OK")</x:f>
        <x:v>OK</x:v>
      </x:c>
    </x:row>
    <x:row r="2616" hidden="1">
      <x:c r="A2616" s="312" t="n">
        <x:f>ROW()-ROW($A$2)+1</x:f>
        <x:v>2615</x:v>
      </x:c>
      <x:c r="B2616" s="312" t="s">
        <x:v>48</x:v>
      </x:c>
      <x:c r="C2616" s="312" t="s">
        <x:v>52</x:v>
      </x:c>
      <x:c r="D2616" s="317">
        <x:v>3</x:v>
      </x:c>
      <x:c r="E2616" s="321">
        <x:v>1250</x:v>
      </x:c>
      <x:c r="F2616" s="321">
        <x:v>3750</x:v>
      </x:c>
      <x:c r="G2616" s="321">
        <x:v>1350</x:v>
      </x:c>
      <x:c r="H2616" s="312" t="s">
        <x:v>67</x:v>
      </x:c>
      <x:c r="I2616" s="312" t="s">
        <x:v>42</x:v>
      </x:c>
      <x:c r="J2616" s="316" t="n">
        <x:f>IFERROR(G2616/F2616,0)</x:f>
        <x:v>0.36</x:v>
      </x:c>
      <x:c r="K2616" s="312" t="str">
        <x:f>IF(B2616="Bilinmeyen Personel","Kontrol","OK")</x:f>
        <x:v>OK</x:v>
      </x:c>
    </x:row>
    <x:row r="2617" hidden="1">
      <x:c r="A2617" s="312" t="n">
        <x:f>ROW()-ROW($A$2)+1</x:f>
        <x:v>2616</x:v>
      </x:c>
      <x:c r="B2617" s="312" t="s">
        <x:v>50</x:v>
      </x:c>
      <x:c r="C2617" s="312" t="s">
        <x:v>24</x:v>
      </x:c>
      <x:c r="D2617" s="317">
        <x:v>2</x:v>
      </x:c>
      <x:c r="E2617" s="321">
        <x:v>7600</x:v>
      </x:c>
      <x:c r="F2617" s="321">
        <x:v>15200</x:v>
      </x:c>
      <x:c r="G2617" s="321">
        <x:v>3200</x:v>
      </x:c>
      <x:c r="H2617" s="312" t="s">
        <x:v>67</x:v>
      </x:c>
      <x:c r="I2617" s="312" t="s">
        <x:v>31</x:v>
      </x:c>
      <x:c r="J2617" s="316" t="n">
        <x:f>IFERROR(G2617/F2617,0)</x:f>
        <x:v>0.21052631578947367</x:v>
      </x:c>
      <x:c r="K2617" s="312" t="str">
        <x:f>IF(B2617="Bilinmeyen Personel","Kontrol","OK")</x:f>
        <x:v>OK</x:v>
      </x:c>
    </x:row>
    <x:row r="2618" hidden="1">
      <x:c r="A2618" s="312" t="n">
        <x:f>ROW()-ROW($A$2)+1</x:f>
        <x:v>2617</x:v>
      </x:c>
      <x:c r="B2618" s="312" t="s">
        <x:v>9</x:v>
      </x:c>
      <x:c r="C2618" s="312" t="s">
        <x:v>14</x:v>
      </x:c>
      <x:c r="D2618" s="317">
        <x:v>2</x:v>
      </x:c>
      <x:c r="E2618" s="321">
        <x:v>1400</x:v>
      </x:c>
      <x:c r="F2618" s="321">
        <x:v>2800</x:v>
      </x:c>
      <x:c r="G2618" s="321">
        <x:v>1200</x:v>
      </x:c>
      <x:c r="H2618" s="312" t="s">
        <x:v>67</x:v>
      </x:c>
      <x:c r="I2618" s="312" t="s">
        <x:v>18</x:v>
      </x:c>
      <x:c r="J2618" s="316" t="n">
        <x:f>IFERROR(G2618/F2618,0)</x:f>
        <x:v>0.42857142857142855</x:v>
      </x:c>
      <x:c r="K2618" s="312" t="str">
        <x:f>IF(B2618="Bilinmeyen Personel","Kontrol","OK")</x:f>
        <x:v>OK</x:v>
      </x:c>
    </x:row>
    <x:row r="2619" hidden="1">
      <x:c r="A2619" s="312" t="n">
        <x:f>ROW()-ROW($A$2)+1</x:f>
        <x:v>2618</x:v>
      </x:c>
      <x:c r="B2619" s="312" t="s">
        <x:v>23</x:v>
      </x:c>
      <x:c r="C2619" s="312" t="s">
        <x:v>22</x:v>
      </x:c>
      <x:c r="D2619" s="317">
        <x:v>4</x:v>
      </x:c>
      <x:c r="E2619" s="321">
        <x:v>2180</x:v>
      </x:c>
      <x:c r="F2619" s="321">
        <x:v>8720</x:v>
      </x:c>
      <x:c r="G2619" s="321">
        <x:v>2720</x:v>
      </x:c>
      <x:c r="H2619" s="312" t="s">
        <x:v>67</x:v>
      </x:c>
      <x:c r="I2619" s="312" t="s">
        <x:v>44</x:v>
      </x:c>
      <x:c r="J2619" s="316" t="n">
        <x:f>IFERROR(G2619/F2619,0)</x:f>
        <x:v>0.3119266055045872</x:v>
      </x:c>
      <x:c r="K2619" s="312" t="str">
        <x:f>IF(B2619="Bilinmeyen Personel","Kontrol","OK")</x:f>
        <x:v>OK</x:v>
      </x:c>
    </x:row>
    <x:row r="2620" hidden="1">
      <x:c r="A2620" s="312" t="n">
        <x:f>ROW()-ROW($A$2)+1</x:f>
        <x:v>2619</x:v>
      </x:c>
      <x:c r="B2620" s="312" t="s">
        <x:v>9</x:v>
      </x:c>
      <x:c r="C2620" s="312" t="s">
        <x:v>33</x:v>
      </x:c>
      <x:c r="D2620" s="317">
        <x:v>4</x:v>
      </x:c>
      <x:c r="E2620" s="321">
        <x:v>1800</x:v>
      </x:c>
      <x:c r="F2620" s="321">
        <x:v>7200</x:v>
      </x:c>
      <x:c r="G2620" s="321">
        <x:v>4000</x:v>
      </x:c>
      <x:c r="H2620" s="312" t="s">
        <x:v>67</x:v>
      </x:c>
      <x:c r="I2620" s="312" t="s">
        <x:v>42</x:v>
      </x:c>
      <x:c r="J2620" s="316" t="n">
        <x:f>IFERROR(G2620/F2620,0)</x:f>
        <x:v>0.5555555555555556</x:v>
      </x:c>
      <x:c r="K2620" s="312" t="str">
        <x:f>IF(B2620="Bilinmeyen Personel","Kontrol","OK")</x:f>
        <x:v>OK</x:v>
      </x:c>
    </x:row>
    <x:row r="2621" hidden="1">
      <x:c r="A2621" s="312" t="n">
        <x:f>ROW()-ROW($A$2)+1</x:f>
        <x:v>2620</x:v>
      </x:c>
      <x:c r="B2621" s="312" t="s">
        <x:v>16</x:v>
      </x:c>
      <x:c r="C2621" s="312" t="s">
        <x:v>57</x:v>
      </x:c>
      <x:c r="D2621" s="317">
        <x:v>4</x:v>
      </x:c>
      <x:c r="E2621" s="321">
        <x:v>1500</x:v>
      </x:c>
      <x:c r="F2621" s="321">
        <x:v>6000</x:v>
      </x:c>
      <x:c r="G2621" s="321">
        <x:v>2800</x:v>
      </x:c>
      <x:c r="H2621" s="312" t="s">
        <x:v>67</x:v>
      </x:c>
      <x:c r="I2621" s="312" t="s">
        <x:v>21</x:v>
      </x:c>
      <x:c r="J2621" s="316" t="n">
        <x:f>IFERROR(G2621/F2621,0)</x:f>
        <x:v>0.4666666666666667</x:v>
      </x:c>
      <x:c r="K2621" s="312" t="str">
        <x:f>IF(B2621="Bilinmeyen Personel","Kontrol","OK")</x:f>
        <x:v>OK</x:v>
      </x:c>
    </x:row>
    <x:row r="2622" hidden="1">
      <x:c r="A2622" s="312" t="n">
        <x:f>ROW()-ROW($A$2)+1</x:f>
        <x:v>2621</x:v>
      </x:c>
      <x:c r="B2622" s="312" t="s">
        <x:v>32</x:v>
      </x:c>
      <x:c r="C2622" s="312" t="s">
        <x:v>17</x:v>
      </x:c>
      <x:c r="D2622" s="317">
        <x:v>2</x:v>
      </x:c>
      <x:c r="E2622" s="321">
        <x:v>8450</x:v>
      </x:c>
      <x:c r="F2622" s="321">
        <x:v>16900</x:v>
      </x:c>
      <x:c r="G2622" s="321">
        <x:v>4900</x:v>
      </x:c>
      <x:c r="H2622" s="312" t="s">
        <x:v>67</x:v>
      </x:c>
      <x:c r="I2622" s="312" t="s">
        <x:v>54</x:v>
      </x:c>
      <x:c r="J2622" s="316" t="n">
        <x:f>IFERROR(G2622/F2622,0)</x:f>
        <x:v>0.28994082840236685</x:v>
      </x:c>
      <x:c r="K2622" s="312" t="str">
        <x:f>IF(B2622="Bilinmeyen Personel","Kontrol","OK")</x:f>
        <x:v>OK</x:v>
      </x:c>
    </x:row>
    <x:row r="2623" hidden="1">
      <x:c r="A2623" s="312" t="n">
        <x:f>ROW()-ROW($A$2)+1</x:f>
        <x:v>2622</x:v>
      </x:c>
      <x:c r="B2623" s="312" t="s">
        <x:v>40</x:v>
      </x:c>
      <x:c r="C2623" s="312" t="s">
        <x:v>57</x:v>
      </x:c>
      <x:c r="D2623" s="317">
        <x:v>4</x:v>
      </x:c>
      <x:c r="E2623" s="321">
        <x:v>1500</x:v>
      </x:c>
      <x:c r="F2623" s="321">
        <x:v>6000</x:v>
      </x:c>
      <x:c r="G2623" s="321">
        <x:v>2800</x:v>
      </x:c>
      <x:c r="H2623" s="312" t="s">
        <x:v>67</x:v>
      </x:c>
      <x:c r="I2623" s="312" t="s">
        <x:v>54</x:v>
      </x:c>
      <x:c r="J2623" s="316" t="n">
        <x:f>IFERROR(G2623/F2623,0)</x:f>
        <x:v>0.4666666666666667</x:v>
      </x:c>
      <x:c r="K2623" s="312" t="str">
        <x:f>IF(B2623="Bilinmeyen Personel","Kontrol","OK")</x:f>
        <x:v>OK</x:v>
      </x:c>
    </x:row>
    <x:row r="2624" hidden="1">
      <x:c r="A2624" s="312" t="n">
        <x:f>ROW()-ROW($A$2)+1</x:f>
        <x:v>2623</x:v>
      </x:c>
      <x:c r="B2624" s="312" t="s">
        <x:v>29</x:v>
      </x:c>
      <x:c r="C2624" s="312" t="s">
        <x:v>10</x:v>
      </x:c>
      <x:c r="D2624" s="317">
        <x:v>2</x:v>
      </x:c>
      <x:c r="E2624" s="321">
        <x:v>6000</x:v>
      </x:c>
      <x:c r="F2624" s="321">
        <x:v>12000</x:v>
      </x:c>
      <x:c r="G2624" s="321">
        <x:v>4000</x:v>
      </x:c>
      <x:c r="H2624" s="312" t="s">
        <x:v>67</x:v>
      </x:c>
      <x:c r="I2624" s="312" t="s">
        <x:v>41</x:v>
      </x:c>
      <x:c r="J2624" s="316" t="n">
        <x:f>IFERROR(G2624/F2624,0)</x:f>
        <x:v>0.3333333333333333</x:v>
      </x:c>
      <x:c r="K2624" s="312" t="str">
        <x:f>IF(B2624="Bilinmeyen Personel","Kontrol","OK")</x:f>
        <x:v>OK</x:v>
      </x:c>
    </x:row>
    <x:row r="2625" hidden="1">
      <x:c r="A2625" s="312" t="n">
        <x:f>ROW()-ROW($A$2)+1</x:f>
        <x:v>2624</x:v>
      </x:c>
      <x:c r="B2625" s="312" t="s">
        <x:v>50</x:v>
      </x:c>
      <x:c r="C2625" s="312" t="s">
        <x:v>53</x:v>
      </x:c>
      <x:c r="D2625" s="317">
        <x:v>2</x:v>
      </x:c>
      <x:c r="E2625" s="321">
        <x:v>1200</x:v>
      </x:c>
      <x:c r="F2625" s="321">
        <x:v>2400</x:v>
      </x:c>
      <x:c r="G2625" s="321">
        <x:v>800</x:v>
      </x:c>
      <x:c r="H2625" s="312" t="s">
        <x:v>67</x:v>
      </x:c>
      <x:c r="I2625" s="312" t="s">
        <x:v>21</x:v>
      </x:c>
      <x:c r="J2625" s="316" t="n">
        <x:f>IFERROR(G2625/F2625,0)</x:f>
        <x:v>0.3333333333333333</x:v>
      </x:c>
      <x:c r="K2625" s="312" t="str">
        <x:f>IF(B2625="Bilinmeyen Personel","Kontrol","OK")</x:f>
        <x:v>OK</x:v>
      </x:c>
    </x:row>
    <x:row r="2626" hidden="1">
      <x:c r="A2626" s="312" t="n">
        <x:f>ROW()-ROW($A$2)+1</x:f>
        <x:v>2625</x:v>
      </x:c>
      <x:c r="B2626" s="312" t="s">
        <x:v>9</x:v>
      </x:c>
      <x:c r="C2626" s="312" t="s">
        <x:v>45</x:v>
      </x:c>
      <x:c r="D2626" s="317">
        <x:v>4</x:v>
      </x:c>
      <x:c r="E2626" s="321">
        <x:v>4200</x:v>
      </x:c>
      <x:c r="F2626" s="321">
        <x:v>16800</x:v>
      </x:c>
      <x:c r="G2626" s="321">
        <x:v>4800</x:v>
      </x:c>
      <x:c r="H2626" s="312" t="s">
        <x:v>67</x:v>
      </x:c>
      <x:c r="I2626" s="312" t="s">
        <x:v>42</x:v>
      </x:c>
      <x:c r="J2626" s="316" t="n">
        <x:f>IFERROR(G2626/F2626,0)</x:f>
        <x:v>0.2857142857142857</x:v>
      </x:c>
      <x:c r="K2626" s="312" t="str">
        <x:f>IF(B2626="Bilinmeyen Personel","Kontrol","OK")</x:f>
        <x:v>OK</x:v>
      </x:c>
    </x:row>
    <x:row r="2627" hidden="1">
      <x:c r="A2627" s="312" t="n">
        <x:f>ROW()-ROW($A$2)+1</x:f>
        <x:v>2626</x:v>
      </x:c>
      <x:c r="B2627" s="312" t="s">
        <x:v>48</x:v>
      </x:c>
      <x:c r="C2627" s="312" t="s">
        <x:v>24</x:v>
      </x:c>
      <x:c r="D2627" s="317">
        <x:v>2</x:v>
      </x:c>
      <x:c r="E2627" s="321">
        <x:v>7600</x:v>
      </x:c>
      <x:c r="F2627" s="321">
        <x:v>15200</x:v>
      </x:c>
      <x:c r="G2627" s="321">
        <x:v>3200</x:v>
      </x:c>
      <x:c r="H2627" s="312" t="s">
        <x:v>67</x:v>
      </x:c>
      <x:c r="I2627" s="312" t="s">
        <x:v>37</x:v>
      </x:c>
      <x:c r="J2627" s="316" t="n">
        <x:f>IFERROR(G2627/F2627,0)</x:f>
        <x:v>0.21052631578947367</x:v>
      </x:c>
      <x:c r="K2627" s="312" t="str">
        <x:f>IF(B2627="Bilinmeyen Personel","Kontrol","OK")</x:f>
        <x:v>OK</x:v>
      </x:c>
    </x:row>
    <x:row r="2628" hidden="1">
      <x:c r="A2628" s="312" t="n">
        <x:f>ROW()-ROW($A$2)+1</x:f>
        <x:v>2627</x:v>
      </x:c>
      <x:c r="B2628" s="312" t="s">
        <x:v>29</x:v>
      </x:c>
      <x:c r="C2628" s="312" t="s">
        <x:v>26</x:v>
      </x:c>
      <x:c r="D2628" s="317">
        <x:v>2</x:v>
      </x:c>
      <x:c r="E2628" s="321">
        <x:v>7250</x:v>
      </x:c>
      <x:c r="F2628" s="321">
        <x:v>14500</x:v>
      </x:c>
      <x:c r="G2628" s="321">
        <x:v>4500</x:v>
      </x:c>
      <x:c r="H2628" s="312" t="s">
        <x:v>67</x:v>
      </x:c>
      <x:c r="I2628" s="312" t="s">
        <x:v>25</x:v>
      </x:c>
      <x:c r="J2628" s="316" t="n">
        <x:f>IFERROR(G2628/F2628,0)</x:f>
        <x:v>0.3103448275862069</x:v>
      </x:c>
      <x:c r="K2628" s="312" t="str">
        <x:f>IF(B2628="Bilinmeyen Personel","Kontrol","OK")</x:f>
        <x:v>OK</x:v>
      </x:c>
    </x:row>
    <x:row r="2629" hidden="1">
      <x:c r="A2629" s="312" t="n">
        <x:f>ROW()-ROW($A$2)+1</x:f>
        <x:v>2628</x:v>
      </x:c>
      <x:c r="B2629" s="312" t="s">
        <x:v>13</x:v>
      </x:c>
      <x:c r="C2629" s="312" t="s">
        <x:v>55</x:v>
      </x:c>
      <x:c r="D2629" s="317">
        <x:v>4</x:v>
      </x:c>
      <x:c r="E2629" s="321">
        <x:v>7530</x:v>
      </x:c>
      <x:c r="F2629" s="321">
        <x:v>30120</x:v>
      </x:c>
      <x:c r="G2629" s="321">
        <x:v>6120</x:v>
      </x:c>
      <x:c r="H2629" s="312" t="s">
        <x:v>67</x:v>
      </x:c>
      <x:c r="I2629" s="312" t="s">
        <x:v>25</x:v>
      </x:c>
      <x:c r="J2629" s="316" t="n">
        <x:f>IFERROR(G2629/F2629,0)</x:f>
        <x:v>0.20318725099601595</x:v>
      </x:c>
      <x:c r="K2629" s="312" t="str">
        <x:f>IF(B2629="Bilinmeyen Personel","Kontrol","OK")</x:f>
        <x:v>OK</x:v>
      </x:c>
    </x:row>
    <x:row r="2630" hidden="1">
      <x:c r="A2630" s="312" t="n">
        <x:f>ROW()-ROW($A$2)+1</x:f>
        <x:v>2629</x:v>
      </x:c>
      <x:c r="B2630" s="312" t="s">
        <x:v>16</x:v>
      </x:c>
      <x:c r="C2630" s="312" t="s">
        <x:v>26</x:v>
      </x:c>
      <x:c r="D2630" s="317">
        <x:v>2</x:v>
      </x:c>
      <x:c r="E2630" s="321">
        <x:v>7250</x:v>
      </x:c>
      <x:c r="F2630" s="321">
        <x:v>14500</x:v>
      </x:c>
      <x:c r="G2630" s="321">
        <x:v>4500</x:v>
      </x:c>
      <x:c r="H2630" s="312" t="s">
        <x:v>67</x:v>
      </x:c>
      <x:c r="I2630" s="312" t="s">
        <x:v>21</x:v>
      </x:c>
      <x:c r="J2630" s="316" t="n">
        <x:f>IFERROR(G2630/F2630,0)</x:f>
        <x:v>0.3103448275862069</x:v>
      </x:c>
      <x:c r="K2630" s="312" t="str">
        <x:f>IF(B2630="Bilinmeyen Personel","Kontrol","OK")</x:f>
        <x:v>OK</x:v>
      </x:c>
    </x:row>
    <x:row r="2631" hidden="1">
      <x:c r="A2631" s="312" t="n">
        <x:f>ROW()-ROW($A$2)+1</x:f>
        <x:v>2630</x:v>
      </x:c>
      <x:c r="B2631" s="312" t="s">
        <x:v>13</x:v>
      </x:c>
      <x:c r="C2631" s="312" t="s">
        <x:v>10</x:v>
      </x:c>
      <x:c r="D2631" s="317">
        <x:v>5</x:v>
      </x:c>
      <x:c r="E2631" s="321">
        <x:v>6000</x:v>
      </x:c>
      <x:c r="F2631" s="321">
        <x:v>30000</x:v>
      </x:c>
      <x:c r="G2631" s="321">
        <x:v>10000</x:v>
      </x:c>
      <x:c r="H2631" s="312" t="s">
        <x:v>67</x:v>
      </x:c>
      <x:c r="I2631" s="312" t="s">
        <x:v>15</x:v>
      </x:c>
      <x:c r="J2631" s="316" t="n">
        <x:f>IFERROR(G2631/F2631,0)</x:f>
        <x:v>0.3333333333333333</x:v>
      </x:c>
      <x:c r="K2631" s="312" t="str">
        <x:f>IF(B2631="Bilinmeyen Personel","Kontrol","OK")</x:f>
        <x:v>OK</x:v>
      </x:c>
    </x:row>
    <x:row r="2632" hidden="1">
      <x:c r="A2632" s="312" t="n">
        <x:f>ROW()-ROW($A$2)+1</x:f>
        <x:v>2631</x:v>
      </x:c>
      <x:c r="B2632" s="312" t="s">
        <x:v>29</x:v>
      </x:c>
      <x:c r="C2632" s="312" t="s">
        <x:v>53</x:v>
      </x:c>
      <x:c r="D2632" s="317">
        <x:v>3</x:v>
      </x:c>
      <x:c r="E2632" s="321">
        <x:v>1200</x:v>
      </x:c>
      <x:c r="F2632" s="321">
        <x:v>3600</x:v>
      </x:c>
      <x:c r="G2632" s="321">
        <x:v>1200</x:v>
      </x:c>
      <x:c r="H2632" s="312" t="s">
        <x:v>67</x:v>
      </x:c>
      <x:c r="I2632" s="312" t="s">
        <x:v>15</x:v>
      </x:c>
      <x:c r="J2632" s="316" t="n">
        <x:f>IFERROR(G2632/F2632,0)</x:f>
        <x:v>0.3333333333333333</x:v>
      </x:c>
      <x:c r="K2632" s="312" t="str">
        <x:f>IF(B2632="Bilinmeyen Personel","Kontrol","OK")</x:f>
        <x:v>OK</x:v>
      </x:c>
    </x:row>
    <x:row r="2633" hidden="1">
      <x:c r="A2633" s="312" t="n">
        <x:f>ROW()-ROW($A$2)+1</x:f>
        <x:v>2632</x:v>
      </x:c>
      <x:c r="B2633" s="312" t="s">
        <x:v>50</x:v>
      </x:c>
      <x:c r="C2633" s="312" t="s">
        <x:v>56</x:v>
      </x:c>
      <x:c r="D2633" s="317">
        <x:v>2</x:v>
      </x:c>
      <x:c r="E2633" s="321">
        <x:v>5300</x:v>
      </x:c>
      <x:c r="F2633" s="321">
        <x:v>10600</x:v>
      </x:c>
      <x:c r="G2633" s="321">
        <x:v>2600</x:v>
      </x:c>
      <x:c r="H2633" s="312" t="s">
        <x:v>67</x:v>
      </x:c>
      <x:c r="I2633" s="312" t="s">
        <x:v>31</x:v>
      </x:c>
      <x:c r="J2633" s="316" t="n">
        <x:f>IFERROR(G2633/F2633,0)</x:f>
        <x:v>0.24528301886792453</x:v>
      </x:c>
      <x:c r="K2633" s="312" t="str">
        <x:f>IF(B2633="Bilinmeyen Personel","Kontrol","OK")</x:f>
        <x:v>OK</x:v>
      </x:c>
    </x:row>
    <x:row r="2634" hidden="1">
      <x:c r="A2634" s="312" t="n">
        <x:f>ROW()-ROW($A$2)+1</x:f>
        <x:v>2633</x:v>
      </x:c>
      <x:c r="B2634" s="312" t="s">
        <x:v>38</x:v>
      </x:c>
      <x:c r="C2634" s="312" t="s">
        <x:v>17</x:v>
      </x:c>
      <x:c r="D2634" s="317">
        <x:v>4</x:v>
      </x:c>
      <x:c r="E2634" s="321">
        <x:v>8450</x:v>
      </x:c>
      <x:c r="F2634" s="321">
        <x:v>33800</x:v>
      </x:c>
      <x:c r="G2634" s="321">
        <x:v>9800</x:v>
      </x:c>
      <x:c r="H2634" s="312" t="s">
        <x:v>67</x:v>
      </x:c>
      <x:c r="I2634" s="312" t="s">
        <x:v>44</x:v>
      </x:c>
      <x:c r="J2634" s="316" t="n">
        <x:f>IFERROR(G2634/F2634,0)</x:f>
        <x:v>0.28994082840236685</x:v>
      </x:c>
      <x:c r="K2634" s="312" t="str">
        <x:f>IF(B2634="Bilinmeyen Personel","Kontrol","OK")</x:f>
        <x:v>OK</x:v>
      </x:c>
    </x:row>
    <x:row r="2635" hidden="1">
      <x:c r="A2635" s="312" t="n">
        <x:f>ROW()-ROW($A$2)+1</x:f>
        <x:v>2634</x:v>
      </x:c>
      <x:c r="B2635" s="312" t="s">
        <x:v>23</x:v>
      </x:c>
      <x:c r="C2635" s="312" t="s">
        <x:v>20</x:v>
      </x:c>
      <x:c r="D2635" s="317">
        <x:v>3</x:v>
      </x:c>
      <x:c r="E2635" s="321">
        <x:v>1350</x:v>
      </x:c>
      <x:c r="F2635" s="321">
        <x:v>4050</x:v>
      </x:c>
      <x:c r="G2635" s="321">
        <x:v>1650</x:v>
      </x:c>
      <x:c r="H2635" s="312" t="s">
        <x:v>67</x:v>
      </x:c>
      <x:c r="I2635" s="312" t="s">
        <x:v>46</x:v>
      </x:c>
      <x:c r="J2635" s="316" t="n">
        <x:f>IFERROR(G2635/F2635,0)</x:f>
        <x:v>0.4074074074074074</x:v>
      </x:c>
      <x:c r="K2635" s="312" t="str">
        <x:f>IF(B2635="Bilinmeyen Personel","Kontrol","OK")</x:f>
        <x:v>OK</x:v>
      </x:c>
    </x:row>
    <x:row r="2636" hidden="1">
      <x:c r="A2636" s="312" t="n">
        <x:f>ROW()-ROW($A$2)+1</x:f>
        <x:v>2635</x:v>
      </x:c>
      <x:c r="B2636" s="312" t="s">
        <x:v>32</x:v>
      </x:c>
      <x:c r="C2636" s="312" t="s">
        <x:v>34</x:v>
      </x:c>
      <x:c r="D2636" s="317">
        <x:v>2</x:v>
      </x:c>
      <x:c r="E2636" s="321">
        <x:v>1090</x:v>
      </x:c>
      <x:c r="F2636" s="321">
        <x:v>2180</x:v>
      </x:c>
      <x:c r="G2636" s="321">
        <x:v>580</x:v>
      </x:c>
      <x:c r="H2636" s="312" t="s">
        <x:v>67</x:v>
      </x:c>
      <x:c r="I2636" s="312" t="s">
        <x:v>12</x:v>
      </x:c>
      <x:c r="J2636" s="316" t="n">
        <x:f>IFERROR(G2636/F2636,0)</x:f>
        <x:v>0.26605504587155965</x:v>
      </x:c>
      <x:c r="K2636" s="312" t="str">
        <x:f>IF(B2636="Bilinmeyen Personel","Kontrol","OK")</x:f>
        <x:v>OK</x:v>
      </x:c>
    </x:row>
    <x:row r="2637" hidden="1">
      <x:c r="A2637" s="312" t="n">
        <x:f>ROW()-ROW($A$2)+1</x:f>
        <x:v>2636</x:v>
      </x:c>
      <x:c r="B2637" s="312" t="s">
        <x:v>23</x:v>
      </x:c>
      <x:c r="C2637" s="312" t="s">
        <x:v>22</x:v>
      </x:c>
      <x:c r="D2637" s="317">
        <x:v>4</x:v>
      </x:c>
      <x:c r="E2637" s="321">
        <x:v>2180</x:v>
      </x:c>
      <x:c r="F2637" s="321">
        <x:v>8720</x:v>
      </x:c>
      <x:c r="G2637" s="321">
        <x:v>2720</x:v>
      </x:c>
      <x:c r="H2637" s="312" t="s">
        <x:v>67</x:v>
      </x:c>
      <x:c r="I2637" s="312" t="s">
        <x:v>44</x:v>
      </x:c>
      <x:c r="J2637" s="316" t="n">
        <x:f>IFERROR(G2637/F2637,0)</x:f>
        <x:v>0.3119266055045872</x:v>
      </x:c>
      <x:c r="K2637" s="312" t="str">
        <x:f>IF(B2637="Bilinmeyen Personel","Kontrol","OK")</x:f>
        <x:v>OK</x:v>
      </x:c>
    </x:row>
    <x:row r="2638" hidden="1">
      <x:c r="A2638" s="312" t="n">
        <x:f>ROW()-ROW($A$2)+1</x:f>
        <x:v>2637</x:v>
      </x:c>
      <x:c r="B2638" s="312" t="s">
        <x:v>13</x:v>
      </x:c>
      <x:c r="C2638" s="312" t="s">
        <x:v>58</x:v>
      </x:c>
      <x:c r="D2638" s="317">
        <x:v>2</x:v>
      </x:c>
      <x:c r="E2638" s="321">
        <x:v>3700</x:v>
      </x:c>
      <x:c r="F2638" s="321">
        <x:v>7400</x:v>
      </x:c>
      <x:c r="G2638" s="321">
        <x:v>1400</x:v>
      </x:c>
      <x:c r="H2638" s="312" t="s">
        <x:v>67</x:v>
      </x:c>
      <x:c r="I2638" s="312" t="s">
        <x:v>54</x:v>
      </x:c>
      <x:c r="J2638" s="316" t="n">
        <x:f>IFERROR(G2638/F2638,0)</x:f>
        <x:v>0.1891891891891892</x:v>
      </x:c>
      <x:c r="K2638" s="312" t="str">
        <x:f>IF(B2638="Bilinmeyen Personel","Kontrol","OK")</x:f>
        <x:v>OK</x:v>
      </x:c>
    </x:row>
    <x:row r="2639" hidden="1">
      <x:c r="A2639" s="312" t="n">
        <x:f>ROW()-ROW($A$2)+1</x:f>
        <x:v>2638</x:v>
      </x:c>
      <x:c r="B2639" s="312" t="s">
        <x:v>32</x:v>
      </x:c>
      <x:c r="C2639" s="312" t="s">
        <x:v>27</x:v>
      </x:c>
      <x:c r="D2639" s="317">
        <x:v>3</x:v>
      </x:c>
      <x:c r="E2639" s="321">
        <x:v>1100</x:v>
      </x:c>
      <x:c r="F2639" s="321">
        <x:v>3300</x:v>
      </x:c>
      <x:c r="G2639" s="321">
        <x:v>900</x:v>
      </x:c>
      <x:c r="H2639" s="312" t="s">
        <x:v>67</x:v>
      </x:c>
      <x:c r="I2639" s="312" t="s">
        <x:v>12</x:v>
      </x:c>
      <x:c r="J2639" s="316" t="n">
        <x:f>IFERROR(G2639/F2639,0)</x:f>
        <x:v>0.2727272727272727</x:v>
      </x:c>
      <x:c r="K2639" s="312" t="str">
        <x:f>IF(B2639="Bilinmeyen Personel","Kontrol","OK")</x:f>
        <x:v>OK</x:v>
      </x:c>
    </x:row>
    <x:row r="2640" hidden="1">
      <x:c r="A2640" s="312" t="n">
        <x:f>ROW()-ROW($A$2)+1</x:f>
        <x:v>2639</x:v>
      </x:c>
      <x:c r="B2640" s="312" t="s">
        <x:v>29</x:v>
      </x:c>
      <x:c r="C2640" s="312" t="s">
        <x:v>58</x:v>
      </x:c>
      <x:c r="D2640" s="317">
        <x:v>2</x:v>
      </x:c>
      <x:c r="E2640" s="321">
        <x:v>3700</x:v>
      </x:c>
      <x:c r="F2640" s="321">
        <x:v>7400</x:v>
      </x:c>
      <x:c r="G2640" s="321">
        <x:v>1400</x:v>
      </x:c>
      <x:c r="H2640" s="312" t="s">
        <x:v>67</x:v>
      </x:c>
      <x:c r="I2640" s="312" t="s">
        <x:v>42</x:v>
      </x:c>
      <x:c r="J2640" s="316" t="n">
        <x:f>IFERROR(G2640/F2640,0)</x:f>
        <x:v>0.1891891891891892</x:v>
      </x:c>
      <x:c r="K2640" s="312" t="str">
        <x:f>IF(B2640="Bilinmeyen Personel","Kontrol","OK")</x:f>
        <x:v>OK</x:v>
      </x:c>
    </x:row>
    <x:row r="2641" hidden="1">
      <x:c r="A2641" s="312" t="n">
        <x:f>ROW()-ROW($A$2)+1</x:f>
        <x:v>2640</x:v>
      </x:c>
      <x:c r="B2641" s="312" t="s">
        <x:v>48</x:v>
      </x:c>
      <x:c r="C2641" s="312" t="s">
        <x:v>43</x:v>
      </x:c>
      <x:c r="D2641" s="317">
        <x:v>3</x:v>
      </x:c>
      <x:c r="E2641" s="321">
        <x:v>1490</x:v>
      </x:c>
      <x:c r="F2641" s="321">
        <x:v>4470</x:v>
      </x:c>
      <x:c r="G2641" s="321">
        <x:v>2070</x:v>
      </x:c>
      <x:c r="H2641" s="312" t="s">
        <x:v>67</x:v>
      </x:c>
      <x:c r="I2641" s="312" t="s">
        <x:v>44</x:v>
      </x:c>
      <x:c r="J2641" s="316" t="n">
        <x:f>IFERROR(G2641/F2641,0)</x:f>
        <x:v>0.46308724832214765</x:v>
      </x:c>
      <x:c r="K2641" s="312" t="str">
        <x:f>IF(B2641="Bilinmeyen Personel","Kontrol","OK")</x:f>
        <x:v>OK</x:v>
      </x:c>
    </x:row>
    <x:row r="2642" hidden="1">
      <x:c r="A2642" s="312" t="n">
        <x:f>ROW()-ROW($A$2)+1</x:f>
        <x:v>2641</x:v>
      </x:c>
      <x:c r="B2642" s="312" t="s">
        <x:v>40</x:v>
      </x:c>
      <x:c r="C2642" s="312" t="s">
        <x:v>57</x:v>
      </x:c>
      <x:c r="D2642" s="317">
        <x:v>3</x:v>
      </x:c>
      <x:c r="E2642" s="321">
        <x:v>1500</x:v>
      </x:c>
      <x:c r="F2642" s="321">
        <x:v>4500</x:v>
      </x:c>
      <x:c r="G2642" s="321">
        <x:v>2100</x:v>
      </x:c>
      <x:c r="H2642" s="312" t="s">
        <x:v>67</x:v>
      </x:c>
      <x:c r="I2642" s="312" t="s">
        <x:v>42</x:v>
      </x:c>
      <x:c r="J2642" s="316" t="n">
        <x:f>IFERROR(G2642/F2642,0)</x:f>
        <x:v>0.4666666666666667</x:v>
      </x:c>
      <x:c r="K2642" s="312" t="str">
        <x:f>IF(B2642="Bilinmeyen Personel","Kontrol","OK")</x:f>
        <x:v>OK</x:v>
      </x:c>
    </x:row>
    <x:row r="2643" hidden="1">
      <x:c r="A2643" s="312" t="n">
        <x:f>ROW()-ROW($A$2)+1</x:f>
        <x:v>2642</x:v>
      </x:c>
      <x:c r="B2643" s="312" t="s">
        <x:v>38</x:v>
      </x:c>
      <x:c r="C2643" s="312" t="s">
        <x:v>34</x:v>
      </x:c>
      <x:c r="D2643" s="317">
        <x:v>4</x:v>
      </x:c>
      <x:c r="E2643" s="321">
        <x:v>1090</x:v>
      </x:c>
      <x:c r="F2643" s="321">
        <x:v>4360</x:v>
      </x:c>
      <x:c r="G2643" s="321">
        <x:v>1160</x:v>
      </x:c>
      <x:c r="H2643" s="312" t="s">
        <x:v>67</x:v>
      </x:c>
      <x:c r="I2643" s="312" t="s">
        <x:v>18</x:v>
      </x:c>
      <x:c r="J2643" s="316" t="n">
        <x:f>IFERROR(G2643/F2643,0)</x:f>
        <x:v>0.26605504587155965</x:v>
      </x:c>
      <x:c r="K2643" s="312" t="str">
        <x:f>IF(B2643="Bilinmeyen Personel","Kontrol","OK")</x:f>
        <x:v>OK</x:v>
      </x:c>
    </x:row>
    <x:row r="2644" hidden="1">
      <x:c r="A2644" s="312" t="n">
        <x:f>ROW()-ROW($A$2)+1</x:f>
        <x:v>2643</x:v>
      </x:c>
      <x:c r="B2644" s="312" t="s">
        <x:v>48</x:v>
      </x:c>
      <x:c r="C2644" s="312" t="s">
        <x:v>33</x:v>
      </x:c>
      <x:c r="D2644" s="317">
        <x:v>4</x:v>
      </x:c>
      <x:c r="E2644" s="321">
        <x:v>1800</x:v>
      </x:c>
      <x:c r="F2644" s="321">
        <x:v>7200</x:v>
      </x:c>
      <x:c r="G2644" s="321">
        <x:v>4000</x:v>
      </x:c>
      <x:c r="H2644" s="312" t="s">
        <x:v>67</x:v>
      </x:c>
      <x:c r="I2644" s="312" t="s">
        <x:v>31</x:v>
      </x:c>
      <x:c r="J2644" s="316" t="n">
        <x:f>IFERROR(G2644/F2644,0)</x:f>
        <x:v>0.5555555555555556</x:v>
      </x:c>
      <x:c r="K2644" s="312" t="str">
        <x:f>IF(B2644="Bilinmeyen Personel","Kontrol","OK")</x:f>
        <x:v>OK</x:v>
      </x:c>
    </x:row>
    <x:row r="2645" hidden="1">
      <x:c r="A2645" s="312" t="n">
        <x:f>ROW()-ROW($A$2)+1</x:f>
        <x:v>2644</x:v>
      </x:c>
      <x:c r="B2645" s="312" t="s">
        <x:v>35</x:v>
      </x:c>
      <x:c r="C2645" s="312" t="s">
        <x:v>55</x:v>
      </x:c>
      <x:c r="D2645" s="317">
        <x:v>5</x:v>
      </x:c>
      <x:c r="E2645" s="321">
        <x:v>7530</x:v>
      </x:c>
      <x:c r="F2645" s="321">
        <x:v>37650</x:v>
      </x:c>
      <x:c r="G2645" s="321">
        <x:v>7650</x:v>
      </x:c>
      <x:c r="H2645" s="312" t="s">
        <x:v>67</x:v>
      </x:c>
      <x:c r="I2645" s="312" t="s">
        <x:v>31</x:v>
      </x:c>
      <x:c r="J2645" s="316" t="n">
        <x:f>IFERROR(G2645/F2645,0)</x:f>
        <x:v>0.20318725099601595</x:v>
      </x:c>
      <x:c r="K2645" s="312" t="str">
        <x:f>IF(B2645="Bilinmeyen Personel","Kontrol","OK")</x:f>
        <x:v>OK</x:v>
      </x:c>
    </x:row>
    <x:row r="2646" hidden="1">
      <x:c r="A2646" s="312" t="n">
        <x:f>ROW()-ROW($A$2)+1</x:f>
        <x:v>2645</x:v>
      </x:c>
      <x:c r="B2646" s="312" t="s">
        <x:v>32</x:v>
      </x:c>
      <x:c r="C2646" s="312" t="s">
        <x:v>27</x:v>
      </x:c>
      <x:c r="D2646" s="317">
        <x:v>2</x:v>
      </x:c>
      <x:c r="E2646" s="321">
        <x:v>1100</x:v>
      </x:c>
      <x:c r="F2646" s="321">
        <x:v>2200</x:v>
      </x:c>
      <x:c r="G2646" s="321">
        <x:v>600</x:v>
      </x:c>
      <x:c r="H2646" s="312" t="s">
        <x:v>67</x:v>
      </x:c>
      <x:c r="I2646" s="312" t="s">
        <x:v>41</x:v>
      </x:c>
      <x:c r="J2646" s="316" t="n">
        <x:f>IFERROR(G2646/F2646,0)</x:f>
        <x:v>0.2727272727272727</x:v>
      </x:c>
      <x:c r="K2646" s="312" t="str">
        <x:f>IF(B2646="Bilinmeyen Personel","Kontrol","OK")</x:f>
        <x:v>OK</x:v>
      </x:c>
    </x:row>
    <x:row r="2647" hidden="1">
      <x:c r="A2647" s="312" t="n">
        <x:f>ROW()-ROW($A$2)+1</x:f>
        <x:v>2646</x:v>
      </x:c>
      <x:c r="B2647" s="312" t="s">
        <x:v>40</x:v>
      </x:c>
      <x:c r="C2647" s="312" t="s">
        <x:v>20</x:v>
      </x:c>
      <x:c r="D2647" s="317">
        <x:v>2</x:v>
      </x:c>
      <x:c r="E2647" s="321">
        <x:v>1350</x:v>
      </x:c>
      <x:c r="F2647" s="321">
        <x:v>2700</x:v>
      </x:c>
      <x:c r="G2647" s="321">
        <x:v>1100</x:v>
      </x:c>
      <x:c r="H2647" s="312" t="s">
        <x:v>67</x:v>
      </x:c>
      <x:c r="I2647" s="312" t="s">
        <x:v>41</x:v>
      </x:c>
      <x:c r="J2647" s="316" t="n">
        <x:f>IFERROR(G2647/F2647,0)</x:f>
        <x:v>0.4074074074074074</x:v>
      </x:c>
      <x:c r="K2647" s="312" t="str">
        <x:f>IF(B2647="Bilinmeyen Personel","Kontrol","OK")</x:f>
        <x:v>OK</x:v>
      </x:c>
    </x:row>
    <x:row r="2648" hidden="1">
      <x:c r="A2648" s="312" t="n">
        <x:f>ROW()-ROW($A$2)+1</x:f>
        <x:v>2647</x:v>
      </x:c>
      <x:c r="B2648" s="312" t="s">
        <x:v>38</x:v>
      </x:c>
      <x:c r="C2648" s="312" t="s">
        <x:v>20</x:v>
      </x:c>
      <x:c r="D2648" s="317">
        <x:v>2</x:v>
      </x:c>
      <x:c r="E2648" s="321">
        <x:v>1350</x:v>
      </x:c>
      <x:c r="F2648" s="321">
        <x:v>2700</x:v>
      </x:c>
      <x:c r="G2648" s="321">
        <x:v>1100</x:v>
      </x:c>
      <x:c r="H2648" s="312" t="s">
        <x:v>67</x:v>
      </x:c>
      <x:c r="I2648" s="312" t="s">
        <x:v>28</x:v>
      </x:c>
      <x:c r="J2648" s="316" t="n">
        <x:f>IFERROR(G2648/F2648,0)</x:f>
        <x:v>0.4074074074074074</x:v>
      </x:c>
      <x:c r="K2648" s="312" t="str">
        <x:f>IF(B2648="Bilinmeyen Personel","Kontrol","OK")</x:f>
        <x:v>OK</x:v>
      </x:c>
    </x:row>
    <x:row r="2649" hidden="1">
      <x:c r="A2649" s="312" t="n">
        <x:f>ROW()-ROW($A$2)+1</x:f>
        <x:v>2648</x:v>
      </x:c>
      <x:c r="B2649" s="312" t="s">
        <x:v>35</x:v>
      </x:c>
      <x:c r="C2649" s="312" t="s">
        <x:v>34</x:v>
      </x:c>
      <x:c r="D2649" s="317">
        <x:v>2</x:v>
      </x:c>
      <x:c r="E2649" s="321">
        <x:v>1090</x:v>
      </x:c>
      <x:c r="F2649" s="321">
        <x:v>2180</x:v>
      </x:c>
      <x:c r="G2649" s="321">
        <x:v>580</x:v>
      </x:c>
      <x:c r="H2649" s="312" t="s">
        <x:v>67</x:v>
      </x:c>
      <x:c r="I2649" s="312" t="s">
        <x:v>41</x:v>
      </x:c>
      <x:c r="J2649" s="316" t="n">
        <x:f>IFERROR(G2649/F2649,0)</x:f>
        <x:v>0.26605504587155965</x:v>
      </x:c>
      <x:c r="K2649" s="312" t="str">
        <x:f>IF(B2649="Bilinmeyen Personel","Kontrol","OK")</x:f>
        <x:v>OK</x:v>
      </x:c>
    </x:row>
    <x:row r="2650" hidden="1">
      <x:c r="A2650" s="312" t="n">
        <x:f>ROW()-ROW($A$2)+1</x:f>
        <x:v>2649</x:v>
      </x:c>
      <x:c r="B2650" s="312" t="s">
        <x:v>35</x:v>
      </x:c>
      <x:c r="C2650" s="312" t="s">
        <x:v>45</x:v>
      </x:c>
      <x:c r="D2650" s="317">
        <x:v>3</x:v>
      </x:c>
      <x:c r="E2650" s="321">
        <x:v>4200</x:v>
      </x:c>
      <x:c r="F2650" s="321">
        <x:v>12600</x:v>
      </x:c>
      <x:c r="G2650" s="321">
        <x:v>3600</x:v>
      </x:c>
      <x:c r="H2650" s="312" t="s">
        <x:v>67</x:v>
      </x:c>
      <x:c r="I2650" s="312" t="s">
        <x:v>21</x:v>
      </x:c>
      <x:c r="J2650" s="316" t="n">
        <x:f>IFERROR(G2650/F2650,0)</x:f>
        <x:v>0.2857142857142857</x:v>
      </x:c>
      <x:c r="K2650" s="312" t="str">
        <x:f>IF(B2650="Bilinmeyen Personel","Kontrol","OK")</x:f>
        <x:v>OK</x:v>
      </x:c>
    </x:row>
    <x:row r="2651" hidden="1">
      <x:c r="A2651" s="312" t="n">
        <x:f>ROW()-ROW($A$2)+1</x:f>
        <x:v>2650</x:v>
      </x:c>
      <x:c r="B2651" s="312" t="s">
        <x:v>40</x:v>
      </x:c>
      <x:c r="C2651" s="312" t="s">
        <x:v>33</x:v>
      </x:c>
      <x:c r="D2651" s="317">
        <x:v>5</x:v>
      </x:c>
      <x:c r="E2651" s="321">
        <x:v>1800</x:v>
      </x:c>
      <x:c r="F2651" s="321">
        <x:v>9000</x:v>
      </x:c>
      <x:c r="G2651" s="321">
        <x:v>5000</x:v>
      </x:c>
      <x:c r="H2651" s="312" t="s">
        <x:v>67</x:v>
      </x:c>
      <x:c r="I2651" s="312" t="s">
        <x:v>12</x:v>
      </x:c>
      <x:c r="J2651" s="316" t="n">
        <x:f>IFERROR(G2651/F2651,0)</x:f>
        <x:v>0.5555555555555556</x:v>
      </x:c>
      <x:c r="K2651" s="312" t="str">
        <x:f>IF(B2651="Bilinmeyen Personel","Kontrol","OK")</x:f>
        <x:v>OK</x:v>
      </x:c>
    </x:row>
    <x:row r="2652" hidden="1">
      <x:c r="A2652" s="312" t="n">
        <x:f>ROW()-ROW($A$2)+1</x:f>
        <x:v>2651</x:v>
      </x:c>
      <x:c r="B2652" s="312" t="s">
        <x:v>50</x:v>
      </x:c>
      <x:c r="C2652" s="312" t="s">
        <x:v>34</x:v>
      </x:c>
      <x:c r="D2652" s="317">
        <x:v>5</x:v>
      </x:c>
      <x:c r="E2652" s="321">
        <x:v>1090</x:v>
      </x:c>
      <x:c r="F2652" s="321">
        <x:v>5450</x:v>
      </x:c>
      <x:c r="G2652" s="321">
        <x:v>1450</x:v>
      </x:c>
      <x:c r="H2652" s="312" t="s">
        <x:v>67</x:v>
      </x:c>
      <x:c r="I2652" s="312" t="s">
        <x:v>12</x:v>
      </x:c>
      <x:c r="J2652" s="316" t="n">
        <x:f>IFERROR(G2652/F2652,0)</x:f>
        <x:v>0.26605504587155965</x:v>
      </x:c>
      <x:c r="K2652" s="312" t="str">
        <x:f>IF(B2652="Bilinmeyen Personel","Kontrol","OK")</x:f>
        <x:v>OK</x:v>
      </x:c>
    </x:row>
    <x:row r="2653" hidden="1">
      <x:c r="A2653" s="312" t="n">
        <x:f>ROW()-ROW($A$2)+1</x:f>
        <x:v>2652</x:v>
      </x:c>
      <x:c r="B2653" s="312" t="s">
        <x:v>9</x:v>
      </x:c>
      <x:c r="C2653" s="312" t="s">
        <x:v>24</x:v>
      </x:c>
      <x:c r="D2653" s="317">
        <x:v>5</x:v>
      </x:c>
      <x:c r="E2653" s="321">
        <x:v>7600</x:v>
      </x:c>
      <x:c r="F2653" s="321">
        <x:v>38000</x:v>
      </x:c>
      <x:c r="G2653" s="321">
        <x:v>8000</x:v>
      </x:c>
      <x:c r="H2653" s="312" t="s">
        <x:v>67</x:v>
      </x:c>
      <x:c r="I2653" s="312" t="s">
        <x:v>54</x:v>
      </x:c>
      <x:c r="J2653" s="316" t="n">
        <x:f>IFERROR(G2653/F2653,0)</x:f>
        <x:v>0.21052631578947367</x:v>
      </x:c>
      <x:c r="K2653" s="312" t="str">
        <x:f>IF(B2653="Bilinmeyen Personel","Kontrol","OK")</x:f>
        <x:v>OK</x:v>
      </x:c>
    </x:row>
    <x:row r="2654" hidden="1">
      <x:c r="A2654" s="312" t="n">
        <x:f>ROW()-ROW($A$2)+1</x:f>
        <x:v>2653</x:v>
      </x:c>
      <x:c r="B2654" s="312" t="s">
        <x:v>38</x:v>
      </x:c>
      <x:c r="C2654" s="312" t="s">
        <x:v>24</x:v>
      </x:c>
      <x:c r="D2654" s="317">
        <x:v>2</x:v>
      </x:c>
      <x:c r="E2654" s="321">
        <x:v>7600</x:v>
      </x:c>
      <x:c r="F2654" s="321">
        <x:v>15200</x:v>
      </x:c>
      <x:c r="G2654" s="321">
        <x:v>3200</x:v>
      </x:c>
      <x:c r="H2654" s="312" t="s">
        <x:v>67</x:v>
      </x:c>
      <x:c r="I2654" s="312" t="s">
        <x:v>18</x:v>
      </x:c>
      <x:c r="J2654" s="316" t="n">
        <x:f>IFERROR(G2654/F2654,0)</x:f>
        <x:v>0.21052631578947367</x:v>
      </x:c>
      <x:c r="K2654" s="312" t="str">
        <x:f>IF(B2654="Bilinmeyen Personel","Kontrol","OK")</x:f>
        <x:v>OK</x:v>
      </x:c>
    </x:row>
    <x:row r="2655" hidden="1">
      <x:c r="A2655" s="312" t="n">
        <x:f>ROW()-ROW($A$2)+1</x:f>
        <x:v>2654</x:v>
      </x:c>
      <x:c r="B2655" s="312" t="s">
        <x:v>16</x:v>
      </x:c>
      <x:c r="C2655" s="312" t="s">
        <x:v>58</x:v>
      </x:c>
      <x:c r="D2655" s="317">
        <x:v>4</x:v>
      </x:c>
      <x:c r="E2655" s="321">
        <x:v>3700</x:v>
      </x:c>
      <x:c r="F2655" s="321">
        <x:v>14800</x:v>
      </x:c>
      <x:c r="G2655" s="321">
        <x:v>2800</x:v>
      </x:c>
      <x:c r="H2655" s="312" t="s">
        <x:v>67</x:v>
      </x:c>
      <x:c r="I2655" s="312" t="s">
        <x:v>25</x:v>
      </x:c>
      <x:c r="J2655" s="316" t="n">
        <x:f>IFERROR(G2655/F2655,0)</x:f>
        <x:v>0.1891891891891892</x:v>
      </x:c>
      <x:c r="K2655" s="312" t="str">
        <x:f>IF(B2655="Bilinmeyen Personel","Kontrol","OK")</x:f>
        <x:v>OK</x:v>
      </x:c>
    </x:row>
    <x:row r="2656" hidden="1">
      <x:c r="A2656" s="312" t="n">
        <x:f>ROW()-ROW($A$2)+1</x:f>
        <x:v>2655</x:v>
      </x:c>
      <x:c r="B2656" s="312" t="s">
        <x:v>23</x:v>
      </x:c>
      <x:c r="C2656" s="312" t="s">
        <x:v>26</x:v>
      </x:c>
      <x:c r="D2656" s="317">
        <x:v>2</x:v>
      </x:c>
      <x:c r="E2656" s="321">
        <x:v>7250</x:v>
      </x:c>
      <x:c r="F2656" s="321">
        <x:v>14500</x:v>
      </x:c>
      <x:c r="G2656" s="321">
        <x:v>4500</x:v>
      </x:c>
      <x:c r="H2656" s="312" t="s">
        <x:v>67</x:v>
      </x:c>
      <x:c r="I2656" s="312" t="s">
        <x:v>54</x:v>
      </x:c>
      <x:c r="J2656" s="316" t="n">
        <x:f>IFERROR(G2656/F2656,0)</x:f>
        <x:v>0.3103448275862069</x:v>
      </x:c>
      <x:c r="K2656" s="312" t="str">
        <x:f>IF(B2656="Bilinmeyen Personel","Kontrol","OK")</x:f>
        <x:v>OK</x:v>
      </x:c>
    </x:row>
    <x:row r="2657" hidden="1">
      <x:c r="A2657" s="312" t="n">
        <x:f>ROW()-ROW($A$2)+1</x:f>
        <x:v>2656</x:v>
      </x:c>
      <x:c r="B2657" s="312" t="s">
        <x:v>13</x:v>
      </x:c>
      <x:c r="C2657" s="312" t="s">
        <x:v>24</x:v>
      </x:c>
      <x:c r="D2657" s="317">
        <x:v>4</x:v>
      </x:c>
      <x:c r="E2657" s="321">
        <x:v>7600</x:v>
      </x:c>
      <x:c r="F2657" s="321">
        <x:v>30400</x:v>
      </x:c>
      <x:c r="G2657" s="321">
        <x:v>6400</x:v>
      </x:c>
      <x:c r="H2657" s="312" t="s">
        <x:v>67</x:v>
      </x:c>
      <x:c r="I2657" s="312" t="s">
        <x:v>46</x:v>
      </x:c>
      <x:c r="J2657" s="316" t="n">
        <x:f>IFERROR(G2657/F2657,0)</x:f>
        <x:v>0.21052631578947367</x:v>
      </x:c>
      <x:c r="K2657" s="312" t="str">
        <x:f>IF(B2657="Bilinmeyen Personel","Kontrol","OK")</x:f>
        <x:v>OK</x:v>
      </x:c>
    </x:row>
    <x:row r="2658" hidden="1">
      <x:c r="A2658" s="312" t="n">
        <x:f>ROW()-ROW($A$2)+1</x:f>
        <x:v>2657</x:v>
      </x:c>
      <x:c r="B2658" s="312" t="s">
        <x:v>48</x:v>
      </x:c>
      <x:c r="C2658" s="312" t="s">
        <x:v>45</x:v>
      </x:c>
      <x:c r="D2658" s="317">
        <x:v>2</x:v>
      </x:c>
      <x:c r="E2658" s="321">
        <x:v>4200</x:v>
      </x:c>
      <x:c r="F2658" s="321">
        <x:v>8400</x:v>
      </x:c>
      <x:c r="G2658" s="321">
        <x:v>2400</x:v>
      </x:c>
      <x:c r="H2658" s="312" t="s">
        <x:v>67</x:v>
      </x:c>
      <x:c r="I2658" s="312" t="s">
        <x:v>21</x:v>
      </x:c>
      <x:c r="J2658" s="316" t="n">
        <x:f>IFERROR(G2658/F2658,0)</x:f>
        <x:v>0.2857142857142857</x:v>
      </x:c>
      <x:c r="K2658" s="312" t="str">
        <x:f>IF(B2658="Bilinmeyen Personel","Kontrol","OK")</x:f>
        <x:v>OK</x:v>
      </x:c>
    </x:row>
    <x:row r="2659" hidden="1">
      <x:c r="A2659" s="312" t="n">
        <x:f>ROW()-ROW($A$2)+1</x:f>
        <x:v>2658</x:v>
      </x:c>
      <x:c r="B2659" s="312" t="s">
        <x:v>32</x:v>
      </x:c>
      <x:c r="C2659" s="312" t="s">
        <x:v>52</x:v>
      </x:c>
      <x:c r="D2659" s="317">
        <x:v>5</x:v>
      </x:c>
      <x:c r="E2659" s="321">
        <x:v>1250</x:v>
      </x:c>
      <x:c r="F2659" s="321">
        <x:v>6250</x:v>
      </x:c>
      <x:c r="G2659" s="321">
        <x:v>2250</x:v>
      </x:c>
      <x:c r="H2659" s="312" t="s">
        <x:v>67</x:v>
      </x:c>
      <x:c r="I2659" s="312" t="s">
        <x:v>37</x:v>
      </x:c>
      <x:c r="J2659" s="316" t="n">
        <x:f>IFERROR(G2659/F2659,0)</x:f>
        <x:v>0.36</x:v>
      </x:c>
      <x:c r="K2659" s="312" t="str">
        <x:f>IF(B2659="Bilinmeyen Personel","Kontrol","OK")</x:f>
        <x:v>OK</x:v>
      </x:c>
    </x:row>
    <x:row r="2660" hidden="1">
      <x:c r="A2660" s="312" t="n">
        <x:f>ROW()-ROW($A$2)+1</x:f>
        <x:v>2659</x:v>
      </x:c>
      <x:c r="B2660" s="312" t="s">
        <x:v>38</x:v>
      </x:c>
      <x:c r="C2660" s="312" t="s">
        <x:v>34</x:v>
      </x:c>
      <x:c r="D2660" s="317">
        <x:v>5</x:v>
      </x:c>
      <x:c r="E2660" s="321">
        <x:v>1090</x:v>
      </x:c>
      <x:c r="F2660" s="321">
        <x:v>5450</x:v>
      </x:c>
      <x:c r="G2660" s="321">
        <x:v>1450</x:v>
      </x:c>
      <x:c r="H2660" s="312" t="s">
        <x:v>67</x:v>
      </x:c>
      <x:c r="I2660" s="312" t="s">
        <x:v>37</x:v>
      </x:c>
      <x:c r="J2660" s="316" t="n">
        <x:f>IFERROR(G2660/F2660,0)</x:f>
        <x:v>0.26605504587155965</x:v>
      </x:c>
      <x:c r="K2660" s="312" t="str">
        <x:f>IF(B2660="Bilinmeyen Personel","Kontrol","OK")</x:f>
        <x:v>OK</x:v>
      </x:c>
    </x:row>
    <x:row r="2661" hidden="1">
      <x:c r="A2661" s="312" t="n">
        <x:f>ROW()-ROW($A$2)+1</x:f>
        <x:v>2660</x:v>
      </x:c>
      <x:c r="B2661" s="312" t="s">
        <x:v>19</x:v>
      </x:c>
      <x:c r="C2661" s="312" t="s">
        <x:v>22</x:v>
      </x:c>
      <x:c r="D2661" s="317">
        <x:v>3</x:v>
      </x:c>
      <x:c r="E2661" s="321">
        <x:v>2180</x:v>
      </x:c>
      <x:c r="F2661" s="321">
        <x:v>6540</x:v>
      </x:c>
      <x:c r="G2661" s="321">
        <x:v>2040</x:v>
      </x:c>
      <x:c r="H2661" s="312" t="s">
        <x:v>67</x:v>
      </x:c>
      <x:c r="I2661" s="312" t="s">
        <x:v>44</x:v>
      </x:c>
      <x:c r="J2661" s="316" t="n">
        <x:f>IFERROR(G2661/F2661,0)</x:f>
        <x:v>0.3119266055045872</x:v>
      </x:c>
      <x:c r="K2661" s="312" t="str">
        <x:f>IF(B2661="Bilinmeyen Personel","Kontrol","OK")</x:f>
        <x:v>OK</x:v>
      </x:c>
    </x:row>
    <x:row r="2662" hidden="1">
      <x:c r="A2662" s="312" t="n">
        <x:f>ROW()-ROW($A$2)+1</x:f>
        <x:v>2661</x:v>
      </x:c>
      <x:c r="B2662" s="312" t="s">
        <x:v>50</x:v>
      </x:c>
      <x:c r="C2662" s="312" t="s">
        <x:v>58</x:v>
      </x:c>
      <x:c r="D2662" s="317">
        <x:v>5</x:v>
      </x:c>
      <x:c r="E2662" s="321">
        <x:v>3700</x:v>
      </x:c>
      <x:c r="F2662" s="321">
        <x:v>18500</x:v>
      </x:c>
      <x:c r="G2662" s="321">
        <x:v>3500</x:v>
      </x:c>
      <x:c r="H2662" s="312" t="s">
        <x:v>67</x:v>
      </x:c>
      <x:c r="I2662" s="312" t="s">
        <x:v>31</x:v>
      </x:c>
      <x:c r="J2662" s="316" t="n">
        <x:f>IFERROR(G2662/F2662,0)</x:f>
        <x:v>0.1891891891891892</x:v>
      </x:c>
      <x:c r="K2662" s="312" t="str">
        <x:f>IF(B2662="Bilinmeyen Personel","Kontrol","OK")</x:f>
        <x:v>OK</x:v>
      </x:c>
    </x:row>
    <x:row r="2663" hidden="1">
      <x:c r="A2663" s="312" t="n">
        <x:f>ROW()-ROW($A$2)+1</x:f>
        <x:v>2662</x:v>
      </x:c>
      <x:c r="B2663" s="312" t="s">
        <x:v>40</x:v>
      </x:c>
      <x:c r="C2663" s="312" t="s">
        <x:v>10</x:v>
      </x:c>
      <x:c r="D2663" s="317">
        <x:v>3</x:v>
      </x:c>
      <x:c r="E2663" s="321">
        <x:v>6000</x:v>
      </x:c>
      <x:c r="F2663" s="321">
        <x:v>18000</x:v>
      </x:c>
      <x:c r="G2663" s="321">
        <x:v>6000</x:v>
      </x:c>
      <x:c r="H2663" s="312" t="s">
        <x:v>67</x:v>
      </x:c>
      <x:c r="I2663" s="312" t="s">
        <x:v>41</x:v>
      </x:c>
      <x:c r="J2663" s="316" t="n">
        <x:f>IFERROR(G2663/F2663,0)</x:f>
        <x:v>0.3333333333333333</x:v>
      </x:c>
      <x:c r="K2663" s="312" t="str">
        <x:f>IF(B2663="Bilinmeyen Personel","Kontrol","OK")</x:f>
        <x:v>OK</x:v>
      </x:c>
    </x:row>
    <x:row r="2664" hidden="1">
      <x:c r="A2664" s="312" t="n">
        <x:f>ROW()-ROW($A$2)+1</x:f>
        <x:v>2663</x:v>
      </x:c>
      <x:c r="B2664" s="312" t="s">
        <x:v>48</x:v>
      </x:c>
      <x:c r="C2664" s="312" t="s">
        <x:v>52</x:v>
      </x:c>
      <x:c r="D2664" s="317">
        <x:v>5</x:v>
      </x:c>
      <x:c r="E2664" s="321">
        <x:v>1250</x:v>
      </x:c>
      <x:c r="F2664" s="321">
        <x:v>6250</x:v>
      </x:c>
      <x:c r="G2664" s="321">
        <x:v>2250</x:v>
      </x:c>
      <x:c r="H2664" s="312" t="s">
        <x:v>67</x:v>
      </x:c>
      <x:c r="I2664" s="312" t="s">
        <x:v>41</x:v>
      </x:c>
      <x:c r="J2664" s="316" t="n">
        <x:f>IFERROR(G2664/F2664,0)</x:f>
        <x:v>0.36</x:v>
      </x:c>
      <x:c r="K2664" s="312" t="str">
        <x:f>IF(B2664="Bilinmeyen Personel","Kontrol","OK")</x:f>
        <x:v>OK</x:v>
      </x:c>
    </x:row>
    <x:row r="2665" hidden="1">
      <x:c r="A2665" s="312" t="n">
        <x:f>ROW()-ROW($A$2)+1</x:f>
        <x:v>2664</x:v>
      </x:c>
      <x:c r="B2665" s="312" t="s">
        <x:v>50</x:v>
      </x:c>
      <x:c r="C2665" s="312" t="s">
        <x:v>24</x:v>
      </x:c>
      <x:c r="D2665" s="317">
        <x:v>3</x:v>
      </x:c>
      <x:c r="E2665" s="321">
        <x:v>7600</x:v>
      </x:c>
      <x:c r="F2665" s="321">
        <x:v>22800</x:v>
      </x:c>
      <x:c r="G2665" s="321">
        <x:v>4800</x:v>
      </x:c>
      <x:c r="H2665" s="312" t="s">
        <x:v>67</x:v>
      </x:c>
      <x:c r="I2665" s="312" t="s">
        <x:v>41</x:v>
      </x:c>
      <x:c r="J2665" s="316" t="n">
        <x:f>IFERROR(G2665/F2665,0)</x:f>
        <x:v>0.21052631578947367</x:v>
      </x:c>
      <x:c r="K2665" s="312" t="str">
        <x:f>IF(B2665="Bilinmeyen Personel","Kontrol","OK")</x:f>
        <x:v>OK</x:v>
      </x:c>
    </x:row>
    <x:row r="2666" hidden="1">
      <x:c r="A2666" s="312" t="n">
        <x:f>ROW()-ROW($A$2)+1</x:f>
        <x:v>2665</x:v>
      </x:c>
      <x:c r="B2666" s="312" t="s">
        <x:v>9</x:v>
      </x:c>
      <x:c r="C2666" s="312" t="s">
        <x:v>14</x:v>
      </x:c>
      <x:c r="D2666" s="317">
        <x:v>2</x:v>
      </x:c>
      <x:c r="E2666" s="321">
        <x:v>1400</x:v>
      </x:c>
      <x:c r="F2666" s="321">
        <x:v>2800</x:v>
      </x:c>
      <x:c r="G2666" s="321">
        <x:v>1200</x:v>
      </x:c>
      <x:c r="H2666" s="312" t="s">
        <x:v>67</x:v>
      </x:c>
      <x:c r="I2666" s="312" t="s">
        <x:v>31</x:v>
      </x:c>
      <x:c r="J2666" s="316" t="n">
        <x:f>IFERROR(G2666/F2666,0)</x:f>
        <x:v>0.42857142857142855</x:v>
      </x:c>
      <x:c r="K2666" s="312" t="str">
        <x:f>IF(B2666="Bilinmeyen Personel","Kontrol","OK")</x:f>
        <x:v>OK</x:v>
      </x:c>
    </x:row>
    <x:row r="2667" hidden="1">
      <x:c r="A2667" s="312" t="n">
        <x:f>ROW()-ROW($A$2)+1</x:f>
        <x:v>2666</x:v>
      </x:c>
      <x:c r="B2667" s="312" t="s">
        <x:v>23</x:v>
      </x:c>
      <x:c r="C2667" s="312" t="s">
        <x:v>22</x:v>
      </x:c>
      <x:c r="D2667" s="317">
        <x:v>3</x:v>
      </x:c>
      <x:c r="E2667" s="321">
        <x:v>2180</x:v>
      </x:c>
      <x:c r="F2667" s="321">
        <x:v>6540</x:v>
      </x:c>
      <x:c r="G2667" s="321">
        <x:v>2040</x:v>
      </x:c>
      <x:c r="H2667" s="312" t="s">
        <x:v>67</x:v>
      </x:c>
      <x:c r="I2667" s="312" t="s">
        <x:v>37</x:v>
      </x:c>
      <x:c r="J2667" s="316" t="n">
        <x:f>IFERROR(G2667/F2667,0)</x:f>
        <x:v>0.3119266055045872</x:v>
      </x:c>
      <x:c r="K2667" s="312" t="str">
        <x:f>IF(B2667="Bilinmeyen Personel","Kontrol","OK")</x:f>
        <x:v>OK</x:v>
      </x:c>
    </x:row>
    <x:row r="2668" hidden="1">
      <x:c r="A2668" s="312" t="n">
        <x:f>ROW()-ROW($A$2)+1</x:f>
        <x:v>2667</x:v>
      </x:c>
      <x:c r="B2668" s="312" t="s">
        <x:v>9</x:v>
      </x:c>
      <x:c r="C2668" s="312" t="s">
        <x:v>33</x:v>
      </x:c>
      <x:c r="D2668" s="317">
        <x:v>4</x:v>
      </x:c>
      <x:c r="E2668" s="321">
        <x:v>1800</x:v>
      </x:c>
      <x:c r="F2668" s="321">
        <x:v>7200</x:v>
      </x:c>
      <x:c r="G2668" s="321">
        <x:v>4000</x:v>
      </x:c>
      <x:c r="H2668" s="312" t="s">
        <x:v>67</x:v>
      </x:c>
      <x:c r="I2668" s="312" t="s">
        <x:v>37</x:v>
      </x:c>
      <x:c r="J2668" s="316" t="n">
        <x:f>IFERROR(G2668/F2668,0)</x:f>
        <x:v>0.5555555555555556</x:v>
      </x:c>
      <x:c r="K2668" s="312" t="str">
        <x:f>IF(B2668="Bilinmeyen Personel","Kontrol","OK")</x:f>
        <x:v>OK</x:v>
      </x:c>
    </x:row>
    <x:row r="2669" hidden="1">
      <x:c r="A2669" s="312" t="n">
        <x:f>ROW()-ROW($A$2)+1</x:f>
        <x:v>2668</x:v>
      </x:c>
      <x:c r="B2669" s="312" t="s">
        <x:v>16</x:v>
      </x:c>
      <x:c r="C2669" s="312" t="s">
        <x:v>57</x:v>
      </x:c>
      <x:c r="D2669" s="317">
        <x:v>3</x:v>
      </x:c>
      <x:c r="E2669" s="321">
        <x:v>1500</x:v>
      </x:c>
      <x:c r="F2669" s="321">
        <x:v>4500</x:v>
      </x:c>
      <x:c r="G2669" s="321">
        <x:v>2100</x:v>
      </x:c>
      <x:c r="H2669" s="312" t="s">
        <x:v>67</x:v>
      </x:c>
      <x:c r="I2669" s="312" t="s">
        <x:v>42</x:v>
      </x:c>
      <x:c r="J2669" s="316" t="n">
        <x:f>IFERROR(G2669/F2669,0)</x:f>
        <x:v>0.4666666666666667</x:v>
      </x:c>
      <x:c r="K2669" s="312" t="str">
        <x:f>IF(B2669="Bilinmeyen Personel","Kontrol","OK")</x:f>
        <x:v>OK</x:v>
      </x:c>
    </x:row>
    <x:row r="2670" hidden="1">
      <x:c r="A2670" s="312" t="n">
        <x:f>ROW()-ROW($A$2)+1</x:f>
        <x:v>2669</x:v>
      </x:c>
      <x:c r="B2670" s="312" t="s">
        <x:v>32</x:v>
      </x:c>
      <x:c r="C2670" s="312" t="s">
        <x:v>17</x:v>
      </x:c>
      <x:c r="D2670" s="317">
        <x:v>2</x:v>
      </x:c>
      <x:c r="E2670" s="321">
        <x:v>8450</x:v>
      </x:c>
      <x:c r="F2670" s="321">
        <x:v>16900</x:v>
      </x:c>
      <x:c r="G2670" s="321">
        <x:v>4900</x:v>
      </x:c>
      <x:c r="H2670" s="312" t="s">
        <x:v>67</x:v>
      </x:c>
      <x:c r="I2670" s="312" t="s">
        <x:v>21</x:v>
      </x:c>
      <x:c r="J2670" s="316" t="n">
        <x:f>IFERROR(G2670/F2670,0)</x:f>
        <x:v>0.28994082840236685</x:v>
      </x:c>
      <x:c r="K2670" s="312" t="str">
        <x:f>IF(B2670="Bilinmeyen Personel","Kontrol","OK")</x:f>
        <x:v>OK</x:v>
      </x:c>
    </x:row>
    <x:row r="2671" hidden="1">
      <x:c r="A2671" s="312" t="n">
        <x:f>ROW()-ROW($A$2)+1</x:f>
        <x:v>2670</x:v>
      </x:c>
      <x:c r="B2671" s="312" t="s">
        <x:v>40</x:v>
      </x:c>
      <x:c r="C2671" s="312" t="s">
        <x:v>57</x:v>
      </x:c>
      <x:c r="D2671" s="317">
        <x:v>3</x:v>
      </x:c>
      <x:c r="E2671" s="321">
        <x:v>1500</x:v>
      </x:c>
      <x:c r="F2671" s="321">
        <x:v>4500</x:v>
      </x:c>
      <x:c r="G2671" s="321">
        <x:v>2100</x:v>
      </x:c>
      <x:c r="H2671" s="312" t="s">
        <x:v>67</x:v>
      </x:c>
      <x:c r="I2671" s="312" t="s">
        <x:v>31</x:v>
      </x:c>
      <x:c r="J2671" s="316" t="n">
        <x:f>IFERROR(G2671/F2671,0)</x:f>
        <x:v>0.4666666666666667</x:v>
      </x:c>
      <x:c r="K2671" s="312" t="str">
        <x:f>IF(B2671="Bilinmeyen Personel","Kontrol","OK")</x:f>
        <x:v>OK</x:v>
      </x:c>
    </x:row>
    <x:row r="2672" hidden="1">
      <x:c r="A2672" s="312" t="n">
        <x:f>ROW()-ROW($A$2)+1</x:f>
        <x:v>2671</x:v>
      </x:c>
      <x:c r="B2672" s="312" t="s">
        <x:v>29</x:v>
      </x:c>
      <x:c r="C2672" s="312" t="s">
        <x:v>10</x:v>
      </x:c>
      <x:c r="D2672" s="317">
        <x:v>2</x:v>
      </x:c>
      <x:c r="E2672" s="321">
        <x:v>6000</x:v>
      </x:c>
      <x:c r="F2672" s="321">
        <x:v>12000</x:v>
      </x:c>
      <x:c r="G2672" s="321">
        <x:v>4000</x:v>
      </x:c>
      <x:c r="H2672" s="312" t="s">
        <x:v>67</x:v>
      </x:c>
      <x:c r="I2672" s="312" t="s">
        <x:v>31</x:v>
      </x:c>
      <x:c r="J2672" s="316" t="n">
        <x:f>IFERROR(G2672/F2672,0)</x:f>
        <x:v>0.3333333333333333</x:v>
      </x:c>
      <x:c r="K2672" s="312" t="str">
        <x:f>IF(B2672="Bilinmeyen Personel","Kontrol","OK")</x:f>
        <x:v>OK</x:v>
      </x:c>
    </x:row>
    <x:row r="2673" hidden="1">
      <x:c r="A2673" s="312" t="n">
        <x:f>ROW()-ROW($A$2)+1</x:f>
        <x:v>2672</x:v>
      </x:c>
      <x:c r="B2673" s="312" t="s">
        <x:v>50</x:v>
      </x:c>
      <x:c r="C2673" s="312" t="s">
        <x:v>53</x:v>
      </x:c>
      <x:c r="D2673" s="317">
        <x:v>2</x:v>
      </x:c>
      <x:c r="E2673" s="321">
        <x:v>1200</x:v>
      </x:c>
      <x:c r="F2673" s="321">
        <x:v>2400</x:v>
      </x:c>
      <x:c r="G2673" s="321">
        <x:v>800</x:v>
      </x:c>
      <x:c r="H2673" s="312" t="s">
        <x:v>67</x:v>
      </x:c>
      <x:c r="I2673" s="312" t="s">
        <x:v>28</x:v>
      </x:c>
      <x:c r="J2673" s="316" t="n">
        <x:f>IFERROR(G2673/F2673,0)</x:f>
        <x:v>0.3333333333333333</x:v>
      </x:c>
      <x:c r="K2673" s="312" t="str">
        <x:f>IF(B2673="Bilinmeyen Personel","Kontrol","OK")</x:f>
        <x:v>OK</x:v>
      </x:c>
    </x:row>
    <x:row r="2674" hidden="1">
      <x:c r="A2674" s="312" t="n">
        <x:f>ROW()-ROW($A$2)+1</x:f>
        <x:v>2673</x:v>
      </x:c>
      <x:c r="B2674" s="312" t="s">
        <x:v>9</x:v>
      </x:c>
      <x:c r="C2674" s="312" t="s">
        <x:v>45</x:v>
      </x:c>
      <x:c r="D2674" s="317">
        <x:v>4</x:v>
      </x:c>
      <x:c r="E2674" s="321">
        <x:v>4200</x:v>
      </x:c>
      <x:c r="F2674" s="321">
        <x:v>16800</x:v>
      </x:c>
      <x:c r="G2674" s="321">
        <x:v>4800</x:v>
      </x:c>
      <x:c r="H2674" s="312" t="s">
        <x:v>67</x:v>
      </x:c>
      <x:c r="I2674" s="312" t="s">
        <x:v>37</x:v>
      </x:c>
      <x:c r="J2674" s="316" t="n">
        <x:f>IFERROR(G2674/F2674,0)</x:f>
        <x:v>0.2857142857142857</x:v>
      </x:c>
      <x:c r="K2674" s="312" t="str">
        <x:f>IF(B2674="Bilinmeyen Personel","Kontrol","OK")</x:f>
        <x:v>OK</x:v>
      </x:c>
    </x:row>
    <x:row r="2675" hidden="1">
      <x:c r="A2675" s="312" t="n">
        <x:f>ROW()-ROW($A$2)+1</x:f>
        <x:v>2674</x:v>
      </x:c>
      <x:c r="B2675" s="312" t="s">
        <x:v>48</x:v>
      </x:c>
      <x:c r="C2675" s="312" t="s">
        <x:v>24</x:v>
      </x:c>
      <x:c r="D2675" s="317">
        <x:v>4</x:v>
      </x:c>
      <x:c r="E2675" s="321">
        <x:v>7600</x:v>
      </x:c>
      <x:c r="F2675" s="321">
        <x:v>30400</x:v>
      </x:c>
      <x:c r="G2675" s="321">
        <x:v>6400</x:v>
      </x:c>
      <x:c r="H2675" s="312" t="s">
        <x:v>67</x:v>
      </x:c>
      <x:c r="I2675" s="312" t="s">
        <x:v>42</x:v>
      </x:c>
      <x:c r="J2675" s="316" t="n">
        <x:f>IFERROR(G2675/F2675,0)</x:f>
        <x:v>0.21052631578947367</x:v>
      </x:c>
      <x:c r="K2675" s="312" t="str">
        <x:f>IF(B2675="Bilinmeyen Personel","Kontrol","OK")</x:f>
        <x:v>OK</x:v>
      </x:c>
    </x:row>
    <x:row r="2676" hidden="1">
      <x:c r="A2676" s="312" t="n">
        <x:f>ROW()-ROW($A$2)+1</x:f>
        <x:v>2675</x:v>
      </x:c>
      <x:c r="B2676" s="312" t="s">
        <x:v>29</x:v>
      </x:c>
      <x:c r="C2676" s="312" t="s">
        <x:v>26</x:v>
      </x:c>
      <x:c r="D2676" s="317">
        <x:v>5</x:v>
      </x:c>
      <x:c r="E2676" s="321">
        <x:v>7250</x:v>
      </x:c>
      <x:c r="F2676" s="321">
        <x:v>36250</x:v>
      </x:c>
      <x:c r="G2676" s="321">
        <x:v>11250</x:v>
      </x:c>
      <x:c r="H2676" s="312" t="s">
        <x:v>67</x:v>
      </x:c>
      <x:c r="I2676" s="312" t="s">
        <x:v>44</x:v>
      </x:c>
      <x:c r="J2676" s="316" t="n">
        <x:f>IFERROR(G2676/F2676,0)</x:f>
        <x:v>0.3103448275862069</x:v>
      </x:c>
      <x:c r="K2676" s="312" t="str">
        <x:f>IF(B2676="Bilinmeyen Personel","Kontrol","OK")</x:f>
        <x:v>OK</x:v>
      </x:c>
    </x:row>
    <x:row r="2677" hidden="1">
      <x:c r="A2677" s="312" t="n">
        <x:f>ROW()-ROW($A$2)+1</x:f>
        <x:v>2676</x:v>
      </x:c>
      <x:c r="B2677" s="312" t="s">
        <x:v>13</x:v>
      </x:c>
      <x:c r="C2677" s="312" t="s">
        <x:v>55</x:v>
      </x:c>
      <x:c r="D2677" s="317">
        <x:v>4</x:v>
      </x:c>
      <x:c r="E2677" s="321">
        <x:v>7530</x:v>
      </x:c>
      <x:c r="F2677" s="321">
        <x:v>30120</x:v>
      </x:c>
      <x:c r="G2677" s="321">
        <x:v>6120</x:v>
      </x:c>
      <x:c r="H2677" s="312" t="s">
        <x:v>67</x:v>
      </x:c>
      <x:c r="I2677" s="312" t="s">
        <x:v>42</x:v>
      </x:c>
      <x:c r="J2677" s="316" t="n">
        <x:f>IFERROR(G2677/F2677,0)</x:f>
        <x:v>0.20318725099601595</x:v>
      </x:c>
      <x:c r="K2677" s="312" t="str">
        <x:f>IF(B2677="Bilinmeyen Personel","Kontrol","OK")</x:f>
        <x:v>OK</x:v>
      </x:c>
    </x:row>
    <x:row r="2678" hidden="1">
      <x:c r="A2678" s="312" t="n">
        <x:f>ROW()-ROW($A$2)+1</x:f>
        <x:v>2677</x:v>
      </x:c>
      <x:c r="B2678" s="312" t="s">
        <x:v>16</x:v>
      </x:c>
      <x:c r="C2678" s="312" t="s">
        <x:v>26</x:v>
      </x:c>
      <x:c r="D2678" s="317">
        <x:v>3</x:v>
      </x:c>
      <x:c r="E2678" s="321">
        <x:v>7250</x:v>
      </x:c>
      <x:c r="F2678" s="321">
        <x:v>21750</x:v>
      </x:c>
      <x:c r="G2678" s="321">
        <x:v>6750</x:v>
      </x:c>
      <x:c r="H2678" s="312" t="s">
        <x:v>67</x:v>
      </x:c>
      <x:c r="I2678" s="312" t="s">
        <x:v>31</x:v>
      </x:c>
      <x:c r="J2678" s="316" t="n">
        <x:f>IFERROR(G2678/F2678,0)</x:f>
        <x:v>0.3103448275862069</x:v>
      </x:c>
      <x:c r="K2678" s="312" t="str">
        <x:f>IF(B2678="Bilinmeyen Personel","Kontrol","OK")</x:f>
        <x:v>OK</x:v>
      </x:c>
    </x:row>
    <x:row r="2679" hidden="1">
      <x:c r="A2679" s="312" t="n">
        <x:f>ROW()-ROW($A$2)+1</x:f>
        <x:v>2678</x:v>
      </x:c>
      <x:c r="B2679" s="312" t="s">
        <x:v>13</x:v>
      </x:c>
      <x:c r="C2679" s="312" t="s">
        <x:v>10</x:v>
      </x:c>
      <x:c r="D2679" s="317">
        <x:v>2</x:v>
      </x:c>
      <x:c r="E2679" s="321">
        <x:v>6000</x:v>
      </x:c>
      <x:c r="F2679" s="321">
        <x:v>12000</x:v>
      </x:c>
      <x:c r="G2679" s="321">
        <x:v>4000</x:v>
      </x:c>
      <x:c r="H2679" s="312" t="s">
        <x:v>67</x:v>
      </x:c>
      <x:c r="I2679" s="312" t="s">
        <x:v>21</x:v>
      </x:c>
      <x:c r="J2679" s="316" t="n">
        <x:f>IFERROR(G2679/F2679,0)</x:f>
        <x:v>0.3333333333333333</x:v>
      </x:c>
      <x:c r="K2679" s="312" t="str">
        <x:f>IF(B2679="Bilinmeyen Personel","Kontrol","OK")</x:f>
        <x:v>OK</x:v>
      </x:c>
    </x:row>
    <x:row r="2680" hidden="1">
      <x:c r="A2680" s="312" t="n">
        <x:f>ROW()-ROW($A$2)+1</x:f>
        <x:v>2679</x:v>
      </x:c>
      <x:c r="B2680" s="312" t="s">
        <x:v>29</x:v>
      </x:c>
      <x:c r="C2680" s="312" t="s">
        <x:v>53</x:v>
      </x:c>
      <x:c r="D2680" s="317">
        <x:v>3</x:v>
      </x:c>
      <x:c r="E2680" s="321">
        <x:v>1200</x:v>
      </x:c>
      <x:c r="F2680" s="321">
        <x:v>3600</x:v>
      </x:c>
      <x:c r="G2680" s="321">
        <x:v>1200</x:v>
      </x:c>
      <x:c r="H2680" s="312" t="s">
        <x:v>67</x:v>
      </x:c>
      <x:c r="I2680" s="312" t="s">
        <x:v>15</x:v>
      </x:c>
      <x:c r="J2680" s="316" t="n">
        <x:f>IFERROR(G2680/F2680,0)</x:f>
        <x:v>0.3333333333333333</x:v>
      </x:c>
      <x:c r="K2680" s="312" t="str">
        <x:f>IF(B2680="Bilinmeyen Personel","Kontrol","OK")</x:f>
        <x:v>OK</x:v>
      </x:c>
    </x:row>
    <x:row r="2681" hidden="1">
      <x:c r="A2681" s="312" t="n">
        <x:f>ROW()-ROW($A$2)+1</x:f>
        <x:v>2680</x:v>
      </x:c>
      <x:c r="B2681" s="312" t="s">
        <x:v>50</x:v>
      </x:c>
      <x:c r="C2681" s="312" t="s">
        <x:v>56</x:v>
      </x:c>
      <x:c r="D2681" s="317">
        <x:v>2</x:v>
      </x:c>
      <x:c r="E2681" s="321">
        <x:v>5300</x:v>
      </x:c>
      <x:c r="F2681" s="321">
        <x:v>10600</x:v>
      </x:c>
      <x:c r="G2681" s="321">
        <x:v>2600</x:v>
      </x:c>
      <x:c r="H2681" s="312" t="s">
        <x:v>67</x:v>
      </x:c>
      <x:c r="I2681" s="312" t="s">
        <x:v>21</x:v>
      </x:c>
      <x:c r="J2681" s="316" t="n">
        <x:f>IFERROR(G2681/F2681,0)</x:f>
        <x:v>0.24528301886792453</x:v>
      </x:c>
      <x:c r="K2681" s="312" t="str">
        <x:f>IF(B2681="Bilinmeyen Personel","Kontrol","OK")</x:f>
        <x:v>OK</x:v>
      </x:c>
    </x:row>
    <x:row r="2682" hidden="1">
      <x:c r="A2682" s="312" t="n">
        <x:f>ROW()-ROW($A$2)+1</x:f>
        <x:v>2681</x:v>
      </x:c>
      <x:c r="B2682" s="312" t="s">
        <x:v>38</x:v>
      </x:c>
      <x:c r="C2682" s="312" t="s">
        <x:v>17</x:v>
      </x:c>
      <x:c r="D2682" s="317">
        <x:v>2</x:v>
      </x:c>
      <x:c r="E2682" s="321">
        <x:v>8450</x:v>
      </x:c>
      <x:c r="F2682" s="321">
        <x:v>16900</x:v>
      </x:c>
      <x:c r="G2682" s="321">
        <x:v>4900</x:v>
      </x:c>
      <x:c r="H2682" s="312" t="s">
        <x:v>67</x:v>
      </x:c>
      <x:c r="I2682" s="312" t="s">
        <x:v>25</x:v>
      </x:c>
      <x:c r="J2682" s="316" t="n">
        <x:f>IFERROR(G2682/F2682,0)</x:f>
        <x:v>0.28994082840236685</x:v>
      </x:c>
      <x:c r="K2682" s="312" t="str">
        <x:f>IF(B2682="Bilinmeyen Personel","Kontrol","OK")</x:f>
        <x:v>OK</x:v>
      </x:c>
    </x:row>
    <x:row r="2683" hidden="1">
      <x:c r="A2683" s="312" t="n">
        <x:f>ROW()-ROW($A$2)+1</x:f>
        <x:v>2682</x:v>
      </x:c>
      <x:c r="B2683" s="312" t="s">
        <x:v>23</x:v>
      </x:c>
      <x:c r="C2683" s="312" t="s">
        <x:v>20</x:v>
      </x:c>
      <x:c r="D2683" s="317">
        <x:v>5</x:v>
      </x:c>
      <x:c r="E2683" s="321">
        <x:v>1350</x:v>
      </x:c>
      <x:c r="F2683" s="321">
        <x:v>6750</x:v>
      </x:c>
      <x:c r="G2683" s="321">
        <x:v>2750</x:v>
      </x:c>
      <x:c r="H2683" s="312" t="s">
        <x:v>67</x:v>
      </x:c>
      <x:c r="I2683" s="312" t="s">
        <x:v>18</x:v>
      </x:c>
      <x:c r="J2683" s="316" t="n">
        <x:f>IFERROR(G2683/F2683,0)</x:f>
        <x:v>0.4074074074074074</x:v>
      </x:c>
      <x:c r="K2683" s="312" t="str">
        <x:f>IF(B2683="Bilinmeyen Personel","Kontrol","OK")</x:f>
        <x:v>OK</x:v>
      </x:c>
    </x:row>
    <x:row r="2684" hidden="1">
      <x:c r="A2684" s="312" t="n">
        <x:f>ROW()-ROW($A$2)+1</x:f>
        <x:v>2683</x:v>
      </x:c>
      <x:c r="B2684" s="312" t="s">
        <x:v>32</x:v>
      </x:c>
      <x:c r="C2684" s="312" t="s">
        <x:v>34</x:v>
      </x:c>
      <x:c r="D2684" s="317">
        <x:v>5</x:v>
      </x:c>
      <x:c r="E2684" s="321">
        <x:v>1090</x:v>
      </x:c>
      <x:c r="F2684" s="321">
        <x:v>5450</x:v>
      </x:c>
      <x:c r="G2684" s="321">
        <x:v>1450</x:v>
      </x:c>
      <x:c r="H2684" s="312" t="s">
        <x:v>67</x:v>
      </x:c>
      <x:c r="I2684" s="312" t="s">
        <x:v>44</x:v>
      </x:c>
      <x:c r="J2684" s="316" t="n">
        <x:f>IFERROR(G2684/F2684,0)</x:f>
        <x:v>0.26605504587155965</x:v>
      </x:c>
      <x:c r="K2684" s="312" t="str">
        <x:f>IF(B2684="Bilinmeyen Personel","Kontrol","OK")</x:f>
        <x:v>OK</x:v>
      </x:c>
    </x:row>
    <x:row r="2685" hidden="1">
      <x:c r="A2685" s="312" t="n">
        <x:f>ROW()-ROW($A$2)+1</x:f>
        <x:v>2684</x:v>
      </x:c>
      <x:c r="B2685" s="312" t="s">
        <x:v>23</x:v>
      </x:c>
      <x:c r="C2685" s="312" t="s">
        <x:v>22</x:v>
      </x:c>
      <x:c r="D2685" s="317">
        <x:v>5</x:v>
      </x:c>
      <x:c r="E2685" s="321">
        <x:v>2180</x:v>
      </x:c>
      <x:c r="F2685" s="321">
        <x:v>10900</x:v>
      </x:c>
      <x:c r="G2685" s="321">
        <x:v>3400</x:v>
      </x:c>
      <x:c r="H2685" s="312" t="s">
        <x:v>67</x:v>
      </x:c>
      <x:c r="I2685" s="312" t="s">
        <x:v>21</x:v>
      </x:c>
      <x:c r="J2685" s="316" t="n">
        <x:f>IFERROR(G2685/F2685,0)</x:f>
        <x:v>0.3119266055045872</x:v>
      </x:c>
      <x:c r="K2685" s="312" t="str">
        <x:f>IF(B2685="Bilinmeyen Personel","Kontrol","OK")</x:f>
        <x:v>OK</x:v>
      </x:c>
    </x:row>
    <x:row r="2686" hidden="1">
      <x:c r="A2686" s="312" t="n">
        <x:f>ROW()-ROW($A$2)+1</x:f>
        <x:v>2685</x:v>
      </x:c>
      <x:c r="B2686" s="312" t="s">
        <x:v>9</x:v>
      </x:c>
      <x:c r="C2686" s="312" t="s">
        <x:v>10</x:v>
      </x:c>
      <x:c r="D2686" s="317">
        <x:v>4</x:v>
      </x:c>
      <x:c r="E2686" s="321">
        <x:v>6000</x:v>
      </x:c>
      <x:c r="F2686" s="321">
        <x:v>24000</x:v>
      </x:c>
      <x:c r="G2686" s="321">
        <x:v>8000</x:v>
      </x:c>
      <x:c r="H2686" s="312" t="s">
        <x:v>67</x:v>
      </x:c>
      <x:c r="I2686" s="312" t="s">
        <x:v>12</x:v>
      </x:c>
      <x:c r="J2686" s="316" t="n">
        <x:f>IFERROR(G2686/F2686,0)</x:f>
        <x:v>0.3333333333333333</x:v>
      </x:c>
      <x:c r="K2686" s="312" t="str">
        <x:f>IF(B2686="Bilinmeyen Personel","Kontrol","OK")</x:f>
        <x:v>OK</x:v>
      </x:c>
    </x:row>
    <x:row r="2687" hidden="1">
      <x:c r="A2687" s="312" t="n">
        <x:f>ROW()-ROW($A$2)+1</x:f>
        <x:v>2686</x:v>
      </x:c>
      <x:c r="B2687" s="312" t="s">
        <x:v>13</x:v>
      </x:c>
      <x:c r="C2687" s="312" t="s">
        <x:v>14</x:v>
      </x:c>
      <x:c r="D2687" s="317">
        <x:v>4</x:v>
      </x:c>
      <x:c r="E2687" s="321">
        <x:v>1400</x:v>
      </x:c>
      <x:c r="F2687" s="321">
        <x:v>5600</x:v>
      </x:c>
      <x:c r="G2687" s="321">
        <x:v>2400</x:v>
      </x:c>
      <x:c r="H2687" s="312" t="s">
        <x:v>67</x:v>
      </x:c>
      <x:c r="I2687" s="312" t="s">
        <x:v>41</x:v>
      </x:c>
      <x:c r="J2687" s="316" t="n">
        <x:f>IFERROR(G2687/F2687,0)</x:f>
        <x:v>0.42857142857142855</x:v>
      </x:c>
      <x:c r="K2687" s="312" t="str">
        <x:f>IF(B2687="Bilinmeyen Personel","Kontrol","OK")</x:f>
        <x:v>OK</x:v>
      </x:c>
    </x:row>
    <x:row r="2688" hidden="1">
      <x:c r="A2688" s="312" t="n">
        <x:f>ROW()-ROW($A$2)+1</x:f>
        <x:v>2687</x:v>
      </x:c>
      <x:c r="B2688" s="312" t="s">
        <x:v>16</x:v>
      </x:c>
      <x:c r="C2688" s="312" t="s">
        <x:v>17</x:v>
      </x:c>
      <x:c r="D2688" s="317">
        <x:v>5</x:v>
      </x:c>
      <x:c r="E2688" s="321">
        <x:v>8450</x:v>
      </x:c>
      <x:c r="F2688" s="321">
        <x:v>42250</x:v>
      </x:c>
      <x:c r="G2688" s="321">
        <x:v>12250</x:v>
      </x:c>
      <x:c r="H2688" s="312" t="s">
        <x:v>67</x:v>
      </x:c>
      <x:c r="I2688" s="312" t="s">
        <x:v>44</x:v>
      </x:c>
      <x:c r="J2688" s="316" t="n">
        <x:f>IFERROR(G2688/F2688,0)</x:f>
        <x:v>0.28994082840236685</x:v>
      </x:c>
      <x:c r="K2688" s="312" t="str">
        <x:f>IF(B2688="Bilinmeyen Personel","Kontrol","OK")</x:f>
        <x:v>OK</x:v>
      </x:c>
    </x:row>
    <x:row r="2689" hidden="1">
      <x:c r="A2689" s="312" t="n">
        <x:f>ROW()-ROW($A$2)+1</x:f>
        <x:v>2688</x:v>
      </x:c>
      <x:c r="B2689" s="312" t="s">
        <x:v>19</x:v>
      </x:c>
      <x:c r="C2689" s="312" t="s">
        <x:v>20</x:v>
      </x:c>
      <x:c r="D2689" s="317">
        <x:v>3</x:v>
      </x:c>
      <x:c r="E2689" s="321">
        <x:v>1350</x:v>
      </x:c>
      <x:c r="F2689" s="321">
        <x:v>4050</x:v>
      </x:c>
      <x:c r="G2689" s="321">
        <x:v>1650</x:v>
      </x:c>
      <x:c r="H2689" s="312" t="s">
        <x:v>67</x:v>
      </x:c>
      <x:c r="I2689" s="312" t="s">
        <x:v>28</x:v>
      </x:c>
      <x:c r="J2689" s="316" t="n">
        <x:f>IFERROR(G2689/F2689,0)</x:f>
        <x:v>0.4074074074074074</x:v>
      </x:c>
      <x:c r="K2689" s="312" t="str">
        <x:f>IF(B2689="Bilinmeyen Personel","Kontrol","OK")</x:f>
        <x:v>OK</x:v>
      </x:c>
    </x:row>
    <x:row r="2690" hidden="1">
      <x:c r="A2690" s="312" t="n">
        <x:f>ROW()-ROW($A$2)+1</x:f>
        <x:v>2689</x:v>
      </x:c>
      <x:c r="B2690" s="312" t="s">
        <x:v>9</x:v>
      </x:c>
      <x:c r="C2690" s="312" t="s">
        <x:v>22</x:v>
      </x:c>
      <x:c r="D2690" s="317">
        <x:v>2</x:v>
      </x:c>
      <x:c r="E2690" s="321">
        <x:v>2180</x:v>
      </x:c>
      <x:c r="F2690" s="321">
        <x:v>4360</x:v>
      </x:c>
      <x:c r="G2690" s="321">
        <x:v>1360</x:v>
      </x:c>
      <x:c r="H2690" s="312" t="s">
        <x:v>67</x:v>
      </x:c>
      <x:c r="I2690" s="312" t="s">
        <x:v>15</x:v>
      </x:c>
      <x:c r="J2690" s="316" t="n">
        <x:f>IFERROR(G2690/F2690,0)</x:f>
        <x:v>0.3119266055045872</x:v>
      </x:c>
      <x:c r="K2690" s="312" t="str">
        <x:f>IF(B2690="Bilinmeyen Personel","Kontrol","OK")</x:f>
        <x:v>OK</x:v>
      </x:c>
    </x:row>
    <x:row r="2691" hidden="1">
      <x:c r="A2691" s="312" t="n">
        <x:f>ROW()-ROW($A$2)+1</x:f>
        <x:v>2690</x:v>
      </x:c>
      <x:c r="B2691" s="312" t="s">
        <x:v>23</x:v>
      </x:c>
      <x:c r="C2691" s="312" t="s">
        <x:v>24</x:v>
      </x:c>
      <x:c r="D2691" s="317">
        <x:v>4</x:v>
      </x:c>
      <x:c r="E2691" s="321">
        <x:v>7600</x:v>
      </x:c>
      <x:c r="F2691" s="321">
        <x:v>30400</x:v>
      </x:c>
      <x:c r="G2691" s="321">
        <x:v>6400</x:v>
      </x:c>
      <x:c r="H2691" s="312" t="s">
        <x:v>67</x:v>
      </x:c>
      <x:c r="I2691" s="312" t="s">
        <x:v>25</x:v>
      </x:c>
      <x:c r="J2691" s="316" t="n">
        <x:f>IFERROR(G2691/F2691,0)</x:f>
        <x:v>0.21052631578947367</x:v>
      </x:c>
      <x:c r="K2691" s="312" t="str">
        <x:f>IF(B2691="Bilinmeyen Personel","Kontrol","OK")</x:f>
        <x:v>OK</x:v>
      </x:c>
    </x:row>
    <x:row r="2692" hidden="1">
      <x:c r="A2692" s="312" t="n">
        <x:f>ROW()-ROW($A$2)+1</x:f>
        <x:v>2691</x:v>
      </x:c>
      <x:c r="B2692" s="312" t="s">
        <x:v>13</x:v>
      </x:c>
      <x:c r="C2692" s="312" t="s">
        <x:v>26</x:v>
      </x:c>
      <x:c r="D2692" s="317">
        <x:v>4</x:v>
      </x:c>
      <x:c r="E2692" s="321">
        <x:v>7250</x:v>
      </x:c>
      <x:c r="F2692" s="321">
        <x:v>29000</x:v>
      </x:c>
      <x:c r="G2692" s="321">
        <x:v>9000</x:v>
      </x:c>
      <x:c r="H2692" s="312" t="s">
        <x:v>67</x:v>
      </x:c>
      <x:c r="I2692" s="312" t="s">
        <x:v>21</x:v>
      </x:c>
      <x:c r="J2692" s="316" t="n">
        <x:f>IFERROR(G2692/F2692,0)</x:f>
        <x:v>0.3103448275862069</x:v>
      </x:c>
      <x:c r="K2692" s="312" t="str">
        <x:f>IF(B2692="Bilinmeyen Personel","Kontrol","OK")</x:f>
        <x:v>OK</x:v>
      </x:c>
    </x:row>
    <x:row r="2693" hidden="1">
      <x:c r="A2693" s="312" t="n">
        <x:f>ROW()-ROW($A$2)+1</x:f>
        <x:v>2692</x:v>
      </x:c>
      <x:c r="B2693" s="312" t="s">
        <x:v>19</x:v>
      </x:c>
      <x:c r="C2693" s="312" t="s">
        <x:v>27</x:v>
      </x:c>
      <x:c r="D2693" s="317">
        <x:v>3</x:v>
      </x:c>
      <x:c r="E2693" s="321">
        <x:v>1100</x:v>
      </x:c>
      <x:c r="F2693" s="321">
        <x:v>3300</x:v>
      </x:c>
      <x:c r="G2693" s="321">
        <x:v>900</x:v>
      </x:c>
      <x:c r="H2693" s="312" t="s">
        <x:v>67</x:v>
      </x:c>
      <x:c r="I2693" s="312" t="s">
        <x:v>37</x:v>
      </x:c>
      <x:c r="J2693" s="316" t="n">
        <x:f>IFERROR(G2693/F2693,0)</x:f>
        <x:v>0.2727272727272727</x:v>
      </x:c>
      <x:c r="K2693" s="312" t="str">
        <x:f>IF(B2693="Bilinmeyen Personel","Kontrol","OK")</x:f>
        <x:v>OK</x:v>
      </x:c>
    </x:row>
    <x:row r="2694" hidden="1">
      <x:c r="A2694" s="312" t="n">
        <x:f>ROW()-ROW($A$2)+1</x:f>
        <x:v>2693</x:v>
      </x:c>
      <x:c r="B2694" s="312" t="s">
        <x:v>29</x:v>
      </x:c>
      <x:c r="C2694" s="312" t="s">
        <x:v>10</x:v>
      </x:c>
      <x:c r="D2694" s="317">
        <x:v>3</x:v>
      </x:c>
      <x:c r="E2694" s="321">
        <x:v>6000</x:v>
      </x:c>
      <x:c r="F2694" s="321">
        <x:v>18000</x:v>
      </x:c>
      <x:c r="G2694" s="321">
        <x:v>6000</x:v>
      </x:c>
      <x:c r="H2694" s="312" t="s">
        <x:v>68</x:v>
      </x:c>
      <x:c r="I2694" s="312" t="s">
        <x:v>18</x:v>
      </x:c>
      <x:c r="J2694" s="316" t="n">
        <x:f>IFERROR(G2694/F2694,0)</x:f>
        <x:v>0.3333333333333333</x:v>
      </x:c>
      <x:c r="K2694" s="312" t="str">
        <x:f>IF(B2694="Bilinmeyen Personel","Kontrol","OK")</x:f>
        <x:v>OK</x:v>
      </x:c>
    </x:row>
    <x:row r="2695" hidden="1">
      <x:c r="A2695" s="312" t="n">
        <x:f>ROW()-ROW($A$2)+1</x:f>
        <x:v>2694</x:v>
      </x:c>
      <x:c r="B2695" s="312" t="s">
        <x:v>9</x:v>
      </x:c>
      <x:c r="C2695" s="312" t="s">
        <x:v>30</x:v>
      </x:c>
      <x:c r="D2695" s="317">
        <x:v>4</x:v>
      </x:c>
      <x:c r="E2695" s="321">
        <x:v>1200</x:v>
      </x:c>
      <x:c r="F2695" s="321">
        <x:v>4800</x:v>
      </x:c>
      <x:c r="G2695" s="321">
        <x:v>1600</x:v>
      </x:c>
      <x:c r="H2695" s="312" t="s">
        <x:v>68</x:v>
      </x:c>
      <x:c r="I2695" s="312" t="s">
        <x:v>42</x:v>
      </x:c>
      <x:c r="J2695" s="316" t="n">
        <x:f>IFERROR(G2695/F2695,0)</x:f>
        <x:v>0.3333333333333333</x:v>
      </x:c>
      <x:c r="K2695" s="312" t="str">
        <x:f>IF(B2695="Bilinmeyen Personel","Kontrol","OK")</x:f>
        <x:v>OK</x:v>
      </x:c>
    </x:row>
    <x:row r="2696" hidden="1">
      <x:c r="A2696" s="312" t="n">
        <x:f>ROW()-ROW($A$2)+1</x:f>
        <x:v>2695</x:v>
      </x:c>
      <x:c r="B2696" s="312" t="s">
        <x:v>32</x:v>
      </x:c>
      <x:c r="C2696" s="312" t="s">
        <x:v>33</x:v>
      </x:c>
      <x:c r="D2696" s="317">
        <x:v>2</x:v>
      </x:c>
      <x:c r="E2696" s="321">
        <x:v>1800</x:v>
      </x:c>
      <x:c r="F2696" s="321">
        <x:v>3600</x:v>
      </x:c>
      <x:c r="G2696" s="321">
        <x:v>2000</x:v>
      </x:c>
      <x:c r="H2696" s="312" t="s">
        <x:v>68</x:v>
      </x:c>
      <x:c r="I2696" s="312" t="s">
        <x:v>28</x:v>
      </x:c>
      <x:c r="J2696" s="316" t="n">
        <x:f>IFERROR(G2696/F2696,0)</x:f>
        <x:v>0.5555555555555556</x:v>
      </x:c>
      <x:c r="K2696" s="312" t="str">
        <x:f>IF(B2696="Bilinmeyen Personel","Kontrol","OK")</x:f>
        <x:v>OK</x:v>
      </x:c>
    </x:row>
    <x:row r="2697" hidden="1">
      <x:c r="A2697" s="312" t="n">
        <x:f>ROW()-ROW($A$2)+1</x:f>
        <x:v>2696</x:v>
      </x:c>
      <x:c r="B2697" s="312" t="s">
        <x:v>32</x:v>
      </x:c>
      <x:c r="C2697" s="312" t="s">
        <x:v>34</x:v>
      </x:c>
      <x:c r="D2697" s="317">
        <x:v>5</x:v>
      </x:c>
      <x:c r="E2697" s="321">
        <x:v>1090</x:v>
      </x:c>
      <x:c r="F2697" s="321">
        <x:v>5450</x:v>
      </x:c>
      <x:c r="G2697" s="321">
        <x:v>1450</x:v>
      </x:c>
      <x:c r="H2697" s="312" t="s">
        <x:v>68</x:v>
      </x:c>
      <x:c r="I2697" s="312" t="s">
        <x:v>15</x:v>
      </x:c>
      <x:c r="J2697" s="316" t="n">
        <x:f>IFERROR(G2697/F2697,0)</x:f>
        <x:v>0.26605504587155965</x:v>
      </x:c>
      <x:c r="K2697" s="312" t="str">
        <x:f>IF(B2697="Bilinmeyen Personel","Kontrol","OK")</x:f>
        <x:v>OK</x:v>
      </x:c>
    </x:row>
    <x:row r="2698" hidden="1">
      <x:c r="A2698" s="312" t="n">
        <x:f>ROW()-ROW($A$2)+1</x:f>
        <x:v>2697</x:v>
      </x:c>
      <x:c r="B2698" s="312" t="s">
        <x:v>29</x:v>
      </x:c>
      <x:c r="C2698" s="312" t="s">
        <x:v>22</x:v>
      </x:c>
      <x:c r="D2698" s="317">
        <x:v>4</x:v>
      </x:c>
      <x:c r="E2698" s="321">
        <x:v>2180</x:v>
      </x:c>
      <x:c r="F2698" s="321">
        <x:v>8720</x:v>
      </x:c>
      <x:c r="G2698" s="321">
        <x:v>2720</x:v>
      </x:c>
      <x:c r="H2698" s="312" t="s">
        <x:v>68</x:v>
      </x:c>
      <x:c r="I2698" s="312" t="s">
        <x:v>46</x:v>
      </x:c>
      <x:c r="J2698" s="316" t="n">
        <x:f>IFERROR(G2698/F2698,0)</x:f>
        <x:v>0.3119266055045872</x:v>
      </x:c>
      <x:c r="K2698" s="312" t="str">
        <x:f>IF(B2698="Bilinmeyen Personel","Kontrol","OK")</x:f>
        <x:v>OK</x:v>
      </x:c>
    </x:row>
    <x:row r="2699" hidden="1">
      <x:c r="A2699" s="312" t="n">
        <x:f>ROW()-ROW($A$2)+1</x:f>
        <x:v>2698</x:v>
      </x:c>
      <x:c r="B2699" s="312" t="s">
        <x:v>35</x:v>
      </x:c>
      <x:c r="C2699" s="312" t="s">
        <x:v>33</x:v>
      </x:c>
      <x:c r="D2699" s="317">
        <x:v>2</x:v>
      </x:c>
      <x:c r="E2699" s="321">
        <x:v>1800</x:v>
      </x:c>
      <x:c r="F2699" s="321">
        <x:v>3600</x:v>
      </x:c>
      <x:c r="G2699" s="321">
        <x:v>2000</x:v>
      </x:c>
      <x:c r="H2699" s="312" t="s">
        <x:v>68</x:v>
      </x:c>
      <x:c r="I2699" s="312" t="s">
        <x:v>12</x:v>
      </x:c>
      <x:c r="J2699" s="316" t="n">
        <x:f>IFERROR(G2699/F2699,0)</x:f>
        <x:v>0.5555555555555556</x:v>
      </x:c>
      <x:c r="K2699" s="312" t="str">
        <x:f>IF(B2699="Bilinmeyen Personel","Kontrol","OK")</x:f>
        <x:v>OK</x:v>
      </x:c>
    </x:row>
    <x:row r="2700" hidden="1">
      <x:c r="A2700" s="312" t="n">
        <x:f>ROW()-ROW($A$2)+1</x:f>
        <x:v>2699</x:v>
      </x:c>
      <x:c r="B2700" s="312" t="s">
        <x:v>23</x:v>
      </x:c>
      <x:c r="C2700" s="312" t="s">
        <x:v>36</x:v>
      </x:c>
      <x:c r="D2700" s="317">
        <x:v>5</x:v>
      </x:c>
      <x:c r="E2700" s="321">
        <x:v>8000</x:v>
      </x:c>
      <x:c r="F2700" s="321">
        <x:v>40000</x:v>
      </x:c>
      <x:c r="G2700" s="321">
        <x:v>10000</x:v>
      </x:c>
      <x:c r="H2700" s="312" t="s">
        <x:v>68</x:v>
      </x:c>
      <x:c r="I2700" s="312" t="s">
        <x:v>54</x:v>
      </x:c>
      <x:c r="J2700" s="316" t="n">
        <x:f>IFERROR(G2700/F2700,0)</x:f>
        <x:v>0.25</x:v>
      </x:c>
      <x:c r="K2700" s="312" t="str">
        <x:f>IF(B2700="Bilinmeyen Personel","Kontrol","OK")</x:f>
        <x:v>OK</x:v>
      </x:c>
    </x:row>
    <x:row r="2701" hidden="1">
      <x:c r="A2701" s="312" t="n">
        <x:f>ROW()-ROW($A$2)+1</x:f>
        <x:v>2700</x:v>
      </x:c>
      <x:c r="B2701" s="312" t="s">
        <x:v>29</x:v>
      </x:c>
      <x:c r="C2701" s="312" t="s">
        <x:v>14</x:v>
      </x:c>
      <x:c r="D2701" s="317">
        <x:v>3</x:v>
      </x:c>
      <x:c r="E2701" s="321">
        <x:v>1400</x:v>
      </x:c>
      <x:c r="F2701" s="321">
        <x:v>4200</x:v>
      </x:c>
      <x:c r="G2701" s="321">
        <x:v>1800</x:v>
      </x:c>
      <x:c r="H2701" s="312" t="s">
        <x:v>68</x:v>
      </x:c>
      <x:c r="I2701" s="312" t="s">
        <x:v>41</x:v>
      </x:c>
      <x:c r="J2701" s="316" t="n">
        <x:f>IFERROR(G2701/F2701,0)</x:f>
        <x:v>0.42857142857142855</x:v>
      </x:c>
      <x:c r="K2701" s="312" t="str">
        <x:f>IF(B2701="Bilinmeyen Personel","Kontrol","OK")</x:f>
        <x:v>OK</x:v>
      </x:c>
    </x:row>
    <x:row r="2702" hidden="1">
      <x:c r="A2702" s="312" t="n">
        <x:f>ROW()-ROW($A$2)+1</x:f>
        <x:v>2701</x:v>
      </x:c>
      <x:c r="B2702" s="312" t="s">
        <x:v>38</x:v>
      </x:c>
      <x:c r="C2702" s="312" t="s">
        <x:v>39</x:v>
      </x:c>
      <x:c r="D2702" s="317">
        <x:v>4</x:v>
      </x:c>
      <x:c r="E2702" s="321">
        <x:v>10590</x:v>
      </x:c>
      <x:c r="F2702" s="321">
        <x:v>42360</x:v>
      </x:c>
      <x:c r="G2702" s="321">
        <x:v>18360</x:v>
      </x:c>
      <x:c r="H2702" s="312" t="s">
        <x:v>68</x:v>
      </x:c>
      <x:c r="I2702" s="312" t="s">
        <x:v>31</x:v>
      </x:c>
      <x:c r="J2702" s="316" t="n">
        <x:f>IFERROR(G2702/F2702,0)</x:f>
        <x:v>0.43342776203966005</x:v>
      </x:c>
      <x:c r="K2702" s="312" t="str">
        <x:f>IF(B2702="Bilinmeyen Personel","Kontrol","OK")</x:f>
        <x:v>OK</x:v>
      </x:c>
    </x:row>
    <x:row r="2703" hidden="1">
      <x:c r="A2703" s="312" t="n">
        <x:f>ROW()-ROW($A$2)+1</x:f>
        <x:v>2702</x:v>
      </x:c>
      <x:c r="B2703" s="312" t="s">
        <x:v>40</x:v>
      </x:c>
      <x:c r="C2703" s="312" t="s">
        <x:v>20</x:v>
      </x:c>
      <x:c r="D2703" s="317">
        <x:v>3</x:v>
      </x:c>
      <x:c r="E2703" s="321">
        <x:v>1350</x:v>
      </x:c>
      <x:c r="F2703" s="321">
        <x:v>4050</x:v>
      </x:c>
      <x:c r="G2703" s="321">
        <x:v>1650</x:v>
      </x:c>
      <x:c r="H2703" s="312" t="s">
        <x:v>68</x:v>
      </x:c>
      <x:c r="I2703" s="312" t="s">
        <x:v>21</x:v>
      </x:c>
      <x:c r="J2703" s="316" t="n">
        <x:f>IFERROR(G2703/F2703,0)</x:f>
        <x:v>0.4074074074074074</x:v>
      </x:c>
      <x:c r="K2703" s="312" t="str">
        <x:f>IF(B2703="Bilinmeyen Personel","Kontrol","OK")</x:f>
        <x:v>OK</x:v>
      </x:c>
    </x:row>
    <x:row r="2704" hidden="1">
      <x:c r="A2704" s="312" t="n">
        <x:f>ROW()-ROW($A$2)+1</x:f>
        <x:v>2703</x:v>
      </x:c>
      <x:c r="B2704" s="312" t="s">
        <x:v>32</x:v>
      </x:c>
      <x:c r="C2704" s="312" t="s">
        <x:v>14</x:v>
      </x:c>
      <x:c r="D2704" s="317">
        <x:v>3</x:v>
      </x:c>
      <x:c r="E2704" s="321">
        <x:v>1400</x:v>
      </x:c>
      <x:c r="F2704" s="321">
        <x:v>4200</x:v>
      </x:c>
      <x:c r="G2704" s="321">
        <x:v>1800</x:v>
      </x:c>
      <x:c r="H2704" s="312" t="s">
        <x:v>68</x:v>
      </x:c>
      <x:c r="I2704" s="312" t="s">
        <x:v>18</x:v>
      </x:c>
      <x:c r="J2704" s="316" t="n">
        <x:f>IFERROR(G2704/F2704,0)</x:f>
        <x:v>0.42857142857142855</x:v>
      </x:c>
      <x:c r="K2704" s="312" t="str">
        <x:f>IF(B2704="Bilinmeyen Personel","Kontrol","OK")</x:f>
        <x:v>OK</x:v>
      </x:c>
    </x:row>
    <x:row r="2705" hidden="1">
      <x:c r="A2705" s="312" t="n">
        <x:f>ROW()-ROW($A$2)+1</x:f>
        <x:v>2704</x:v>
      </x:c>
      <x:c r="B2705" s="312" t="s">
        <x:v>19</x:v>
      </x:c>
      <x:c r="C2705" s="312" t="s">
        <x:v>10</x:v>
      </x:c>
      <x:c r="D2705" s="317">
        <x:v>2</x:v>
      </x:c>
      <x:c r="E2705" s="321">
        <x:v>6000</x:v>
      </x:c>
      <x:c r="F2705" s="321">
        <x:v>12000</x:v>
      </x:c>
      <x:c r="G2705" s="321">
        <x:v>4000</x:v>
      </x:c>
      <x:c r="H2705" s="312" t="s">
        <x:v>68</x:v>
      </x:c>
      <x:c r="I2705" s="312" t="s">
        <x:v>25</x:v>
      </x:c>
      <x:c r="J2705" s="316" t="n">
        <x:f>IFERROR(G2705/F2705,0)</x:f>
        <x:v>0.3333333333333333</x:v>
      </x:c>
      <x:c r="K2705" s="312" t="str">
        <x:f>IF(B2705="Bilinmeyen Personel","Kontrol","OK")</x:f>
        <x:v>OK</x:v>
      </x:c>
    </x:row>
    <x:row r="2706" hidden="1">
      <x:c r="A2706" s="312" t="n">
        <x:f>ROW()-ROW($A$2)+1</x:f>
        <x:v>2705</x:v>
      </x:c>
      <x:c r="B2706" s="312" t="s">
        <x:v>38</x:v>
      </x:c>
      <x:c r="C2706" s="312" t="s">
        <x:v>27</x:v>
      </x:c>
      <x:c r="D2706" s="317">
        <x:v>3</x:v>
      </x:c>
      <x:c r="E2706" s="321">
        <x:v>1100</x:v>
      </x:c>
      <x:c r="F2706" s="321">
        <x:v>3300</x:v>
      </x:c>
      <x:c r="G2706" s="321">
        <x:v>900</x:v>
      </x:c>
      <x:c r="H2706" s="312" t="s">
        <x:v>68</x:v>
      </x:c>
      <x:c r="I2706" s="312" t="s">
        <x:v>28</x:v>
      </x:c>
      <x:c r="J2706" s="316" t="n">
        <x:f>IFERROR(G2706/F2706,0)</x:f>
        <x:v>0.2727272727272727</x:v>
      </x:c>
      <x:c r="K2706" s="312" t="str">
        <x:f>IF(B2706="Bilinmeyen Personel","Kontrol","OK")</x:f>
        <x:v>OK</x:v>
      </x:c>
    </x:row>
    <x:row r="2707" hidden="1">
      <x:c r="A2707" s="312" t="n">
        <x:f>ROW()-ROW($A$2)+1</x:f>
        <x:v>2706</x:v>
      </x:c>
      <x:c r="B2707" s="312" t="s">
        <x:v>16</x:v>
      </x:c>
      <x:c r="C2707" s="312" t="s">
        <x:v>10</x:v>
      </x:c>
      <x:c r="D2707" s="317">
        <x:v>4</x:v>
      </x:c>
      <x:c r="E2707" s="321">
        <x:v>6000</x:v>
      </x:c>
      <x:c r="F2707" s="321">
        <x:v>24000</x:v>
      </x:c>
      <x:c r="G2707" s="321">
        <x:v>8000</x:v>
      </x:c>
      <x:c r="H2707" s="312" t="s">
        <x:v>68</x:v>
      </x:c>
      <x:c r="I2707" s="312" t="s">
        <x:v>37</x:v>
      </x:c>
      <x:c r="J2707" s="316" t="n">
        <x:f>IFERROR(G2707/F2707,0)</x:f>
        <x:v>0.3333333333333333</x:v>
      </x:c>
      <x:c r="K2707" s="312" t="str">
        <x:f>IF(B2707="Bilinmeyen Personel","Kontrol","OK")</x:f>
        <x:v>OK</x:v>
      </x:c>
    </x:row>
    <x:row r="2708" hidden="1">
      <x:c r="A2708" s="312" t="n">
        <x:f>ROW()-ROW($A$2)+1</x:f>
        <x:v>2707</x:v>
      </x:c>
      <x:c r="B2708" s="312" t="s">
        <x:v>40</x:v>
      </x:c>
      <x:c r="C2708" s="312" t="s">
        <x:v>43</x:v>
      </x:c>
      <x:c r="D2708" s="317">
        <x:v>5</x:v>
      </x:c>
      <x:c r="E2708" s="321">
        <x:v>1490</x:v>
      </x:c>
      <x:c r="F2708" s="321">
        <x:v>7450</x:v>
      </x:c>
      <x:c r="G2708" s="321">
        <x:v>3450</x:v>
      </x:c>
      <x:c r="H2708" s="312" t="s">
        <x:v>68</x:v>
      </x:c>
      <x:c r="I2708" s="312" t="s">
        <x:v>44</x:v>
      </x:c>
      <x:c r="J2708" s="316" t="n">
        <x:f>IFERROR(G2708/F2708,0)</x:f>
        <x:v>0.46308724832214765</x:v>
      </x:c>
      <x:c r="K2708" s="312" t="str">
        <x:f>IF(B2708="Bilinmeyen Personel","Kontrol","OK")</x:f>
        <x:v>OK</x:v>
      </x:c>
    </x:row>
    <x:row r="2709" hidden="1">
      <x:c r="A2709" s="312" t="n">
        <x:f>ROW()-ROW($A$2)+1</x:f>
        <x:v>2708</x:v>
      </x:c>
      <x:c r="B2709" s="312" t="s">
        <x:v>38</x:v>
      </x:c>
      <x:c r="C2709" s="312" t="s">
        <x:v>39</x:v>
      </x:c>
      <x:c r="D2709" s="317">
        <x:v>3</x:v>
      </x:c>
      <x:c r="E2709" s="321">
        <x:v>10590</x:v>
      </x:c>
      <x:c r="F2709" s="321">
        <x:v>31770</x:v>
      </x:c>
      <x:c r="G2709" s="321">
        <x:v>13770</x:v>
      </x:c>
      <x:c r="H2709" s="312" t="s">
        <x:v>68</x:v>
      </x:c>
      <x:c r="I2709" s="312" t="s">
        <x:v>31</x:v>
      </x:c>
      <x:c r="J2709" s="316" t="n">
        <x:f>IFERROR(G2709/F2709,0)</x:f>
        <x:v>0.43342776203966005</x:v>
      </x:c>
      <x:c r="K2709" s="312" t="str">
        <x:f>IF(B2709="Bilinmeyen Personel","Kontrol","OK")</x:f>
        <x:v>OK</x:v>
      </x:c>
    </x:row>
    <x:row r="2710" hidden="1">
      <x:c r="A2710" s="312" t="n">
        <x:f>ROW()-ROW($A$2)+1</x:f>
        <x:v>2709</x:v>
      </x:c>
      <x:c r="B2710" s="312" t="s">
        <x:v>16</x:v>
      </x:c>
      <x:c r="C2710" s="312" t="s">
        <x:v>36</x:v>
      </x:c>
      <x:c r="D2710" s="317">
        <x:v>5</x:v>
      </x:c>
      <x:c r="E2710" s="321">
        <x:v>8000</x:v>
      </x:c>
      <x:c r="F2710" s="321">
        <x:v>40000</x:v>
      </x:c>
      <x:c r="G2710" s="321">
        <x:v>10000</x:v>
      </x:c>
      <x:c r="H2710" s="312" t="s">
        <x:v>68</x:v>
      </x:c>
      <x:c r="I2710" s="312" t="s">
        <x:v>21</x:v>
      </x:c>
      <x:c r="J2710" s="316" t="n">
        <x:f>IFERROR(G2710/F2710,0)</x:f>
        <x:v>0.25</x:v>
      </x:c>
      <x:c r="K2710" s="312" t="str">
        <x:f>IF(B2710="Bilinmeyen Personel","Kontrol","OK")</x:f>
        <x:v>OK</x:v>
      </x:c>
    </x:row>
    <x:row r="2711" hidden="1">
      <x:c r="A2711" s="312" t="n">
        <x:f>ROW()-ROW($A$2)+1</x:f>
        <x:v>2710</x:v>
      </x:c>
      <x:c r="B2711" s="312" t="s">
        <x:v>32</x:v>
      </x:c>
      <x:c r="C2711" s="312" t="s">
        <x:v>27</x:v>
      </x:c>
      <x:c r="D2711" s="317">
        <x:v>5</x:v>
      </x:c>
      <x:c r="E2711" s="321">
        <x:v>1100</x:v>
      </x:c>
      <x:c r="F2711" s="321">
        <x:v>5500</x:v>
      </x:c>
      <x:c r="G2711" s="321">
        <x:v>1500</x:v>
      </x:c>
      <x:c r="H2711" s="312" t="s">
        <x:v>68</x:v>
      </x:c>
      <x:c r="I2711" s="312" t="s">
        <x:v>44</x:v>
      </x:c>
      <x:c r="J2711" s="316" t="n">
        <x:f>IFERROR(G2711/F2711,0)</x:f>
        <x:v>0.2727272727272727</x:v>
      </x:c>
      <x:c r="K2711" s="312" t="str">
        <x:f>IF(B2711="Bilinmeyen Personel","Kontrol","OK")</x:f>
        <x:v>OK</x:v>
      </x:c>
    </x:row>
    <x:row r="2712" hidden="1">
      <x:c r="A2712" s="312" t="n">
        <x:f>ROW()-ROW($A$2)+1</x:f>
        <x:v>2711</x:v>
      </x:c>
      <x:c r="B2712" s="312" t="s">
        <x:v>40</x:v>
      </x:c>
      <x:c r="C2712" s="312" t="s">
        <x:v>30</x:v>
      </x:c>
      <x:c r="D2712" s="317">
        <x:v>4</x:v>
      </x:c>
      <x:c r="E2712" s="321">
        <x:v>1200</x:v>
      </x:c>
      <x:c r="F2712" s="321">
        <x:v>4800</x:v>
      </x:c>
      <x:c r="G2712" s="321">
        <x:v>1600</x:v>
      </x:c>
      <x:c r="H2712" s="312" t="s">
        <x:v>68</x:v>
      </x:c>
      <x:c r="I2712" s="312" t="s">
        <x:v>37</x:v>
      </x:c>
      <x:c r="J2712" s="316" t="n">
        <x:f>IFERROR(G2712/F2712,0)</x:f>
        <x:v>0.3333333333333333</x:v>
      </x:c>
      <x:c r="K2712" s="312" t="str">
        <x:f>IF(B2712="Bilinmeyen Personel","Kontrol","OK")</x:f>
        <x:v>OK</x:v>
      </x:c>
    </x:row>
    <x:row r="2713" hidden="1">
      <x:c r="A2713" s="312" t="n">
        <x:f>ROW()-ROW($A$2)+1</x:f>
        <x:v>2712</x:v>
      </x:c>
      <x:c r="B2713" s="312" t="s">
        <x:v>23</x:v>
      </x:c>
      <x:c r="C2713" s="312" t="s">
        <x:v>45</x:v>
      </x:c>
      <x:c r="D2713" s="317">
        <x:v>3</x:v>
      </x:c>
      <x:c r="E2713" s="321">
        <x:v>4200</x:v>
      </x:c>
      <x:c r="F2713" s="321">
        <x:v>12600</x:v>
      </x:c>
      <x:c r="G2713" s="321">
        <x:v>3600</x:v>
      </x:c>
      <x:c r="H2713" s="312" t="s">
        <x:v>68</x:v>
      </x:c>
      <x:c r="I2713" s="312" t="s">
        <x:v>41</x:v>
      </x:c>
      <x:c r="J2713" s="316" t="n">
        <x:f>IFERROR(G2713/F2713,0)</x:f>
        <x:v>0.2857142857142857</x:v>
      </x:c>
      <x:c r="K2713" s="312" t="str">
        <x:f>IF(B2713="Bilinmeyen Personel","Kontrol","OK")</x:f>
        <x:v>OK</x:v>
      </x:c>
    </x:row>
    <x:row r="2714" hidden="1">
      <x:c r="A2714" s="312" t="n">
        <x:f>ROW()-ROW($A$2)+1</x:f>
        <x:v>2713</x:v>
      </x:c>
      <x:c r="B2714" s="312" t="s">
        <x:v>13</x:v>
      </x:c>
      <x:c r="C2714" s="312" t="s">
        <x:v>47</x:v>
      </x:c>
      <x:c r="D2714" s="317">
        <x:v>3</x:v>
      </x:c>
      <x:c r="E2714" s="321">
        <x:v>5775</x:v>
      </x:c>
      <x:c r="F2714" s="321">
        <x:v>17325</x:v>
      </x:c>
      <x:c r="G2714" s="321">
        <x:v>5325</x:v>
      </x:c>
      <x:c r="H2714" s="312" t="s">
        <x:v>68</x:v>
      </x:c>
      <x:c r="I2714" s="312" t="s">
        <x:v>12</x:v>
      </x:c>
      <x:c r="J2714" s="316" t="n">
        <x:f>IFERROR(G2714/F2714,0)</x:f>
        <x:v>0.30735930735930733</x:v>
      </x:c>
      <x:c r="K2714" s="312" t="str">
        <x:f>IF(B2714="Bilinmeyen Personel","Kontrol","OK")</x:f>
        <x:v>OK</x:v>
      </x:c>
    </x:row>
    <x:row r="2715" hidden="1">
      <x:c r="A2715" s="312" t="n">
        <x:f>ROW()-ROW($A$2)+1</x:f>
        <x:v>2714</x:v>
      </x:c>
      <x:c r="B2715" s="312" t="s">
        <x:v>48</x:v>
      </x:c>
      <x:c r="C2715" s="312" t="s">
        <x:v>24</x:v>
      </x:c>
      <x:c r="D2715" s="317">
        <x:v>3</x:v>
      </x:c>
      <x:c r="E2715" s="321">
        <x:v>7600</x:v>
      </x:c>
      <x:c r="F2715" s="321">
        <x:v>22800</x:v>
      </x:c>
      <x:c r="G2715" s="321">
        <x:v>4800</x:v>
      </x:c>
      <x:c r="H2715" s="312" t="s">
        <x:v>68</x:v>
      </x:c>
      <x:c r="I2715" s="312" t="s">
        <x:v>42</x:v>
      </x:c>
      <x:c r="J2715" s="316" t="n">
        <x:f>IFERROR(G2715/F2715,0)</x:f>
        <x:v>0.21052631578947367</x:v>
      </x:c>
      <x:c r="K2715" s="312" t="str">
        <x:f>IF(B2715="Bilinmeyen Personel","Kontrol","OK")</x:f>
        <x:v>OK</x:v>
      </x:c>
    </x:row>
    <x:row r="2716" hidden="1">
      <x:c r="A2716" s="312" t="n">
        <x:f>ROW()-ROW($A$2)+1</x:f>
        <x:v>2715</x:v>
      </x:c>
      <x:c r="B2716" s="312" t="s">
        <x:v>13</x:v>
      </x:c>
      <x:c r="C2716" s="312" t="s">
        <x:v>26</x:v>
      </x:c>
      <x:c r="D2716" s="317">
        <x:v>4</x:v>
      </x:c>
      <x:c r="E2716" s="321">
        <x:v>7250</x:v>
      </x:c>
      <x:c r="F2716" s="321">
        <x:v>29000</x:v>
      </x:c>
      <x:c r="G2716" s="321">
        <x:v>9000</x:v>
      </x:c>
      <x:c r="H2716" s="312" t="s">
        <x:v>68</x:v>
      </x:c>
      <x:c r="I2716" s="312" t="s">
        <x:v>54</x:v>
      </x:c>
      <x:c r="J2716" s="316" t="n">
        <x:f>IFERROR(G2716/F2716,0)</x:f>
        <x:v>0.3103448275862069</x:v>
      </x:c>
      <x:c r="K2716" s="312" t="str">
        <x:f>IF(B2716="Bilinmeyen Personel","Kontrol","OK")</x:f>
        <x:v>OK</x:v>
      </x:c>
    </x:row>
    <x:row r="2717" hidden="1">
      <x:c r="A2717" s="312" t="n">
        <x:f>ROW()-ROW($A$2)+1</x:f>
        <x:v>2716</x:v>
      </x:c>
      <x:c r="B2717" s="312" t="s">
        <x:v>9</x:v>
      </x:c>
      <x:c r="C2717" s="312" t="s">
        <x:v>26</x:v>
      </x:c>
      <x:c r="D2717" s="317">
        <x:v>4</x:v>
      </x:c>
      <x:c r="E2717" s="321">
        <x:v>7250</x:v>
      </x:c>
      <x:c r="F2717" s="321">
        <x:v>29000</x:v>
      </x:c>
      <x:c r="G2717" s="321">
        <x:v>9000</x:v>
      </x:c>
      <x:c r="H2717" s="312" t="s">
        <x:v>68</x:v>
      </x:c>
      <x:c r="I2717" s="312" t="s">
        <x:v>42</x:v>
      </x:c>
      <x:c r="J2717" s="316" t="n">
        <x:f>IFERROR(G2717/F2717,0)</x:f>
        <x:v>0.3103448275862069</x:v>
      </x:c>
      <x:c r="K2717" s="312" t="str">
        <x:f>IF(B2717="Bilinmeyen Personel","Kontrol","OK")</x:f>
        <x:v>OK</x:v>
      </x:c>
    </x:row>
    <x:row r="2718" hidden="1">
      <x:c r="A2718" s="312" t="n">
        <x:f>ROW()-ROW($A$2)+1</x:f>
        <x:v>2717</x:v>
      </x:c>
      <x:c r="B2718" s="312" t="s">
        <x:v>38</x:v>
      </x:c>
      <x:c r="C2718" s="312" t="s">
        <x:v>26</x:v>
      </x:c>
      <x:c r="D2718" s="317">
        <x:v>4</x:v>
      </x:c>
      <x:c r="E2718" s="321">
        <x:v>7250</x:v>
      </x:c>
      <x:c r="F2718" s="321">
        <x:v>29000</x:v>
      </x:c>
      <x:c r="G2718" s="321">
        <x:v>9000</x:v>
      </x:c>
      <x:c r="H2718" s="312" t="s">
        <x:v>68</x:v>
      </x:c>
      <x:c r="I2718" s="312" t="s">
        <x:v>54</x:v>
      </x:c>
      <x:c r="J2718" s="316" t="n">
        <x:f>IFERROR(G2718/F2718,0)</x:f>
        <x:v>0.3103448275862069</x:v>
      </x:c>
      <x:c r="K2718" s="312" t="str">
        <x:f>IF(B2718="Bilinmeyen Personel","Kontrol","OK")</x:f>
        <x:v>OK</x:v>
      </x:c>
    </x:row>
    <x:row r="2719" hidden="1">
      <x:c r="A2719" s="312" t="n">
        <x:f>ROW()-ROW($A$2)+1</x:f>
        <x:v>2718</x:v>
      </x:c>
      <x:c r="B2719" s="312" t="s">
        <x:v>29</x:v>
      </x:c>
      <x:c r="C2719" s="312" t="s">
        <x:v>20</x:v>
      </x:c>
      <x:c r="D2719" s="317">
        <x:v>3</x:v>
      </x:c>
      <x:c r="E2719" s="321">
        <x:v>1350</x:v>
      </x:c>
      <x:c r="F2719" s="321">
        <x:v>4050</x:v>
      </x:c>
      <x:c r="G2719" s="321">
        <x:v>1650</x:v>
      </x:c>
      <x:c r="H2719" s="312" t="s">
        <x:v>68</x:v>
      </x:c>
      <x:c r="I2719" s="312" t="s">
        <x:v>21</x:v>
      </x:c>
      <x:c r="J2719" s="316" t="n">
        <x:f>IFERROR(G2719/F2719,0)</x:f>
        <x:v>0.4074074074074074</x:v>
      </x:c>
      <x:c r="K2719" s="312" t="str">
        <x:f>IF(B2719="Bilinmeyen Personel","Kontrol","OK")</x:f>
        <x:v>OK</x:v>
      </x:c>
    </x:row>
    <x:row r="2720" hidden="1">
      <x:c r="A2720" s="312" t="n">
        <x:f>ROW()-ROW($A$2)+1</x:f>
        <x:v>2719</x:v>
      </x:c>
      <x:c r="B2720" s="312" t="s">
        <x:v>13</x:v>
      </x:c>
      <x:c r="C2720" s="312" t="s">
        <x:v>26</x:v>
      </x:c>
      <x:c r="D2720" s="317">
        <x:v>4</x:v>
      </x:c>
      <x:c r="E2720" s="321">
        <x:v>7250</x:v>
      </x:c>
      <x:c r="F2720" s="321">
        <x:v>29000</x:v>
      </x:c>
      <x:c r="G2720" s="321">
        <x:v>9000</x:v>
      </x:c>
      <x:c r="H2720" s="312" t="s">
        <x:v>68</x:v>
      </x:c>
      <x:c r="I2720" s="312" t="s">
        <x:v>41</x:v>
      </x:c>
      <x:c r="J2720" s="316" t="n">
        <x:f>IFERROR(G2720/F2720,0)</x:f>
        <x:v>0.3103448275862069</x:v>
      </x:c>
      <x:c r="K2720" s="312" t="str">
        <x:f>IF(B2720="Bilinmeyen Personel","Kontrol","OK")</x:f>
        <x:v>OK</x:v>
      </x:c>
    </x:row>
    <x:row r="2721" hidden="1">
      <x:c r="A2721" s="312" t="n">
        <x:f>ROW()-ROW($A$2)+1</x:f>
        <x:v>2720</x:v>
      </x:c>
      <x:c r="B2721" s="312" t="s">
        <x:v>32</x:v>
      </x:c>
      <x:c r="C2721" s="312" t="s">
        <x:v>24</x:v>
      </x:c>
      <x:c r="D2721" s="317">
        <x:v>2</x:v>
      </x:c>
      <x:c r="E2721" s="321">
        <x:v>7600</x:v>
      </x:c>
      <x:c r="F2721" s="321">
        <x:v>15200</x:v>
      </x:c>
      <x:c r="G2721" s="321">
        <x:v>3200</x:v>
      </x:c>
      <x:c r="H2721" s="312" t="s">
        <x:v>68</x:v>
      </x:c>
      <x:c r="I2721" s="312" t="s">
        <x:v>37</x:v>
      </x:c>
      <x:c r="J2721" s="316" t="n">
        <x:f>IFERROR(G2721/F2721,0)</x:f>
        <x:v>0.21052631578947367</x:v>
      </x:c>
      <x:c r="K2721" s="312" t="str">
        <x:f>IF(B2721="Bilinmeyen Personel","Kontrol","OK")</x:f>
        <x:v>OK</x:v>
      </x:c>
    </x:row>
    <x:row r="2722" hidden="1">
      <x:c r="A2722" s="312" t="n">
        <x:f>ROW()-ROW($A$2)+1</x:f>
        <x:v>2721</x:v>
      </x:c>
      <x:c r="B2722" s="312" t="s">
        <x:v>50</x:v>
      </x:c>
      <x:c r="C2722" s="312" t="s">
        <x:v>24</x:v>
      </x:c>
      <x:c r="D2722" s="317">
        <x:v>2</x:v>
      </x:c>
      <x:c r="E2722" s="321">
        <x:v>7600</x:v>
      </x:c>
      <x:c r="F2722" s="321">
        <x:v>15200</x:v>
      </x:c>
      <x:c r="G2722" s="321">
        <x:v>3200</x:v>
      </x:c>
      <x:c r="H2722" s="312" t="s">
        <x:v>68</x:v>
      </x:c>
      <x:c r="I2722" s="312" t="s">
        <x:v>44</x:v>
      </x:c>
      <x:c r="J2722" s="316" t="n">
        <x:f>IFERROR(G2722/F2722,0)</x:f>
        <x:v>0.21052631578947367</x:v>
      </x:c>
      <x:c r="K2722" s="312" t="str">
        <x:f>IF(B2722="Bilinmeyen Personel","Kontrol","OK")</x:f>
        <x:v>OK</x:v>
      </x:c>
    </x:row>
    <x:row r="2723" hidden="1">
      <x:c r="A2723" s="312" t="n">
        <x:f>ROW()-ROW($A$2)+1</x:f>
        <x:v>2722</x:v>
      </x:c>
      <x:c r="B2723" s="312" t="s">
        <x:v>13</x:v>
      </x:c>
      <x:c r="C2723" s="312" t="s">
        <x:v>43</x:v>
      </x:c>
      <x:c r="D2723" s="317">
        <x:v>2</x:v>
      </x:c>
      <x:c r="E2723" s="321">
        <x:v>1490</x:v>
      </x:c>
      <x:c r="F2723" s="321">
        <x:v>2980</x:v>
      </x:c>
      <x:c r="G2723" s="321">
        <x:v>1380</x:v>
      </x:c>
      <x:c r="H2723" s="312" t="s">
        <x:v>68</x:v>
      </x:c>
      <x:c r="I2723" s="312" t="s">
        <x:v>42</x:v>
      </x:c>
      <x:c r="J2723" s="316" t="n">
        <x:f>IFERROR(G2723/F2723,0)</x:f>
        <x:v>0.46308724832214765</x:v>
      </x:c>
      <x:c r="K2723" s="312" t="str">
        <x:f>IF(B2723="Bilinmeyen Personel","Kontrol","OK")</x:f>
        <x:v>OK</x:v>
      </x:c>
    </x:row>
    <x:row r="2724" hidden="1">
      <x:c r="A2724" s="312" t="n">
        <x:f>ROW()-ROW($A$2)+1</x:f>
        <x:v>2723</x:v>
      </x:c>
      <x:c r="B2724" s="312" t="s">
        <x:v>29</x:v>
      </x:c>
      <x:c r="C2724" s="312" t="s">
        <x:v>51</x:v>
      </x:c>
      <x:c r="D2724" s="317">
        <x:v>2</x:v>
      </x:c>
      <x:c r="E2724" s="321">
        <x:v>2900</x:v>
      </x:c>
      <x:c r="F2724" s="321">
        <x:v>5800</x:v>
      </x:c>
      <x:c r="G2724" s="321">
        <x:v>1800</x:v>
      </x:c>
      <x:c r="H2724" s="312" t="s">
        <x:v>68</x:v>
      </x:c>
      <x:c r="I2724" s="312" t="s">
        <x:v>12</x:v>
      </x:c>
      <x:c r="J2724" s="316" t="n">
        <x:f>IFERROR(G2724/F2724,0)</x:f>
        <x:v>0.3103448275862069</x:v>
      </x:c>
      <x:c r="K2724" s="312" t="str">
        <x:f>IF(B2724="Bilinmeyen Personel","Kontrol","OK")</x:f>
        <x:v>OK</x:v>
      </x:c>
    </x:row>
    <x:row r="2725" hidden="1">
      <x:c r="A2725" s="312" t="n">
        <x:f>ROW()-ROW($A$2)+1</x:f>
        <x:v>2724</x:v>
      </x:c>
      <x:c r="B2725" s="312" t="s">
        <x:v>40</x:v>
      </x:c>
      <x:c r="C2725" s="312" t="s">
        <x:v>43</x:v>
      </x:c>
      <x:c r="D2725" s="317">
        <x:v>4</x:v>
      </x:c>
      <x:c r="E2725" s="321">
        <x:v>1490</x:v>
      </x:c>
      <x:c r="F2725" s="321">
        <x:v>5960</x:v>
      </x:c>
      <x:c r="G2725" s="321">
        <x:v>2760</x:v>
      </x:c>
      <x:c r="H2725" s="312" t="s">
        <x:v>68</x:v>
      </x:c>
      <x:c r="I2725" s="312" t="s">
        <x:v>46</x:v>
      </x:c>
      <x:c r="J2725" s="316" t="n">
        <x:f>IFERROR(G2725/F2725,0)</x:f>
        <x:v>0.46308724832214765</x:v>
      </x:c>
      <x:c r="K2725" s="312" t="str">
        <x:f>IF(B2725="Bilinmeyen Personel","Kontrol","OK")</x:f>
        <x:v>OK</x:v>
      </x:c>
    </x:row>
    <x:row r="2726" hidden="1">
      <x:c r="A2726" s="312" t="n">
        <x:f>ROW()-ROW($A$2)+1</x:f>
        <x:v>2725</x:v>
      </x:c>
      <x:c r="B2726" s="312" t="s">
        <x:v>40</x:v>
      </x:c>
      <x:c r="C2726" s="312" t="s">
        <x:v>34</x:v>
      </x:c>
      <x:c r="D2726" s="317">
        <x:v>4</x:v>
      </x:c>
      <x:c r="E2726" s="321">
        <x:v>1090</x:v>
      </x:c>
      <x:c r="F2726" s="321">
        <x:v>4360</x:v>
      </x:c>
      <x:c r="G2726" s="321">
        <x:v>1160</x:v>
      </x:c>
      <x:c r="H2726" s="312" t="s">
        <x:v>68</x:v>
      </x:c>
      <x:c r="I2726" s="312" t="s">
        <x:v>46</x:v>
      </x:c>
      <x:c r="J2726" s="316" t="n">
        <x:f>IFERROR(G2726/F2726,0)</x:f>
        <x:v>0.26605504587155965</x:v>
      </x:c>
      <x:c r="K2726" s="312" t="str">
        <x:f>IF(B2726="Bilinmeyen Personel","Kontrol","OK")</x:f>
        <x:v>OK</x:v>
      </x:c>
    </x:row>
    <x:row r="2727" hidden="1">
      <x:c r="A2727" s="312" t="n">
        <x:f>ROW()-ROW($A$2)+1</x:f>
        <x:v>2726</x:v>
      </x:c>
      <x:c r="B2727" s="312" t="s">
        <x:v>29</x:v>
      </x:c>
      <x:c r="C2727" s="312" t="s">
        <x:v>30</x:v>
      </x:c>
      <x:c r="D2727" s="317">
        <x:v>5</x:v>
      </x:c>
      <x:c r="E2727" s="321">
        <x:v>1200</x:v>
      </x:c>
      <x:c r="F2727" s="321">
        <x:v>6000</x:v>
      </x:c>
      <x:c r="G2727" s="321">
        <x:v>2000</x:v>
      </x:c>
      <x:c r="H2727" s="312" t="s">
        <x:v>68</x:v>
      </x:c>
      <x:c r="I2727" s="312" t="s">
        <x:v>46</x:v>
      </x:c>
      <x:c r="J2727" s="316" t="n">
        <x:f>IFERROR(G2727/F2727,0)</x:f>
        <x:v>0.3333333333333333</x:v>
      </x:c>
      <x:c r="K2727" s="312" t="str">
        <x:f>IF(B2727="Bilinmeyen Personel","Kontrol","OK")</x:f>
        <x:v>OK</x:v>
      </x:c>
    </x:row>
    <x:row r="2728" hidden="1">
      <x:c r="A2728" s="312" t="n">
        <x:f>ROW()-ROW($A$2)+1</x:f>
        <x:v>2727</x:v>
      </x:c>
      <x:c r="B2728" s="312" t="s">
        <x:v>38</x:v>
      </x:c>
      <x:c r="C2728" s="312" t="s">
        <x:v>39</x:v>
      </x:c>
      <x:c r="D2728" s="317">
        <x:v>2</x:v>
      </x:c>
      <x:c r="E2728" s="321">
        <x:v>10590</x:v>
      </x:c>
      <x:c r="F2728" s="321">
        <x:v>21180</x:v>
      </x:c>
      <x:c r="G2728" s="321">
        <x:v>9180</x:v>
      </x:c>
      <x:c r="H2728" s="312" t="s">
        <x:v>68</x:v>
      </x:c>
      <x:c r="I2728" s="312" t="s">
        <x:v>37</x:v>
      </x:c>
      <x:c r="J2728" s="316" t="n">
        <x:f>IFERROR(G2728/F2728,0)</x:f>
        <x:v>0.43342776203966005</x:v>
      </x:c>
      <x:c r="K2728" s="312" t="str">
        <x:f>IF(B2728="Bilinmeyen Personel","Kontrol","OK")</x:f>
        <x:v>OK</x:v>
      </x:c>
    </x:row>
    <x:row r="2729" hidden="1">
      <x:c r="A2729" s="312" t="n">
        <x:f>ROW()-ROW($A$2)+1</x:f>
        <x:v>2728</x:v>
      </x:c>
      <x:c r="B2729" s="312" t="s">
        <x:v>32</x:v>
      </x:c>
      <x:c r="C2729" s="312" t="s">
        <x:v>45</x:v>
      </x:c>
      <x:c r="D2729" s="317">
        <x:v>4</x:v>
      </x:c>
      <x:c r="E2729" s="321">
        <x:v>4200</x:v>
      </x:c>
      <x:c r="F2729" s="321">
        <x:v>16800</x:v>
      </x:c>
      <x:c r="G2729" s="321">
        <x:v>4800</x:v>
      </x:c>
      <x:c r="H2729" s="312" t="s">
        <x:v>68</x:v>
      </x:c>
      <x:c r="I2729" s="312" t="s">
        <x:v>28</x:v>
      </x:c>
      <x:c r="J2729" s="316" t="n">
        <x:f>IFERROR(G2729/F2729,0)</x:f>
        <x:v>0.2857142857142857</x:v>
      </x:c>
      <x:c r="K2729" s="312" t="str">
        <x:f>IF(B2729="Bilinmeyen Personel","Kontrol","OK")</x:f>
        <x:v>OK</x:v>
      </x:c>
    </x:row>
    <x:row r="2730" hidden="1">
      <x:c r="A2730" s="312" t="n">
        <x:f>ROW()-ROW($A$2)+1</x:f>
        <x:v>2729</x:v>
      </x:c>
      <x:c r="B2730" s="312" t="s">
        <x:v>19</x:v>
      </x:c>
      <x:c r="C2730" s="312" t="s">
        <x:v>45</x:v>
      </x:c>
      <x:c r="D2730" s="317">
        <x:v>2</x:v>
      </x:c>
      <x:c r="E2730" s="321">
        <x:v>4200</x:v>
      </x:c>
      <x:c r="F2730" s="321">
        <x:v>8400</x:v>
      </x:c>
      <x:c r="G2730" s="321">
        <x:v>2400</x:v>
      </x:c>
      <x:c r="H2730" s="312" t="s">
        <x:v>68</x:v>
      </x:c>
      <x:c r="I2730" s="312" t="s">
        <x:v>46</x:v>
      </x:c>
      <x:c r="J2730" s="316" t="n">
        <x:f>IFERROR(G2730/F2730,0)</x:f>
        <x:v>0.2857142857142857</x:v>
      </x:c>
      <x:c r="K2730" s="312" t="str">
        <x:f>IF(B2730="Bilinmeyen Personel","Kontrol","OK")</x:f>
        <x:v>OK</x:v>
      </x:c>
    </x:row>
    <x:row r="2731" hidden="1">
      <x:c r="A2731" s="312" t="n">
        <x:f>ROW()-ROW($A$2)+1</x:f>
        <x:v>2730</x:v>
      </x:c>
      <x:c r="B2731" s="312" t="s">
        <x:v>35</x:v>
      </x:c>
      <x:c r="C2731" s="312" t="s">
        <x:v>39</x:v>
      </x:c>
      <x:c r="D2731" s="317">
        <x:v>5</x:v>
      </x:c>
      <x:c r="E2731" s="321">
        <x:v>10590</x:v>
      </x:c>
      <x:c r="F2731" s="321">
        <x:v>52950</x:v>
      </x:c>
      <x:c r="G2731" s="321">
        <x:v>22950</x:v>
      </x:c>
      <x:c r="H2731" s="312" t="s">
        <x:v>68</x:v>
      </x:c>
      <x:c r="I2731" s="312" t="s">
        <x:v>46</x:v>
      </x:c>
      <x:c r="J2731" s="316" t="n">
        <x:f>IFERROR(G2731/F2731,0)</x:f>
        <x:v>0.43342776203966005</x:v>
      </x:c>
      <x:c r="K2731" s="312" t="str">
        <x:f>IF(B2731="Bilinmeyen Personel","Kontrol","OK")</x:f>
        <x:v>OK</x:v>
      </x:c>
    </x:row>
    <x:row r="2732" hidden="1">
      <x:c r="A2732" s="312" t="n">
        <x:f>ROW()-ROW($A$2)+1</x:f>
        <x:v>2731</x:v>
      </x:c>
      <x:c r="B2732" s="312" t="s">
        <x:v>50</x:v>
      </x:c>
      <x:c r="C2732" s="312" t="s">
        <x:v>52</x:v>
      </x:c>
      <x:c r="D2732" s="317">
        <x:v>3</x:v>
      </x:c>
      <x:c r="E2732" s="321">
        <x:v>1250</x:v>
      </x:c>
      <x:c r="F2732" s="321">
        <x:v>3750</x:v>
      </x:c>
      <x:c r="G2732" s="321">
        <x:v>1350</x:v>
      </x:c>
      <x:c r="H2732" s="312" t="s">
        <x:v>68</x:v>
      </x:c>
      <x:c r="I2732" s="312" t="s">
        <x:v>54</x:v>
      </x:c>
      <x:c r="J2732" s="316" t="n">
        <x:f>IFERROR(G2732/F2732,0)</x:f>
        <x:v>0.36</x:v>
      </x:c>
      <x:c r="K2732" s="312" t="str">
        <x:f>IF(B2732="Bilinmeyen Personel","Kontrol","OK")</x:f>
        <x:v>OK</x:v>
      </x:c>
    </x:row>
    <x:row r="2733" hidden="1">
      <x:c r="A2733" s="312" t="n">
        <x:f>ROW()-ROW($A$2)+1</x:f>
        <x:v>2732</x:v>
      </x:c>
      <x:c r="B2733" s="312" t="s">
        <x:v>9</x:v>
      </x:c>
      <x:c r="C2733" s="312" t="s">
        <x:v>43</x:v>
      </x:c>
      <x:c r="D2733" s="317">
        <x:v>3</x:v>
      </x:c>
      <x:c r="E2733" s="321">
        <x:v>1490</x:v>
      </x:c>
      <x:c r="F2733" s="321">
        <x:v>4470</x:v>
      </x:c>
      <x:c r="G2733" s="321">
        <x:v>2070</x:v>
      </x:c>
      <x:c r="H2733" s="312" t="s">
        <x:v>68</x:v>
      </x:c>
      <x:c r="I2733" s="312" t="s">
        <x:v>15</x:v>
      </x:c>
      <x:c r="J2733" s="316" t="n">
        <x:f>IFERROR(G2733/F2733,0)</x:f>
        <x:v>0.46308724832214765</x:v>
      </x:c>
      <x:c r="K2733" s="312" t="str">
        <x:f>IF(B2733="Bilinmeyen Personel","Kontrol","OK")</x:f>
        <x:v>OK</x:v>
      </x:c>
    </x:row>
    <x:row r="2734" hidden="1">
      <x:c r="A2734" s="312" t="n">
        <x:f>ROW()-ROW($A$2)+1</x:f>
        <x:v>2733</x:v>
      </x:c>
      <x:c r="B2734" s="312" t="s">
        <x:v>32</x:v>
      </x:c>
      <x:c r="C2734" s="312" t="s">
        <x:v>30</x:v>
      </x:c>
      <x:c r="D2734" s="317">
        <x:v>5</x:v>
      </x:c>
      <x:c r="E2734" s="321">
        <x:v>1200</x:v>
      </x:c>
      <x:c r="F2734" s="321">
        <x:v>6000</x:v>
      </x:c>
      <x:c r="G2734" s="321">
        <x:v>2000</x:v>
      </x:c>
      <x:c r="H2734" s="312" t="s">
        <x:v>68</x:v>
      </x:c>
      <x:c r="I2734" s="312" t="s">
        <x:v>15</x:v>
      </x:c>
      <x:c r="J2734" s="316" t="n">
        <x:f>IFERROR(G2734/F2734,0)</x:f>
        <x:v>0.3333333333333333</x:v>
      </x:c>
      <x:c r="K2734" s="312" t="str">
        <x:f>IF(B2734="Bilinmeyen Personel","Kontrol","OK")</x:f>
        <x:v>OK</x:v>
      </x:c>
    </x:row>
    <x:row r="2735" hidden="1">
      <x:c r="A2735" s="312" t="n">
        <x:f>ROW()-ROW($A$2)+1</x:f>
        <x:v>2734</x:v>
      </x:c>
      <x:c r="B2735" s="312" t="s">
        <x:v>16</x:v>
      </x:c>
      <x:c r="C2735" s="312" t="s">
        <x:v>22</x:v>
      </x:c>
      <x:c r="D2735" s="317">
        <x:v>5</x:v>
      </x:c>
      <x:c r="E2735" s="321">
        <x:v>2180</x:v>
      </x:c>
      <x:c r="F2735" s="321">
        <x:v>10900</x:v>
      </x:c>
      <x:c r="G2735" s="321">
        <x:v>3400</x:v>
      </x:c>
      <x:c r="H2735" s="312" t="s">
        <x:v>68</x:v>
      </x:c>
      <x:c r="I2735" s="312" t="s">
        <x:v>18</x:v>
      </x:c>
      <x:c r="J2735" s="316" t="n">
        <x:f>IFERROR(G2735/F2735,0)</x:f>
        <x:v>0.3119266055045872</x:v>
      </x:c>
      <x:c r="K2735" s="312" t="str">
        <x:f>IF(B2735="Bilinmeyen Personel","Kontrol","OK")</x:f>
        <x:v>OK</x:v>
      </x:c>
    </x:row>
    <x:row r="2736" hidden="1">
      <x:c r="A2736" s="312" t="n">
        <x:f>ROW()-ROW($A$2)+1</x:f>
        <x:v>2735</x:v>
      </x:c>
      <x:c r="B2736" s="312" t="s">
        <x:v>40</x:v>
      </x:c>
      <x:c r="C2736" s="312" t="s">
        <x:v>53</x:v>
      </x:c>
      <x:c r="D2736" s="317">
        <x:v>2</x:v>
      </x:c>
      <x:c r="E2736" s="321">
        <x:v>1200</x:v>
      </x:c>
      <x:c r="F2736" s="321">
        <x:v>2400</x:v>
      </x:c>
      <x:c r="G2736" s="321">
        <x:v>800</x:v>
      </x:c>
      <x:c r="H2736" s="312" t="s">
        <x:v>68</x:v>
      </x:c>
      <x:c r="I2736" s="312" t="s">
        <x:v>46</x:v>
      </x:c>
      <x:c r="J2736" s="316" t="n">
        <x:f>IFERROR(G2736/F2736,0)</x:f>
        <x:v>0.3333333333333333</x:v>
      </x:c>
      <x:c r="K2736" s="312" t="str">
        <x:f>IF(B2736="Bilinmeyen Personel","Kontrol","OK")</x:f>
        <x:v>OK</x:v>
      </x:c>
    </x:row>
    <x:row r="2737" hidden="1">
      <x:c r="A2737" s="312" t="n">
        <x:f>ROW()-ROW($A$2)+1</x:f>
        <x:v>2736</x:v>
      </x:c>
      <x:c r="B2737" s="312" t="s">
        <x:v>9</x:v>
      </x:c>
      <x:c r="C2737" s="312" t="s">
        <x:v>33</x:v>
      </x:c>
      <x:c r="D2737" s="317">
        <x:v>2</x:v>
      </x:c>
      <x:c r="E2737" s="321">
        <x:v>1800</x:v>
      </x:c>
      <x:c r="F2737" s="321">
        <x:v>3600</x:v>
      </x:c>
      <x:c r="G2737" s="321">
        <x:v>2000</x:v>
      </x:c>
      <x:c r="H2737" s="312" t="s">
        <x:v>68</x:v>
      </x:c>
      <x:c r="I2737" s="312" t="s">
        <x:v>31</x:v>
      </x:c>
      <x:c r="J2737" s="316" t="n">
        <x:f>IFERROR(G2737/F2737,0)</x:f>
        <x:v>0.5555555555555556</x:v>
      </x:c>
      <x:c r="K2737" s="312" t="str">
        <x:f>IF(B2737="Bilinmeyen Personel","Kontrol","OK")</x:f>
        <x:v>OK</x:v>
      </x:c>
    </x:row>
    <x:row r="2738" hidden="1">
      <x:c r="A2738" s="312" t="n">
        <x:f>ROW()-ROW($A$2)+1</x:f>
        <x:v>2737</x:v>
      </x:c>
      <x:c r="B2738" s="312" t="s">
        <x:v>16</x:v>
      </x:c>
      <x:c r="C2738" s="312" t="s">
        <x:v>24</x:v>
      </x:c>
      <x:c r="D2738" s="317">
        <x:v>2</x:v>
      </x:c>
      <x:c r="E2738" s="321">
        <x:v>7600</x:v>
      </x:c>
      <x:c r="F2738" s="321">
        <x:v>15200</x:v>
      </x:c>
      <x:c r="G2738" s="321">
        <x:v>3200</x:v>
      </x:c>
      <x:c r="H2738" s="312" t="s">
        <x:v>68</x:v>
      </x:c>
      <x:c r="I2738" s="312" t="s">
        <x:v>28</x:v>
      </x:c>
      <x:c r="J2738" s="316" t="n">
        <x:f>IFERROR(G2738/F2738,0)</x:f>
        <x:v>0.21052631578947367</x:v>
      </x:c>
      <x:c r="K2738" s="312" t="str">
        <x:f>IF(B2738="Bilinmeyen Personel","Kontrol","OK")</x:f>
        <x:v>OK</x:v>
      </x:c>
    </x:row>
    <x:row r="2739" hidden="1">
      <x:c r="A2739" s="312" t="n">
        <x:f>ROW()-ROW($A$2)+1</x:f>
        <x:v>2738</x:v>
      </x:c>
      <x:c r="B2739" s="312" t="s">
        <x:v>35</x:v>
      </x:c>
      <x:c r="C2739" s="312" t="s">
        <x:v>55</x:v>
      </x:c>
      <x:c r="D2739" s="317">
        <x:v>4</x:v>
      </x:c>
      <x:c r="E2739" s="321">
        <x:v>7530</x:v>
      </x:c>
      <x:c r="F2739" s="321">
        <x:v>30120</x:v>
      </x:c>
      <x:c r="G2739" s="321">
        <x:v>6120</x:v>
      </x:c>
      <x:c r="H2739" s="312" t="s">
        <x:v>68</x:v>
      </x:c>
      <x:c r="I2739" s="312" t="s">
        <x:v>42</x:v>
      </x:c>
      <x:c r="J2739" s="316" t="n">
        <x:f>IFERROR(G2739/F2739,0)</x:f>
        <x:v>0.20318725099601595</x:v>
      </x:c>
      <x:c r="K2739" s="312" t="str">
        <x:f>IF(B2739="Bilinmeyen Personel","Kontrol","OK")</x:f>
        <x:v>OK</x:v>
      </x:c>
    </x:row>
    <x:row r="2740" hidden="1">
      <x:c r="A2740" s="312" t="n">
        <x:f>ROW()-ROW($A$2)+1</x:f>
        <x:v>2739</x:v>
      </x:c>
      <x:c r="B2740" s="312" t="s">
        <x:v>50</x:v>
      </x:c>
      <x:c r="C2740" s="312" t="s">
        <x:v>43</x:v>
      </x:c>
      <x:c r="D2740" s="317">
        <x:v>5</x:v>
      </x:c>
      <x:c r="E2740" s="321">
        <x:v>1490</x:v>
      </x:c>
      <x:c r="F2740" s="321">
        <x:v>7450</x:v>
      </x:c>
      <x:c r="G2740" s="321">
        <x:v>3450</x:v>
      </x:c>
      <x:c r="H2740" s="312" t="s">
        <x:v>68</x:v>
      </x:c>
      <x:c r="I2740" s="312" t="s">
        <x:v>28</x:v>
      </x:c>
      <x:c r="J2740" s="316" t="n">
        <x:f>IFERROR(G2740/F2740,0)</x:f>
        <x:v>0.46308724832214765</x:v>
      </x:c>
      <x:c r="K2740" s="312" t="str">
        <x:f>IF(B2740="Bilinmeyen Personel","Kontrol","OK")</x:f>
        <x:v>OK</x:v>
      </x:c>
    </x:row>
    <x:row r="2741" hidden="1">
      <x:c r="A2741" s="312" t="n">
        <x:f>ROW()-ROW($A$2)+1</x:f>
        <x:v>2740</x:v>
      </x:c>
      <x:c r="B2741" s="312" t="s">
        <x:v>9</x:v>
      </x:c>
      <x:c r="C2741" s="312" t="s">
        <x:v>56</x:v>
      </x:c>
      <x:c r="D2741" s="317">
        <x:v>3</x:v>
      </x:c>
      <x:c r="E2741" s="321">
        <x:v>5300</x:v>
      </x:c>
      <x:c r="F2741" s="321">
        <x:v>15900</x:v>
      </x:c>
      <x:c r="G2741" s="321">
        <x:v>3900</x:v>
      </x:c>
      <x:c r="H2741" s="312" t="s">
        <x:v>68</x:v>
      </x:c>
      <x:c r="I2741" s="312" t="s">
        <x:v>41</x:v>
      </x:c>
      <x:c r="J2741" s="316" t="n">
        <x:f>IFERROR(G2741/F2741,0)</x:f>
        <x:v>0.24528301886792453</x:v>
      </x:c>
      <x:c r="K2741" s="312" t="str">
        <x:f>IF(B2741="Bilinmeyen Personel","Kontrol","OK")</x:f>
        <x:v>OK</x:v>
      </x:c>
    </x:row>
    <x:row r="2742" hidden="1">
      <x:c r="A2742" s="312" t="n">
        <x:f>ROW()-ROW($A$2)+1</x:f>
        <x:v>2741</x:v>
      </x:c>
      <x:c r="B2742" s="312" t="s">
        <x:v>23</x:v>
      </x:c>
      <x:c r="C2742" s="312" t="s">
        <x:v>30</x:v>
      </x:c>
      <x:c r="D2742" s="317">
        <x:v>2</x:v>
      </x:c>
      <x:c r="E2742" s="321">
        <x:v>1200</x:v>
      </x:c>
      <x:c r="F2742" s="321">
        <x:v>2400</x:v>
      </x:c>
      <x:c r="G2742" s="321">
        <x:v>800</x:v>
      </x:c>
      <x:c r="H2742" s="312" t="s">
        <x:v>68</x:v>
      </x:c>
      <x:c r="I2742" s="312" t="s">
        <x:v>18</x:v>
      </x:c>
      <x:c r="J2742" s="316" t="n">
        <x:f>IFERROR(G2742/F2742,0)</x:f>
        <x:v>0.3333333333333333</x:v>
      </x:c>
      <x:c r="K2742" s="312" t="str">
        <x:f>IF(B2742="Bilinmeyen Personel","Kontrol","OK")</x:f>
        <x:v>OK</x:v>
      </x:c>
    </x:row>
    <x:row r="2743" hidden="1">
      <x:c r="A2743" s="312" t="n">
        <x:f>ROW()-ROW($A$2)+1</x:f>
        <x:v>2742</x:v>
      </x:c>
      <x:c r="B2743" s="312" t="s">
        <x:v>40</x:v>
      </x:c>
      <x:c r="C2743" s="312" t="s">
        <x:v>34</x:v>
      </x:c>
      <x:c r="D2743" s="317">
        <x:v>3</x:v>
      </x:c>
      <x:c r="E2743" s="321">
        <x:v>1090</x:v>
      </x:c>
      <x:c r="F2743" s="321">
        <x:v>3270</x:v>
      </x:c>
      <x:c r="G2743" s="321">
        <x:v>870</x:v>
      </x:c>
      <x:c r="H2743" s="312" t="s">
        <x:v>68</x:v>
      </x:c>
      <x:c r="I2743" s="312" t="s">
        <x:v>31</x:v>
      </x:c>
      <x:c r="J2743" s="316" t="n">
        <x:f>IFERROR(G2743/F2743,0)</x:f>
        <x:v>0.26605504587155965</x:v>
      </x:c>
      <x:c r="K2743" s="312" t="str">
        <x:f>IF(B2743="Bilinmeyen Personel","Kontrol","OK")</x:f>
        <x:v>OK</x:v>
      </x:c>
    </x:row>
    <x:row r="2744" hidden="1">
      <x:c r="A2744" s="312" t="n">
        <x:f>ROW()-ROW($A$2)+1</x:f>
        <x:v>2743</x:v>
      </x:c>
      <x:c r="B2744" s="312" t="s">
        <x:v>23</x:v>
      </x:c>
      <x:c r="C2744" s="312" t="s">
        <x:v>26</x:v>
      </x:c>
      <x:c r="D2744" s="317">
        <x:v>4</x:v>
      </x:c>
      <x:c r="E2744" s="321">
        <x:v>7250</x:v>
      </x:c>
      <x:c r="F2744" s="321">
        <x:v>29000</x:v>
      </x:c>
      <x:c r="G2744" s="321">
        <x:v>9000</x:v>
      </x:c>
      <x:c r="H2744" s="312" t="s">
        <x:v>68</x:v>
      </x:c>
      <x:c r="I2744" s="312" t="s">
        <x:v>37</x:v>
      </x:c>
      <x:c r="J2744" s="316" t="n">
        <x:f>IFERROR(G2744/F2744,0)</x:f>
        <x:v>0.3103448275862069</x:v>
      </x:c>
      <x:c r="K2744" s="312" t="str">
        <x:f>IF(B2744="Bilinmeyen Personel","Kontrol","OK")</x:f>
        <x:v>OK</x:v>
      </x:c>
    </x:row>
    <x:row r="2745" hidden="1">
      <x:c r="A2745" s="312" t="n">
        <x:f>ROW()-ROW($A$2)+1</x:f>
        <x:v>2744</x:v>
      </x:c>
      <x:c r="B2745" s="312" t="s">
        <x:v>48</x:v>
      </x:c>
      <x:c r="C2745" s="312" t="s">
        <x:v>14</x:v>
      </x:c>
      <x:c r="D2745" s="317">
        <x:v>4</x:v>
      </x:c>
      <x:c r="E2745" s="321">
        <x:v>1400</x:v>
      </x:c>
      <x:c r="F2745" s="321">
        <x:v>5600</x:v>
      </x:c>
      <x:c r="G2745" s="321">
        <x:v>2400</x:v>
      </x:c>
      <x:c r="H2745" s="312" t="s">
        <x:v>68</x:v>
      </x:c>
      <x:c r="I2745" s="312" t="s">
        <x:v>25</x:v>
      </x:c>
      <x:c r="J2745" s="316" t="n">
        <x:f>IFERROR(G2745/F2745,0)</x:f>
        <x:v>0.42857142857142855</x:v>
      </x:c>
      <x:c r="K2745" s="312" t="str">
        <x:f>IF(B2745="Bilinmeyen Personel","Kontrol","OK")</x:f>
        <x:v>OK</x:v>
      </x:c>
    </x:row>
    <x:row r="2746" hidden="1">
      <x:c r="A2746" s="312" t="n">
        <x:f>ROW()-ROW($A$2)+1</x:f>
        <x:v>2745</x:v>
      </x:c>
      <x:c r="B2746" s="312" t="s">
        <x:v>16</x:v>
      </x:c>
      <x:c r="C2746" s="312" t="s">
        <x:v>57</x:v>
      </x:c>
      <x:c r="D2746" s="317">
        <x:v>3</x:v>
      </x:c>
      <x:c r="E2746" s="321">
        <x:v>1500</x:v>
      </x:c>
      <x:c r="F2746" s="321">
        <x:v>4500</x:v>
      </x:c>
      <x:c r="G2746" s="321">
        <x:v>2100</x:v>
      </x:c>
      <x:c r="H2746" s="312" t="s">
        <x:v>68</x:v>
      </x:c>
      <x:c r="I2746" s="312" t="s">
        <x:v>54</x:v>
      </x:c>
      <x:c r="J2746" s="316" t="n">
        <x:f>IFERROR(G2746/F2746,0)</x:f>
        <x:v>0.4666666666666667</x:v>
      </x:c>
      <x:c r="K2746" s="312" t="str">
        <x:f>IF(B2746="Bilinmeyen Personel","Kontrol","OK")</x:f>
        <x:v>OK</x:v>
      </x:c>
    </x:row>
    <x:row r="2747" hidden="1">
      <x:c r="A2747" s="312" t="n">
        <x:f>ROW()-ROW($A$2)+1</x:f>
        <x:v>2746</x:v>
      </x:c>
      <x:c r="B2747" s="312" t="s">
        <x:v>35</x:v>
      </x:c>
      <x:c r="C2747" s="312" t="s">
        <x:v>20</x:v>
      </x:c>
      <x:c r="D2747" s="317">
        <x:v>3</x:v>
      </x:c>
      <x:c r="E2747" s="321">
        <x:v>1350</x:v>
      </x:c>
      <x:c r="F2747" s="321">
        <x:v>4050</x:v>
      </x:c>
      <x:c r="G2747" s="321">
        <x:v>1650</x:v>
      </x:c>
      <x:c r="H2747" s="312" t="s">
        <x:v>68</x:v>
      </x:c>
      <x:c r="I2747" s="312" t="s">
        <x:v>15</x:v>
      </x:c>
      <x:c r="J2747" s="316" t="n">
        <x:f>IFERROR(G2747/F2747,0)</x:f>
        <x:v>0.4074074074074074</x:v>
      </x:c>
      <x:c r="K2747" s="312" t="str">
        <x:f>IF(B2747="Bilinmeyen Personel","Kontrol","OK")</x:f>
        <x:v>OK</x:v>
      </x:c>
    </x:row>
    <x:row r="2748" hidden="1">
      <x:c r="A2748" s="312" t="n">
        <x:f>ROW()-ROW($A$2)+1</x:f>
        <x:v>2747</x:v>
      </x:c>
      <x:c r="B2748" s="312" t="s">
        <x:v>35</x:v>
      </x:c>
      <x:c r="C2748" s="312" t="s">
        <x:v>30</x:v>
      </x:c>
      <x:c r="D2748" s="317">
        <x:v>2</x:v>
      </x:c>
      <x:c r="E2748" s="321">
        <x:v>1200</x:v>
      </x:c>
      <x:c r="F2748" s="321">
        <x:v>2400</x:v>
      </x:c>
      <x:c r="G2748" s="321">
        <x:v>800</x:v>
      </x:c>
      <x:c r="H2748" s="312" t="s">
        <x:v>68</x:v>
      </x:c>
      <x:c r="I2748" s="312" t="s">
        <x:v>41</x:v>
      </x:c>
      <x:c r="J2748" s="316" t="n">
        <x:f>IFERROR(G2748/F2748,0)</x:f>
        <x:v>0.3333333333333333</x:v>
      </x:c>
      <x:c r="K2748" s="312" t="str">
        <x:f>IF(B2748="Bilinmeyen Personel","Kontrol","OK")</x:f>
        <x:v>OK</x:v>
      </x:c>
    </x:row>
    <x:row r="2749" hidden="1">
      <x:c r="A2749" s="312" t="n">
        <x:f>ROW()-ROW($A$2)+1</x:f>
        <x:v>2748</x:v>
      </x:c>
      <x:c r="B2749" s="312" t="s">
        <x:v>13</x:v>
      </x:c>
      <x:c r="C2749" s="312" t="s">
        <x:v>55</x:v>
      </x:c>
      <x:c r="D2749" s="317">
        <x:v>2</x:v>
      </x:c>
      <x:c r="E2749" s="321">
        <x:v>7530</x:v>
      </x:c>
      <x:c r="F2749" s="321">
        <x:v>15060</x:v>
      </x:c>
      <x:c r="G2749" s="321">
        <x:v>3060</x:v>
      </x:c>
      <x:c r="H2749" s="312" t="s">
        <x:v>68</x:v>
      </x:c>
      <x:c r="I2749" s="312" t="s">
        <x:v>44</x:v>
      </x:c>
      <x:c r="J2749" s="316" t="n">
        <x:f>IFERROR(G2749/F2749,0)</x:f>
        <x:v>0.20318725099601595</x:v>
      </x:c>
      <x:c r="K2749" s="312" t="str">
        <x:f>IF(B2749="Bilinmeyen Personel","Kontrol","OK")</x:f>
        <x:v>OK</x:v>
      </x:c>
    </x:row>
    <x:row r="2750" hidden="1">
      <x:c r="A2750" s="312" t="n">
        <x:f>ROW()-ROW($A$2)+1</x:f>
        <x:v>2749</x:v>
      </x:c>
      <x:c r="B2750" s="312" t="s">
        <x:v>48</x:v>
      </x:c>
      <x:c r="C2750" s="312" t="s">
        <x:v>30</x:v>
      </x:c>
      <x:c r="D2750" s="317">
        <x:v>2</x:v>
      </x:c>
      <x:c r="E2750" s="321">
        <x:v>1200</x:v>
      </x:c>
      <x:c r="F2750" s="321">
        <x:v>2400</x:v>
      </x:c>
      <x:c r="G2750" s="321">
        <x:v>800</x:v>
      </x:c>
      <x:c r="H2750" s="312" t="s">
        <x:v>68</x:v>
      </x:c>
      <x:c r="I2750" s="312" t="s">
        <x:v>12</x:v>
      </x:c>
      <x:c r="J2750" s="316" t="n">
        <x:f>IFERROR(G2750/F2750,0)</x:f>
        <x:v>0.3333333333333333</x:v>
      </x:c>
      <x:c r="K2750" s="312" t="str">
        <x:f>IF(B2750="Bilinmeyen Personel","Kontrol","OK")</x:f>
        <x:v>OK</x:v>
      </x:c>
    </x:row>
    <x:row r="2751" hidden="1">
      <x:c r="A2751" s="312" t="n">
        <x:f>ROW()-ROW($A$2)+1</x:f>
        <x:v>2750</x:v>
      </x:c>
      <x:c r="B2751" s="312" t="s">
        <x:v>38</x:v>
      </x:c>
      <x:c r="C2751" s="312" t="s">
        <x:v>33</x:v>
      </x:c>
      <x:c r="D2751" s="317">
        <x:v>2</x:v>
      </x:c>
      <x:c r="E2751" s="321">
        <x:v>1800</x:v>
      </x:c>
      <x:c r="F2751" s="321">
        <x:v>3600</x:v>
      </x:c>
      <x:c r="G2751" s="321">
        <x:v>2000</x:v>
      </x:c>
      <x:c r="H2751" s="312" t="s">
        <x:v>68</x:v>
      </x:c>
      <x:c r="I2751" s="312" t="s">
        <x:v>37</x:v>
      </x:c>
      <x:c r="J2751" s="316" t="n">
        <x:f>IFERROR(G2751/F2751,0)</x:f>
        <x:v>0.5555555555555556</x:v>
      </x:c>
      <x:c r="K2751" s="312" t="str">
        <x:f>IF(B2751="Bilinmeyen Personel","Kontrol","OK")</x:f>
        <x:v>OK</x:v>
      </x:c>
    </x:row>
    <x:row r="2752" hidden="1">
      <x:c r="A2752" s="312" t="n">
        <x:f>ROW()-ROW($A$2)+1</x:f>
        <x:v>2751</x:v>
      </x:c>
      <x:c r="B2752" s="312" t="s">
        <x:v>9</x:v>
      </x:c>
      <x:c r="C2752" s="312" t="s">
        <x:v>26</x:v>
      </x:c>
      <x:c r="D2752" s="317">
        <x:v>2</x:v>
      </x:c>
      <x:c r="E2752" s="321">
        <x:v>7250</x:v>
      </x:c>
      <x:c r="F2752" s="321">
        <x:v>14500</x:v>
      </x:c>
      <x:c r="G2752" s="321">
        <x:v>4500</x:v>
      </x:c>
      <x:c r="H2752" s="312" t="s">
        <x:v>68</x:v>
      </x:c>
      <x:c r="I2752" s="312" t="s">
        <x:v>25</x:v>
      </x:c>
      <x:c r="J2752" s="316" t="n">
        <x:f>IFERROR(G2752/F2752,0)</x:f>
        <x:v>0.3103448275862069</x:v>
      </x:c>
      <x:c r="K2752" s="312" t="str">
        <x:f>IF(B2752="Bilinmeyen Personel","Kontrol","OK")</x:f>
        <x:v>OK</x:v>
      </x:c>
    </x:row>
    <x:row r="2753" hidden="1">
      <x:c r="A2753" s="312" t="n">
        <x:f>ROW()-ROW($A$2)+1</x:f>
        <x:v>2752</x:v>
      </x:c>
      <x:c r="B2753" s="312" t="s">
        <x:v>40</x:v>
      </x:c>
      <x:c r="C2753" s="312" t="s">
        <x:v>43</x:v>
      </x:c>
      <x:c r="D2753" s="317">
        <x:v>4</x:v>
      </x:c>
      <x:c r="E2753" s="321">
        <x:v>1490</x:v>
      </x:c>
      <x:c r="F2753" s="321">
        <x:v>5960</x:v>
      </x:c>
      <x:c r="G2753" s="321">
        <x:v>2760</x:v>
      </x:c>
      <x:c r="H2753" s="312" t="s">
        <x:v>68</x:v>
      </x:c>
      <x:c r="I2753" s="312" t="s">
        <x:v>15</x:v>
      </x:c>
      <x:c r="J2753" s="316" t="n">
        <x:f>IFERROR(G2753/F2753,0)</x:f>
        <x:v>0.46308724832214765</x:v>
      </x:c>
      <x:c r="K2753" s="312" t="str">
        <x:f>IF(B2753="Bilinmeyen Personel","Kontrol","OK")</x:f>
        <x:v>OK</x:v>
      </x:c>
    </x:row>
    <x:row r="2754" hidden="1">
      <x:c r="A2754" s="312" t="n">
        <x:f>ROW()-ROW($A$2)+1</x:f>
        <x:v>2753</x:v>
      </x:c>
      <x:c r="B2754" s="312" t="s">
        <x:v>40</x:v>
      </x:c>
      <x:c r="C2754" s="312" t="s">
        <x:v>53</x:v>
      </x:c>
      <x:c r="D2754" s="317">
        <x:v>2</x:v>
      </x:c>
      <x:c r="E2754" s="321">
        <x:v>1200</x:v>
      </x:c>
      <x:c r="F2754" s="321">
        <x:v>2400</x:v>
      </x:c>
      <x:c r="G2754" s="321">
        <x:v>800</x:v>
      </x:c>
      <x:c r="H2754" s="312" t="s">
        <x:v>68</x:v>
      </x:c>
      <x:c r="I2754" s="312" t="s">
        <x:v>21</x:v>
      </x:c>
      <x:c r="J2754" s="316" t="n">
        <x:f>IFERROR(G2754/F2754,0)</x:f>
        <x:v>0.3333333333333333</x:v>
      </x:c>
      <x:c r="K2754" s="312" t="str">
        <x:f>IF(B2754="Bilinmeyen Personel","Kontrol","OK")</x:f>
        <x:v>OK</x:v>
      </x:c>
    </x:row>
    <x:row r="2755" hidden="1">
      <x:c r="A2755" s="312" t="n">
        <x:f>ROW()-ROW($A$2)+1</x:f>
        <x:v>2754</x:v>
      </x:c>
      <x:c r="B2755" s="312" t="s">
        <x:v>13</x:v>
      </x:c>
      <x:c r="C2755" s="312" t="s">
        <x:v>36</x:v>
      </x:c>
      <x:c r="D2755" s="317">
        <x:v>5</x:v>
      </x:c>
      <x:c r="E2755" s="321">
        <x:v>8000</x:v>
      </x:c>
      <x:c r="F2755" s="321">
        <x:v>40000</x:v>
      </x:c>
      <x:c r="G2755" s="321">
        <x:v>10000</x:v>
      </x:c>
      <x:c r="H2755" s="312" t="s">
        <x:v>68</x:v>
      </x:c>
      <x:c r="I2755" s="312" t="s">
        <x:v>21</x:v>
      </x:c>
      <x:c r="J2755" s="316" t="n">
        <x:f>IFERROR(G2755/F2755,0)</x:f>
        <x:v>0.25</x:v>
      </x:c>
      <x:c r="K2755" s="312" t="str">
        <x:f>IF(B2755="Bilinmeyen Personel","Kontrol","OK")</x:f>
        <x:v>OK</x:v>
      </x:c>
    </x:row>
    <x:row r="2756" hidden="1">
      <x:c r="A2756" s="312" t="n">
        <x:f>ROW()-ROW($A$2)+1</x:f>
        <x:v>2755</x:v>
      </x:c>
      <x:c r="B2756" s="312" t="s">
        <x:v>32</x:v>
      </x:c>
      <x:c r="C2756" s="312" t="s">
        <x:v>14</x:v>
      </x:c>
      <x:c r="D2756" s="317">
        <x:v>5</x:v>
      </x:c>
      <x:c r="E2756" s="321">
        <x:v>1400</x:v>
      </x:c>
      <x:c r="F2756" s="321">
        <x:v>7000</x:v>
      </x:c>
      <x:c r="G2756" s="321">
        <x:v>3000</x:v>
      </x:c>
      <x:c r="H2756" s="312" t="s">
        <x:v>68</x:v>
      </x:c>
      <x:c r="I2756" s="312" t="s">
        <x:v>44</x:v>
      </x:c>
      <x:c r="J2756" s="316" t="n">
        <x:f>IFERROR(G2756/F2756,0)</x:f>
        <x:v>0.42857142857142855</x:v>
      </x:c>
      <x:c r="K2756" s="312" t="str">
        <x:f>IF(B2756="Bilinmeyen Personel","Kontrol","OK")</x:f>
        <x:v>OK</x:v>
      </x:c>
    </x:row>
    <x:row r="2757" hidden="1">
      <x:c r="A2757" s="312" t="n">
        <x:f>ROW()-ROW($A$2)+1</x:f>
        <x:v>2756</x:v>
      </x:c>
      <x:c r="B2757" s="312" t="s">
        <x:v>29</x:v>
      </x:c>
      <x:c r="C2757" s="312" t="s">
        <x:v>20</x:v>
      </x:c>
      <x:c r="D2757" s="317">
        <x:v>4</x:v>
      </x:c>
      <x:c r="E2757" s="321">
        <x:v>1350</x:v>
      </x:c>
      <x:c r="F2757" s="321">
        <x:v>5400</x:v>
      </x:c>
      <x:c r="G2757" s="321">
        <x:v>2200</x:v>
      </x:c>
      <x:c r="H2757" s="312" t="s">
        <x:v>68</x:v>
      </x:c>
      <x:c r="I2757" s="312" t="s">
        <x:v>41</x:v>
      </x:c>
      <x:c r="J2757" s="316" t="n">
        <x:f>IFERROR(G2757/F2757,0)</x:f>
        <x:v>0.4074074074074074</x:v>
      </x:c>
      <x:c r="K2757" s="312" t="str">
        <x:f>IF(B2757="Bilinmeyen Personel","Kontrol","OK")</x:f>
        <x:v>OK</x:v>
      </x:c>
    </x:row>
    <x:row r="2758" hidden="1">
      <x:c r="A2758" s="312" t="n">
        <x:f>ROW()-ROW($A$2)+1</x:f>
        <x:v>2757</x:v>
      </x:c>
      <x:c r="B2758" s="312" t="s">
        <x:v>38</x:v>
      </x:c>
      <x:c r="C2758" s="312" t="s">
        <x:v>53</x:v>
      </x:c>
      <x:c r="D2758" s="317">
        <x:v>4</x:v>
      </x:c>
      <x:c r="E2758" s="321">
        <x:v>1200</x:v>
      </x:c>
      <x:c r="F2758" s="321">
        <x:v>4800</x:v>
      </x:c>
      <x:c r="G2758" s="321">
        <x:v>1600</x:v>
      </x:c>
      <x:c r="H2758" s="312" t="s">
        <x:v>68</x:v>
      </x:c>
      <x:c r="I2758" s="312" t="s">
        <x:v>54</x:v>
      </x:c>
      <x:c r="J2758" s="316" t="n">
        <x:f>IFERROR(G2758/F2758,0)</x:f>
        <x:v>0.3333333333333333</x:v>
      </x:c>
      <x:c r="K2758" s="312" t="str">
        <x:f>IF(B2758="Bilinmeyen Personel","Kontrol","OK")</x:f>
        <x:v>OK</x:v>
      </x:c>
    </x:row>
    <x:row r="2759" hidden="1">
      <x:c r="A2759" s="312" t="n">
        <x:f>ROW()-ROW($A$2)+1</x:f>
        <x:v>2758</x:v>
      </x:c>
      <x:c r="B2759" s="312" t="s">
        <x:v>32</x:v>
      </x:c>
      <x:c r="C2759" s="312" t="s">
        <x:v>56</x:v>
      </x:c>
      <x:c r="D2759" s="317">
        <x:v>2</x:v>
      </x:c>
      <x:c r="E2759" s="321">
        <x:v>5300</x:v>
      </x:c>
      <x:c r="F2759" s="321">
        <x:v>10600</x:v>
      </x:c>
      <x:c r="G2759" s="321">
        <x:v>2600</x:v>
      </x:c>
      <x:c r="H2759" s="312" t="s">
        <x:v>68</x:v>
      </x:c>
      <x:c r="I2759" s="312" t="s">
        <x:v>44</x:v>
      </x:c>
      <x:c r="J2759" s="316" t="n">
        <x:f>IFERROR(G2759/F2759,0)</x:f>
        <x:v>0.24528301886792453</x:v>
      </x:c>
      <x:c r="K2759" s="312" t="str">
        <x:f>IF(B2759="Bilinmeyen Personel","Kontrol","OK")</x:f>
        <x:v>OK</x:v>
      </x:c>
    </x:row>
    <x:row r="2760" hidden="1">
      <x:c r="A2760" s="312" t="n">
        <x:f>ROW()-ROW($A$2)+1</x:f>
        <x:v>2759</x:v>
      </x:c>
      <x:c r="B2760" s="312" t="s">
        <x:v>40</x:v>
      </x:c>
      <x:c r="C2760" s="312" t="s">
        <x:v>39</x:v>
      </x:c>
      <x:c r="D2760" s="317">
        <x:v>3</x:v>
      </x:c>
      <x:c r="E2760" s="321">
        <x:v>10590</x:v>
      </x:c>
      <x:c r="F2760" s="321">
        <x:v>31770</x:v>
      </x:c>
      <x:c r="G2760" s="321">
        <x:v>13770</x:v>
      </x:c>
      <x:c r="H2760" s="312" t="s">
        <x:v>68</x:v>
      </x:c>
      <x:c r="I2760" s="312" t="s">
        <x:v>54</x:v>
      </x:c>
      <x:c r="J2760" s="316" t="n">
        <x:f>IFERROR(G2760/F2760,0)</x:f>
        <x:v>0.43342776203966005</x:v>
      </x:c>
      <x:c r="K2760" s="312" t="str">
        <x:f>IF(B2760="Bilinmeyen Personel","Kontrol","OK")</x:f>
        <x:v>OK</x:v>
      </x:c>
    </x:row>
    <x:row r="2761" hidden="1">
      <x:c r="A2761" s="312" t="n">
        <x:f>ROW()-ROW($A$2)+1</x:f>
        <x:v>2760</x:v>
      </x:c>
      <x:c r="B2761" s="312" t="s">
        <x:v>23</x:v>
      </x:c>
      <x:c r="C2761" s="312" t="s">
        <x:v>52</x:v>
      </x:c>
      <x:c r="D2761" s="317">
        <x:v>2</x:v>
      </x:c>
      <x:c r="E2761" s="321">
        <x:v>1250</x:v>
      </x:c>
      <x:c r="F2761" s="321">
        <x:v>2500</x:v>
      </x:c>
      <x:c r="G2761" s="321">
        <x:v>900</x:v>
      </x:c>
      <x:c r="H2761" s="312" t="s">
        <x:v>68</x:v>
      </x:c>
      <x:c r="I2761" s="312" t="s">
        <x:v>46</x:v>
      </x:c>
      <x:c r="J2761" s="316" t="n">
        <x:f>IFERROR(G2761/F2761,0)</x:f>
        <x:v>0.36</x:v>
      </x:c>
      <x:c r="K2761" s="312" t="str">
        <x:f>IF(B2761="Bilinmeyen Personel","Kontrol","OK")</x:f>
        <x:v>OK</x:v>
      </x:c>
    </x:row>
    <x:row r="2762" hidden="1">
      <x:c r="A2762" s="312" t="n">
        <x:f>ROW()-ROW($A$2)+1</x:f>
        <x:v>2761</x:v>
      </x:c>
      <x:c r="B2762" s="312" t="s">
        <x:v>50</x:v>
      </x:c>
      <x:c r="C2762" s="312" t="s">
        <x:v>53</x:v>
      </x:c>
      <x:c r="D2762" s="317">
        <x:v>5</x:v>
      </x:c>
      <x:c r="E2762" s="321">
        <x:v>1200</x:v>
      </x:c>
      <x:c r="F2762" s="321">
        <x:v>6000</x:v>
      </x:c>
      <x:c r="G2762" s="321">
        <x:v>2000</x:v>
      </x:c>
      <x:c r="H2762" s="312" t="s">
        <x:v>68</x:v>
      </x:c>
      <x:c r="I2762" s="312" t="s">
        <x:v>37</x:v>
      </x:c>
      <x:c r="J2762" s="316" t="n">
        <x:f>IFERROR(G2762/F2762,0)</x:f>
        <x:v>0.3333333333333333</x:v>
      </x:c>
      <x:c r="K2762" s="312" t="str">
        <x:f>IF(B2762="Bilinmeyen Personel","Kontrol","OK")</x:f>
        <x:v>OK</x:v>
      </x:c>
    </x:row>
    <x:row r="2763" hidden="1">
      <x:c r="A2763" s="312" t="n">
        <x:f>ROW()-ROW($A$2)+1</x:f>
        <x:v>2762</x:v>
      </x:c>
      <x:c r="B2763" s="312" t="s">
        <x:v>23</x:v>
      </x:c>
      <x:c r="C2763" s="312" t="s">
        <x:v>14</x:v>
      </x:c>
      <x:c r="D2763" s="317">
        <x:v>3</x:v>
      </x:c>
      <x:c r="E2763" s="321">
        <x:v>1400</x:v>
      </x:c>
      <x:c r="F2763" s="321">
        <x:v>4200</x:v>
      </x:c>
      <x:c r="G2763" s="321">
        <x:v>1800</x:v>
      </x:c>
      <x:c r="H2763" s="312" t="s">
        <x:v>68</x:v>
      </x:c>
      <x:c r="I2763" s="312" t="s">
        <x:v>15</x:v>
      </x:c>
      <x:c r="J2763" s="316" t="n">
        <x:f>IFERROR(G2763/F2763,0)</x:f>
        <x:v>0.42857142857142855</x:v>
      </x:c>
      <x:c r="K2763" s="312" t="str">
        <x:f>IF(B2763="Bilinmeyen Personel","Kontrol","OK")</x:f>
        <x:v>OK</x:v>
      </x:c>
    </x:row>
    <x:row r="2764" hidden="1">
      <x:c r="A2764" s="312" t="n">
        <x:f>ROW()-ROW($A$2)+1</x:f>
        <x:v>2763</x:v>
      </x:c>
      <x:c r="B2764" s="312" t="s">
        <x:v>50</x:v>
      </x:c>
      <x:c r="C2764" s="312" t="s">
        <x:v>55</x:v>
      </x:c>
      <x:c r="D2764" s="317">
        <x:v>5</x:v>
      </x:c>
      <x:c r="E2764" s="321">
        <x:v>7530</x:v>
      </x:c>
      <x:c r="F2764" s="321">
        <x:v>37650</x:v>
      </x:c>
      <x:c r="G2764" s="321">
        <x:v>7650</x:v>
      </x:c>
      <x:c r="H2764" s="312" t="s">
        <x:v>68</x:v>
      </x:c>
      <x:c r="I2764" s="312" t="s">
        <x:v>15</x:v>
      </x:c>
      <x:c r="J2764" s="316" t="n">
        <x:f>IFERROR(G2764/F2764,0)</x:f>
        <x:v>0.20318725099601595</x:v>
      </x:c>
      <x:c r="K2764" s="312" t="str">
        <x:f>IF(B2764="Bilinmeyen Personel","Kontrol","OK")</x:f>
        <x:v>OK</x:v>
      </x:c>
    </x:row>
    <x:row r="2765" hidden="1">
      <x:c r="A2765" s="312" t="n">
        <x:f>ROW()-ROW($A$2)+1</x:f>
        <x:v>2764</x:v>
      </x:c>
      <x:c r="B2765" s="312" t="s">
        <x:v>32</x:v>
      </x:c>
      <x:c r="C2765" s="312" t="s">
        <x:v>24</x:v>
      </x:c>
      <x:c r="D2765" s="317">
        <x:v>4</x:v>
      </x:c>
      <x:c r="E2765" s="321">
        <x:v>7600</x:v>
      </x:c>
      <x:c r="F2765" s="321">
        <x:v>30400</x:v>
      </x:c>
      <x:c r="G2765" s="321">
        <x:v>6400</x:v>
      </x:c>
      <x:c r="H2765" s="312" t="s">
        <x:v>68</x:v>
      </x:c>
      <x:c r="I2765" s="312" t="s">
        <x:v>31</x:v>
      </x:c>
      <x:c r="J2765" s="316" t="n">
        <x:f>IFERROR(G2765/F2765,0)</x:f>
        <x:v>0.21052631578947367</x:v>
      </x:c>
      <x:c r="K2765" s="312" t="str">
        <x:f>IF(B2765="Bilinmeyen Personel","Kontrol","OK")</x:f>
        <x:v>OK</x:v>
      </x:c>
    </x:row>
    <x:row r="2766" hidden="1">
      <x:c r="A2766" s="312" t="n">
        <x:f>ROW()-ROW($A$2)+1</x:f>
        <x:v>2765</x:v>
      </x:c>
      <x:c r="B2766" s="312" t="s">
        <x:v>50</x:v>
      </x:c>
      <x:c r="C2766" s="312" t="s">
        <x:v>57</x:v>
      </x:c>
      <x:c r="D2766" s="317">
        <x:v>4</x:v>
      </x:c>
      <x:c r="E2766" s="321">
        <x:v>1500</x:v>
      </x:c>
      <x:c r="F2766" s="321">
        <x:v>6000</x:v>
      </x:c>
      <x:c r="G2766" s="321">
        <x:v>2800</x:v>
      </x:c>
      <x:c r="H2766" s="312" t="s">
        <x:v>68</x:v>
      </x:c>
      <x:c r="I2766" s="312" t="s">
        <x:v>18</x:v>
      </x:c>
      <x:c r="J2766" s="316" t="n">
        <x:f>IFERROR(G2766/F2766,0)</x:f>
        <x:v>0.4666666666666667</x:v>
      </x:c>
      <x:c r="K2766" s="312" t="str">
        <x:f>IF(B2766="Bilinmeyen Personel","Kontrol","OK")</x:f>
        <x:v>OK</x:v>
      </x:c>
    </x:row>
    <x:row r="2767" hidden="1">
      <x:c r="A2767" s="312" t="n">
        <x:f>ROW()-ROW($A$2)+1</x:f>
        <x:v>2766</x:v>
      </x:c>
      <x:c r="B2767" s="312" t="s">
        <x:v>40</x:v>
      </x:c>
      <x:c r="C2767" s="312" t="s">
        <x:v>22</x:v>
      </x:c>
      <x:c r="D2767" s="317">
        <x:v>2</x:v>
      </x:c>
      <x:c r="E2767" s="321">
        <x:v>2180</x:v>
      </x:c>
      <x:c r="F2767" s="321">
        <x:v>4360</x:v>
      </x:c>
      <x:c r="G2767" s="321">
        <x:v>1360</x:v>
      </x:c>
      <x:c r="H2767" s="312" t="s">
        <x:v>68</x:v>
      </x:c>
      <x:c r="I2767" s="312" t="s">
        <x:v>12</x:v>
      </x:c>
      <x:c r="J2767" s="316" t="n">
        <x:f>IFERROR(G2767/F2767,0)</x:f>
        <x:v>0.3119266055045872</x:v>
      </x:c>
      <x:c r="K2767" s="312" t="str">
        <x:f>IF(B2767="Bilinmeyen Personel","Kontrol","OK")</x:f>
        <x:v>OK</x:v>
      </x:c>
    </x:row>
    <x:row r="2768" hidden="1">
      <x:c r="A2768" s="312" t="n">
        <x:f>ROW()-ROW($A$2)+1</x:f>
        <x:v>2767</x:v>
      </x:c>
      <x:c r="B2768" s="312" t="s">
        <x:v>19</x:v>
      </x:c>
      <x:c r="C2768" s="312" t="s">
        <x:v>22</x:v>
      </x:c>
      <x:c r="D2768" s="317">
        <x:v>5</x:v>
      </x:c>
      <x:c r="E2768" s="321">
        <x:v>2180</x:v>
      </x:c>
      <x:c r="F2768" s="321">
        <x:v>10900</x:v>
      </x:c>
      <x:c r="G2768" s="321">
        <x:v>3400</x:v>
      </x:c>
      <x:c r="H2768" s="312" t="s">
        <x:v>68</x:v>
      </x:c>
      <x:c r="I2768" s="312" t="s">
        <x:v>41</x:v>
      </x:c>
      <x:c r="J2768" s="316" t="n">
        <x:f>IFERROR(G2768/F2768,0)</x:f>
        <x:v>0.3119266055045872</x:v>
      </x:c>
      <x:c r="K2768" s="312" t="str">
        <x:f>IF(B2768="Bilinmeyen Personel","Kontrol","OK")</x:f>
        <x:v>OK</x:v>
      </x:c>
    </x:row>
    <x:row r="2769" hidden="1">
      <x:c r="A2769" s="312" t="n">
        <x:f>ROW()-ROW($A$2)+1</x:f>
        <x:v>2768</x:v>
      </x:c>
      <x:c r="B2769" s="312" t="s">
        <x:v>40</x:v>
      </x:c>
      <x:c r="C2769" s="312" t="s">
        <x:v>47</x:v>
      </x:c>
      <x:c r="D2769" s="317">
        <x:v>2</x:v>
      </x:c>
      <x:c r="E2769" s="321">
        <x:v>5775</x:v>
      </x:c>
      <x:c r="F2769" s="321">
        <x:v>11550</x:v>
      </x:c>
      <x:c r="G2769" s="321">
        <x:v>3550</x:v>
      </x:c>
      <x:c r="H2769" s="312" t="s">
        <x:v>68</x:v>
      </x:c>
      <x:c r="I2769" s="312" t="s">
        <x:v>41</x:v>
      </x:c>
      <x:c r="J2769" s="316" t="n">
        <x:f>IFERROR(G2769/F2769,0)</x:f>
        <x:v>0.30735930735930733</x:v>
      </x:c>
      <x:c r="K2769" s="312" t="str">
        <x:f>IF(B2769="Bilinmeyen Personel","Kontrol","OK")</x:f>
        <x:v>OK</x:v>
      </x:c>
    </x:row>
    <x:row r="2770" hidden="1">
      <x:c r="A2770" s="312" t="n">
        <x:f>ROW()-ROW($A$2)+1</x:f>
        <x:v>2769</x:v>
      </x:c>
      <x:c r="B2770" s="312" t="s">
        <x:v>40</x:v>
      </x:c>
      <x:c r="C2770" s="312" t="s">
        <x:v>27</x:v>
      </x:c>
      <x:c r="D2770" s="317">
        <x:v>5</x:v>
      </x:c>
      <x:c r="E2770" s="321">
        <x:v>1100</x:v>
      </x:c>
      <x:c r="F2770" s="321">
        <x:v>5500</x:v>
      </x:c>
      <x:c r="G2770" s="321">
        <x:v>1500</x:v>
      </x:c>
      <x:c r="H2770" s="312" t="s">
        <x:v>68</x:v>
      </x:c>
      <x:c r="I2770" s="312" t="s">
        <x:v>44</x:v>
      </x:c>
      <x:c r="J2770" s="316" t="n">
        <x:f>IFERROR(G2770/F2770,0)</x:f>
        <x:v>0.2727272727272727</x:v>
      </x:c>
      <x:c r="K2770" s="312" t="str">
        <x:f>IF(B2770="Bilinmeyen Personel","Kontrol","OK")</x:f>
        <x:v>OK</x:v>
      </x:c>
    </x:row>
    <x:row r="2771" hidden="1">
      <x:c r="A2771" s="312" t="n">
        <x:f>ROW()-ROW($A$2)+1</x:f>
        <x:v>2770</x:v>
      </x:c>
      <x:c r="B2771" s="312" t="s">
        <x:v>48</x:v>
      </x:c>
      <x:c r="C2771" s="312" t="s">
        <x:v>47</x:v>
      </x:c>
      <x:c r="D2771" s="317">
        <x:v>3</x:v>
      </x:c>
      <x:c r="E2771" s="321">
        <x:v>5775</x:v>
      </x:c>
      <x:c r="F2771" s="321">
        <x:v>17325</x:v>
      </x:c>
      <x:c r="G2771" s="321">
        <x:v>5325</x:v>
      </x:c>
      <x:c r="H2771" s="312" t="s">
        <x:v>68</x:v>
      </x:c>
      <x:c r="I2771" s="312" t="s">
        <x:v>42</x:v>
      </x:c>
      <x:c r="J2771" s="316" t="n">
        <x:f>IFERROR(G2771/F2771,0)</x:f>
        <x:v>0.30735930735930733</x:v>
      </x:c>
      <x:c r="K2771" s="312" t="str">
        <x:f>IF(B2771="Bilinmeyen Personel","Kontrol","OK")</x:f>
        <x:v>OK</x:v>
      </x:c>
    </x:row>
    <x:row r="2772" hidden="1">
      <x:c r="A2772" s="312" t="n">
        <x:f>ROW()-ROW($A$2)+1</x:f>
        <x:v>2771</x:v>
      </x:c>
      <x:c r="B2772" s="312" t="s">
        <x:v>35</x:v>
      </x:c>
      <x:c r="C2772" s="312" t="s">
        <x:v>20</x:v>
      </x:c>
      <x:c r="D2772" s="317">
        <x:v>2</x:v>
      </x:c>
      <x:c r="E2772" s="321">
        <x:v>1350</x:v>
      </x:c>
      <x:c r="F2772" s="321">
        <x:v>2700</x:v>
      </x:c>
      <x:c r="G2772" s="321">
        <x:v>1100</x:v>
      </x:c>
      <x:c r="H2772" s="312" t="s">
        <x:v>68</x:v>
      </x:c>
      <x:c r="I2772" s="312" t="s">
        <x:v>46</x:v>
      </x:c>
      <x:c r="J2772" s="316" t="n">
        <x:f>IFERROR(G2772/F2772,0)</x:f>
        <x:v>0.4074074074074074</x:v>
      </x:c>
      <x:c r="K2772" s="312" t="str">
        <x:f>IF(B2772="Bilinmeyen Personel","Kontrol","OK")</x:f>
        <x:v>OK</x:v>
      </x:c>
    </x:row>
    <x:row r="2773" hidden="1">
      <x:c r="A2773" s="312" t="n">
        <x:f>ROW()-ROW($A$2)+1</x:f>
        <x:v>2772</x:v>
      </x:c>
      <x:c r="B2773" s="312" t="s">
        <x:v>9</x:v>
      </x:c>
      <x:c r="C2773" s="312" t="s">
        <x:v>24</x:v>
      </x:c>
      <x:c r="D2773" s="317">
        <x:v>5</x:v>
      </x:c>
      <x:c r="E2773" s="321">
        <x:v>7600</x:v>
      </x:c>
      <x:c r="F2773" s="321">
        <x:v>38000</x:v>
      </x:c>
      <x:c r="G2773" s="321">
        <x:v>8000</x:v>
      </x:c>
      <x:c r="H2773" s="312" t="s">
        <x:v>68</x:v>
      </x:c>
      <x:c r="I2773" s="312" t="s">
        <x:v>18</x:v>
      </x:c>
      <x:c r="J2773" s="316" t="n">
        <x:f>IFERROR(G2773/F2773,0)</x:f>
        <x:v>0.21052631578947367</x:v>
      </x:c>
      <x:c r="K2773" s="312" t="str">
        <x:f>IF(B2773="Bilinmeyen Personel","Kontrol","OK")</x:f>
        <x:v>OK</x:v>
      </x:c>
    </x:row>
    <x:row r="2774" hidden="1">
      <x:c r="A2774" s="312" t="n">
        <x:f>ROW()-ROW($A$2)+1</x:f>
        <x:v>2773</x:v>
      </x:c>
      <x:c r="B2774" s="312" t="s">
        <x:v>16</x:v>
      </x:c>
      <x:c r="C2774" s="312" t="s">
        <x:v>26</x:v>
      </x:c>
      <x:c r="D2774" s="317">
        <x:v>5</x:v>
      </x:c>
      <x:c r="E2774" s="321">
        <x:v>7250</x:v>
      </x:c>
      <x:c r="F2774" s="321">
        <x:v>36250</x:v>
      </x:c>
      <x:c r="G2774" s="321">
        <x:v>11250</x:v>
      </x:c>
      <x:c r="H2774" s="312" t="s">
        <x:v>68</x:v>
      </x:c>
      <x:c r="I2774" s="312" t="s">
        <x:v>37</x:v>
      </x:c>
      <x:c r="J2774" s="316" t="n">
        <x:f>IFERROR(G2774/F2774,0)</x:f>
        <x:v>0.3103448275862069</x:v>
      </x:c>
      <x:c r="K2774" s="312" t="str">
        <x:f>IF(B2774="Bilinmeyen Personel","Kontrol","OK")</x:f>
        <x:v>OK</x:v>
      </x:c>
    </x:row>
    <x:row r="2775" hidden="1">
      <x:c r="A2775" s="312" t="n">
        <x:f>ROW()-ROW($A$2)+1</x:f>
        <x:v>2774</x:v>
      </x:c>
      <x:c r="B2775" s="312" t="s">
        <x:v>50</x:v>
      </x:c>
      <x:c r="C2775" s="312" t="s">
        <x:v>43</x:v>
      </x:c>
      <x:c r="D2775" s="317">
        <x:v>3</x:v>
      </x:c>
      <x:c r="E2775" s="321">
        <x:v>1490</x:v>
      </x:c>
      <x:c r="F2775" s="321">
        <x:v>4470</x:v>
      </x:c>
      <x:c r="G2775" s="321">
        <x:v>2070</x:v>
      </x:c>
      <x:c r="H2775" s="312" t="s">
        <x:v>68</x:v>
      </x:c>
      <x:c r="I2775" s="312" t="s">
        <x:v>31</x:v>
      </x:c>
      <x:c r="J2775" s="316" t="n">
        <x:f>IFERROR(G2775/F2775,0)</x:f>
        <x:v>0.46308724832214765</x:v>
      </x:c>
      <x:c r="K2775" s="312" t="str">
        <x:f>IF(B2775="Bilinmeyen Personel","Kontrol","OK")</x:f>
        <x:v>OK</x:v>
      </x:c>
    </x:row>
    <x:row r="2776" hidden="1">
      <x:c r="A2776" s="312" t="n">
        <x:f>ROW()-ROW($A$2)+1</x:f>
        <x:v>2775</x:v>
      </x:c>
      <x:c r="B2776" s="312" t="s">
        <x:v>19</x:v>
      </x:c>
      <x:c r="C2776" s="312" t="s">
        <x:v>43</x:v>
      </x:c>
      <x:c r="D2776" s="317">
        <x:v>2</x:v>
      </x:c>
      <x:c r="E2776" s="321">
        <x:v>1490</x:v>
      </x:c>
      <x:c r="F2776" s="321">
        <x:v>2980</x:v>
      </x:c>
      <x:c r="G2776" s="321">
        <x:v>1380</x:v>
      </x:c>
      <x:c r="H2776" s="312" t="s">
        <x:v>68</x:v>
      </x:c>
      <x:c r="I2776" s="312" t="s">
        <x:v>46</x:v>
      </x:c>
      <x:c r="J2776" s="316" t="n">
        <x:f>IFERROR(G2776/F2776,0)</x:f>
        <x:v>0.46308724832214765</x:v>
      </x:c>
      <x:c r="K2776" s="312" t="str">
        <x:f>IF(B2776="Bilinmeyen Personel","Kontrol","OK")</x:f>
        <x:v>OK</x:v>
      </x:c>
    </x:row>
    <x:row r="2777" hidden="1">
      <x:c r="A2777" s="312" t="n">
        <x:f>ROW()-ROW($A$2)+1</x:f>
        <x:v>2776</x:v>
      </x:c>
      <x:c r="B2777" s="312" t="s">
        <x:v>38</x:v>
      </x:c>
      <x:c r="C2777" s="312" t="s">
        <x:v>34</x:v>
      </x:c>
      <x:c r="D2777" s="317">
        <x:v>3</x:v>
      </x:c>
      <x:c r="E2777" s="321">
        <x:v>1090</x:v>
      </x:c>
      <x:c r="F2777" s="321">
        <x:v>3270</x:v>
      </x:c>
      <x:c r="G2777" s="321">
        <x:v>870</x:v>
      </x:c>
      <x:c r="H2777" s="312" t="s">
        <x:v>68</x:v>
      </x:c>
      <x:c r="I2777" s="312" t="s">
        <x:v>31</x:v>
      </x:c>
      <x:c r="J2777" s="316" t="n">
        <x:f>IFERROR(G2777/F2777,0)</x:f>
        <x:v>0.26605504587155965</x:v>
      </x:c>
      <x:c r="K2777" s="312" t="str">
        <x:f>IF(B2777="Bilinmeyen Personel","Kontrol","OK")</x:f>
        <x:v>OK</x:v>
      </x:c>
    </x:row>
    <x:row r="2778" hidden="1">
      <x:c r="A2778" s="312" t="n">
        <x:f>ROW()-ROW($A$2)+1</x:f>
        <x:v>2777</x:v>
      </x:c>
      <x:c r="B2778" s="312" t="s">
        <x:v>38</x:v>
      </x:c>
      <x:c r="C2778" s="312" t="s">
        <x:v>30</x:v>
      </x:c>
      <x:c r="D2778" s="317">
        <x:v>3</x:v>
      </x:c>
      <x:c r="E2778" s="321">
        <x:v>1200</x:v>
      </x:c>
      <x:c r="F2778" s="321">
        <x:v>3600</x:v>
      </x:c>
      <x:c r="G2778" s="321">
        <x:v>1200</x:v>
      </x:c>
      <x:c r="H2778" s="312" t="s">
        <x:v>68</x:v>
      </x:c>
      <x:c r="I2778" s="312" t="s">
        <x:v>42</x:v>
      </x:c>
      <x:c r="J2778" s="316" t="n">
        <x:f>IFERROR(G2778/F2778,0)</x:f>
        <x:v>0.3333333333333333</x:v>
      </x:c>
      <x:c r="K2778" s="312" t="str">
        <x:f>IF(B2778="Bilinmeyen Personel","Kontrol","OK")</x:f>
        <x:v>OK</x:v>
      </x:c>
    </x:row>
    <x:row r="2779" hidden="1">
      <x:c r="A2779" s="312" t="n">
        <x:f>ROW()-ROW($A$2)+1</x:f>
        <x:v>2778</x:v>
      </x:c>
      <x:c r="B2779" s="312" t="s">
        <x:v>50</x:v>
      </x:c>
      <x:c r="C2779" s="312" t="s">
        <x:v>34</x:v>
      </x:c>
      <x:c r="D2779" s="317">
        <x:v>2</x:v>
      </x:c>
      <x:c r="E2779" s="321">
        <x:v>1090</x:v>
      </x:c>
      <x:c r="F2779" s="321">
        <x:v>2180</x:v>
      </x:c>
      <x:c r="G2779" s="321">
        <x:v>580</x:v>
      </x:c>
      <x:c r="H2779" s="312" t="s">
        <x:v>68</x:v>
      </x:c>
      <x:c r="I2779" s="312" t="s">
        <x:v>54</x:v>
      </x:c>
      <x:c r="J2779" s="316" t="n">
        <x:f>IFERROR(G2779/F2779,0)</x:f>
        <x:v>0.26605504587155965</x:v>
      </x:c>
      <x:c r="K2779" s="312" t="str">
        <x:f>IF(B2779="Bilinmeyen Personel","Kontrol","OK")</x:f>
        <x:v>OK</x:v>
      </x:c>
    </x:row>
    <x:row r="2780" hidden="1">
      <x:c r="A2780" s="312" t="n">
        <x:f>ROW()-ROW($A$2)+1</x:f>
        <x:v>2779</x:v>
      </x:c>
      <x:c r="B2780" s="312" t="s">
        <x:v>50</x:v>
      </x:c>
      <x:c r="C2780" s="312" t="s">
        <x:v>22</x:v>
      </x:c>
      <x:c r="D2780" s="317">
        <x:v>2</x:v>
      </x:c>
      <x:c r="E2780" s="321">
        <x:v>2180</x:v>
      </x:c>
      <x:c r="F2780" s="321">
        <x:v>4360</x:v>
      </x:c>
      <x:c r="G2780" s="321">
        <x:v>1360</x:v>
      </x:c>
      <x:c r="H2780" s="312" t="s">
        <x:v>68</x:v>
      </x:c>
      <x:c r="I2780" s="312" t="s">
        <x:v>21</x:v>
      </x:c>
      <x:c r="J2780" s="316" t="n">
        <x:f>IFERROR(G2780/F2780,0)</x:f>
        <x:v>0.3119266055045872</x:v>
      </x:c>
      <x:c r="K2780" s="312" t="str">
        <x:f>IF(B2780="Bilinmeyen Personel","Kontrol","OK")</x:f>
        <x:v>OK</x:v>
      </x:c>
    </x:row>
    <x:row r="2781" hidden="1">
      <x:c r="A2781" s="312" t="n">
        <x:f>ROW()-ROW($A$2)+1</x:f>
        <x:v>2780</x:v>
      </x:c>
      <x:c r="B2781" s="312" t="s">
        <x:v>16</x:v>
      </x:c>
      <x:c r="C2781" s="312" t="s">
        <x:v>56</x:v>
      </x:c>
      <x:c r="D2781" s="317">
        <x:v>2</x:v>
      </x:c>
      <x:c r="E2781" s="321">
        <x:v>5300</x:v>
      </x:c>
      <x:c r="F2781" s="321">
        <x:v>10600</x:v>
      </x:c>
      <x:c r="G2781" s="321">
        <x:v>2600</x:v>
      </x:c>
      <x:c r="H2781" s="312" t="s">
        <x:v>68</x:v>
      </x:c>
      <x:c r="I2781" s="312" t="s">
        <x:v>54</x:v>
      </x:c>
      <x:c r="J2781" s="316" t="n">
        <x:f>IFERROR(G2781/F2781,0)</x:f>
        <x:v>0.24528301886792453</x:v>
      </x:c>
      <x:c r="K2781" s="312" t="str">
        <x:f>IF(B2781="Bilinmeyen Personel","Kontrol","OK")</x:f>
        <x:v>OK</x:v>
      </x:c>
    </x:row>
    <x:row r="2782" hidden="1">
      <x:c r="A2782" s="312" t="n">
        <x:f>ROW()-ROW($A$2)+1</x:f>
        <x:v>2781</x:v>
      </x:c>
      <x:c r="B2782" s="312" t="s">
        <x:v>50</x:v>
      </x:c>
      <x:c r="C2782" s="312" t="s">
        <x:v>56</x:v>
      </x:c>
      <x:c r="D2782" s="317">
        <x:v>4</x:v>
      </x:c>
      <x:c r="E2782" s="321">
        <x:v>5300</x:v>
      </x:c>
      <x:c r="F2782" s="321">
        <x:v>21200</x:v>
      </x:c>
      <x:c r="G2782" s="321">
        <x:v>5200</x:v>
      </x:c>
      <x:c r="H2782" s="312" t="s">
        <x:v>68</x:v>
      </x:c>
      <x:c r="I2782" s="312" t="s">
        <x:v>31</x:v>
      </x:c>
      <x:c r="J2782" s="316" t="n">
        <x:f>IFERROR(G2782/F2782,0)</x:f>
        <x:v>0.24528301886792453</x:v>
      </x:c>
      <x:c r="K2782" s="312" t="str">
        <x:f>IF(B2782="Bilinmeyen Personel","Kontrol","OK")</x:f>
        <x:v>OK</x:v>
      </x:c>
    </x:row>
    <x:row r="2783" hidden="1">
      <x:c r="A2783" s="312" t="n">
        <x:f>ROW()-ROW($A$2)+1</x:f>
        <x:v>2782</x:v>
      </x:c>
      <x:c r="B2783" s="312" t="s">
        <x:v>29</x:v>
      </x:c>
      <x:c r="C2783" s="312" t="s">
        <x:v>26</x:v>
      </x:c>
      <x:c r="D2783" s="317">
        <x:v>5</x:v>
      </x:c>
      <x:c r="E2783" s="321">
        <x:v>7250</x:v>
      </x:c>
      <x:c r="F2783" s="321">
        <x:v>36250</x:v>
      </x:c>
      <x:c r="G2783" s="321">
        <x:v>11250</x:v>
      </x:c>
      <x:c r="H2783" s="312" t="s">
        <x:v>68</x:v>
      </x:c>
      <x:c r="I2783" s="312" t="s">
        <x:v>12</x:v>
      </x:c>
      <x:c r="J2783" s="316" t="n">
        <x:f>IFERROR(G2783/F2783,0)</x:f>
        <x:v>0.3103448275862069</x:v>
      </x:c>
      <x:c r="K2783" s="312" t="str">
        <x:f>IF(B2783="Bilinmeyen Personel","Kontrol","OK")</x:f>
        <x:v>OK</x:v>
      </x:c>
    </x:row>
    <x:row r="2784" hidden="1">
      <x:c r="A2784" s="312" t="n">
        <x:f>ROW()-ROW($A$2)+1</x:f>
        <x:v>2783</x:v>
      </x:c>
      <x:c r="B2784" s="312" t="s">
        <x:v>29</x:v>
      </x:c>
      <x:c r="C2784" s="312" t="s">
        <x:v>53</x:v>
      </x:c>
      <x:c r="D2784" s="317">
        <x:v>4</x:v>
      </x:c>
      <x:c r="E2784" s="321">
        <x:v>1200</x:v>
      </x:c>
      <x:c r="F2784" s="321">
        <x:v>4800</x:v>
      </x:c>
      <x:c r="G2784" s="321">
        <x:v>1600</x:v>
      </x:c>
      <x:c r="H2784" s="312" t="s">
        <x:v>68</x:v>
      </x:c>
      <x:c r="I2784" s="312" t="s">
        <x:v>41</x:v>
      </x:c>
      <x:c r="J2784" s="316" t="n">
        <x:f>IFERROR(G2784/F2784,0)</x:f>
        <x:v>0.3333333333333333</x:v>
      </x:c>
      <x:c r="K2784" s="312" t="str">
        <x:f>IF(B2784="Bilinmeyen Personel","Kontrol","OK")</x:f>
        <x:v>OK</x:v>
      </x:c>
    </x:row>
    <x:row r="2785" hidden="1">
      <x:c r="A2785" s="312" t="n">
        <x:f>ROW()-ROW($A$2)+1</x:f>
        <x:v>2784</x:v>
      </x:c>
      <x:c r="B2785" s="312" t="s">
        <x:v>19</x:v>
      </x:c>
      <x:c r="C2785" s="312" t="s">
        <x:v>10</x:v>
      </x:c>
      <x:c r="D2785" s="317">
        <x:v>3</x:v>
      </x:c>
      <x:c r="E2785" s="321">
        <x:v>6000</x:v>
      </x:c>
      <x:c r="F2785" s="321">
        <x:v>18000</x:v>
      </x:c>
      <x:c r="G2785" s="321">
        <x:v>6000</x:v>
      </x:c>
      <x:c r="H2785" s="312" t="s">
        <x:v>68</x:v>
      </x:c>
      <x:c r="I2785" s="312" t="s">
        <x:v>28</x:v>
      </x:c>
      <x:c r="J2785" s="316" t="n">
        <x:f>IFERROR(G2785/F2785,0)</x:f>
        <x:v>0.3333333333333333</x:v>
      </x:c>
      <x:c r="K2785" s="312" t="str">
        <x:f>IF(B2785="Bilinmeyen Personel","Kontrol","OK")</x:f>
        <x:v>OK</x:v>
      </x:c>
    </x:row>
    <x:row r="2786" hidden="1">
      <x:c r="A2786" s="312" t="n">
        <x:f>ROW()-ROW($A$2)+1</x:f>
        <x:v>2785</x:v>
      </x:c>
      <x:c r="B2786" s="312" t="s">
        <x:v>16</x:v>
      </x:c>
      <x:c r="C2786" s="312" t="s">
        <x:v>17</x:v>
      </x:c>
      <x:c r="D2786" s="317">
        <x:v>4</x:v>
      </x:c>
      <x:c r="E2786" s="321">
        <x:v>8450</x:v>
      </x:c>
      <x:c r="F2786" s="321">
        <x:v>33800</x:v>
      </x:c>
      <x:c r="G2786" s="321">
        <x:v>9800</x:v>
      </x:c>
      <x:c r="H2786" s="312" t="s">
        <x:v>68</x:v>
      </x:c>
      <x:c r="I2786" s="312" t="s">
        <x:v>15</x:v>
      </x:c>
      <x:c r="J2786" s="316" t="n">
        <x:f>IFERROR(G2786/F2786,0)</x:f>
        <x:v>0.28994082840236685</x:v>
      </x:c>
      <x:c r="K2786" s="312" t="str">
        <x:f>IF(B2786="Bilinmeyen Personel","Kontrol","OK")</x:f>
        <x:v>OK</x:v>
      </x:c>
    </x:row>
    <x:row r="2787" hidden="1">
      <x:c r="A2787" s="312" t="n">
        <x:f>ROW()-ROW($A$2)+1</x:f>
        <x:v>2786</x:v>
      </x:c>
      <x:c r="B2787" s="312" t="s">
        <x:v>32</x:v>
      </x:c>
      <x:c r="C2787" s="312" t="s">
        <x:v>45</x:v>
      </x:c>
      <x:c r="D2787" s="317">
        <x:v>4</x:v>
      </x:c>
      <x:c r="E2787" s="321">
        <x:v>4200</x:v>
      </x:c>
      <x:c r="F2787" s="321">
        <x:v>16800</x:v>
      </x:c>
      <x:c r="G2787" s="321">
        <x:v>4800</x:v>
      </x:c>
      <x:c r="H2787" s="312" t="s">
        <x:v>68</x:v>
      </x:c>
      <x:c r="I2787" s="312" t="s">
        <x:v>21</x:v>
      </x:c>
      <x:c r="J2787" s="316" t="n">
        <x:f>IFERROR(G2787/F2787,0)</x:f>
        <x:v>0.2857142857142857</x:v>
      </x:c>
      <x:c r="K2787" s="312" t="str">
        <x:f>IF(B2787="Bilinmeyen Personel","Kontrol","OK")</x:f>
        <x:v>OK</x:v>
      </x:c>
    </x:row>
    <x:row r="2788" hidden="1">
      <x:c r="A2788" s="312" t="n">
        <x:f>ROW()-ROW($A$2)+1</x:f>
        <x:v>2787</x:v>
      </x:c>
      <x:c r="B2788" s="312" t="s">
        <x:v>32</x:v>
      </x:c>
      <x:c r="C2788" s="312" t="s">
        <x:v>39</x:v>
      </x:c>
      <x:c r="D2788" s="317">
        <x:v>2</x:v>
      </x:c>
      <x:c r="E2788" s="321">
        <x:v>10590</x:v>
      </x:c>
      <x:c r="F2788" s="321">
        <x:v>21180</x:v>
      </x:c>
      <x:c r="G2788" s="321">
        <x:v>9180</x:v>
      </x:c>
      <x:c r="H2788" s="312" t="s">
        <x:v>68</x:v>
      </x:c>
      <x:c r="I2788" s="312" t="s">
        <x:v>18</x:v>
      </x:c>
      <x:c r="J2788" s="316" t="n">
        <x:f>IFERROR(G2788/F2788,0)</x:f>
        <x:v>0.43342776203966005</x:v>
      </x:c>
      <x:c r="K2788" s="312" t="str">
        <x:f>IF(B2788="Bilinmeyen Personel","Kontrol","OK")</x:f>
        <x:v>OK</x:v>
      </x:c>
    </x:row>
    <x:row r="2789" hidden="1">
      <x:c r="A2789" s="312" t="n">
        <x:f>ROW()-ROW($A$2)+1</x:f>
        <x:v>2788</x:v>
      </x:c>
      <x:c r="B2789" s="312" t="s">
        <x:v>29</x:v>
      </x:c>
      <x:c r="C2789" s="312" t="s">
        <x:v>53</x:v>
      </x:c>
      <x:c r="D2789" s="317">
        <x:v>5</x:v>
      </x:c>
      <x:c r="E2789" s="321">
        <x:v>1200</x:v>
      </x:c>
      <x:c r="F2789" s="321">
        <x:v>6000</x:v>
      </x:c>
      <x:c r="G2789" s="321">
        <x:v>2000</x:v>
      </x:c>
      <x:c r="H2789" s="312" t="s">
        <x:v>68</x:v>
      </x:c>
      <x:c r="I2789" s="312" t="s">
        <x:v>12</x:v>
      </x:c>
      <x:c r="J2789" s="316" t="n">
        <x:f>IFERROR(G2789/F2789,0)</x:f>
        <x:v>0.3333333333333333</x:v>
      </x:c>
      <x:c r="K2789" s="312" t="str">
        <x:f>IF(B2789="Bilinmeyen Personel","Kontrol","OK")</x:f>
        <x:v>OK</x:v>
      </x:c>
    </x:row>
    <x:row r="2790" hidden="1">
      <x:c r="A2790" s="312" t="n">
        <x:f>ROW()-ROW($A$2)+1</x:f>
        <x:v>2789</x:v>
      </x:c>
      <x:c r="B2790" s="312" t="s">
        <x:v>48</x:v>
      </x:c>
      <x:c r="C2790" s="312" t="s">
        <x:v>27</x:v>
      </x:c>
      <x:c r="D2790" s="317">
        <x:v>2</x:v>
      </x:c>
      <x:c r="E2790" s="321">
        <x:v>1100</x:v>
      </x:c>
      <x:c r="F2790" s="321">
        <x:v>2200</x:v>
      </x:c>
      <x:c r="G2790" s="321">
        <x:v>600</x:v>
      </x:c>
      <x:c r="H2790" s="312" t="s">
        <x:v>68</x:v>
      </x:c>
      <x:c r="I2790" s="312" t="s">
        <x:v>25</x:v>
      </x:c>
      <x:c r="J2790" s="316" t="n">
        <x:f>IFERROR(G2790/F2790,0)</x:f>
        <x:v>0.2727272727272727</x:v>
      </x:c>
      <x:c r="K2790" s="312" t="str">
        <x:f>IF(B2790="Bilinmeyen Personel","Kontrol","OK")</x:f>
        <x:v>OK</x:v>
      </x:c>
    </x:row>
    <x:row r="2791" hidden="1">
      <x:c r="A2791" s="312" t="n">
        <x:f>ROW()-ROW($A$2)+1</x:f>
        <x:v>2790</x:v>
      </x:c>
      <x:c r="B2791" s="312" t="s">
        <x:v>40</x:v>
      </x:c>
      <x:c r="C2791" s="312" t="s">
        <x:v>58</x:v>
      </x:c>
      <x:c r="D2791" s="317">
        <x:v>3</x:v>
      </x:c>
      <x:c r="E2791" s="321">
        <x:v>3700</x:v>
      </x:c>
      <x:c r="F2791" s="321">
        <x:v>11100</x:v>
      </x:c>
      <x:c r="G2791" s="321">
        <x:v>2100</x:v>
      </x:c>
      <x:c r="H2791" s="312" t="s">
        <x:v>68</x:v>
      </x:c>
      <x:c r="I2791" s="312" t="s">
        <x:v>31</x:v>
      </x:c>
      <x:c r="J2791" s="316" t="n">
        <x:f>IFERROR(G2791/F2791,0)</x:f>
        <x:v>0.1891891891891892</x:v>
      </x:c>
      <x:c r="K2791" s="312" t="str">
        <x:f>IF(B2791="Bilinmeyen Personel","Kontrol","OK")</x:f>
        <x:v>OK</x:v>
      </x:c>
    </x:row>
    <x:row r="2792" hidden="1">
      <x:c r="A2792" s="312" t="n">
        <x:f>ROW()-ROW($A$2)+1</x:f>
        <x:v>2791</x:v>
      </x:c>
      <x:c r="B2792" s="312" t="s">
        <x:v>13</x:v>
      </x:c>
      <x:c r="C2792" s="312" t="s">
        <x:v>58</x:v>
      </x:c>
      <x:c r="D2792" s="317">
        <x:v>3</x:v>
      </x:c>
      <x:c r="E2792" s="321">
        <x:v>3700</x:v>
      </x:c>
      <x:c r="F2792" s="321">
        <x:v>11100</x:v>
      </x:c>
      <x:c r="G2792" s="321">
        <x:v>2100</x:v>
      </x:c>
      <x:c r="H2792" s="312" t="s">
        <x:v>68</x:v>
      </x:c>
      <x:c r="I2792" s="312" t="s">
        <x:v>28</x:v>
      </x:c>
      <x:c r="J2792" s="316" t="n">
        <x:f>IFERROR(G2792/F2792,0)</x:f>
        <x:v>0.1891891891891892</x:v>
      </x:c>
      <x:c r="K2792" s="312" t="str">
        <x:f>IF(B2792="Bilinmeyen Personel","Kontrol","OK")</x:f>
        <x:v>OK</x:v>
      </x:c>
    </x:row>
    <x:row r="2793" hidden="1">
      <x:c r="A2793" s="312" t="n">
        <x:f>ROW()-ROW($A$2)+1</x:f>
        <x:v>2792</x:v>
      </x:c>
      <x:c r="B2793" s="312" t="s">
        <x:v>32</x:v>
      </x:c>
      <x:c r="C2793" s="312" t="s">
        <x:v>27</x:v>
      </x:c>
      <x:c r="D2793" s="317">
        <x:v>4</x:v>
      </x:c>
      <x:c r="E2793" s="321">
        <x:v>1100</x:v>
      </x:c>
      <x:c r="F2793" s="321">
        <x:v>4400</x:v>
      </x:c>
      <x:c r="G2793" s="321">
        <x:v>1200</x:v>
      </x:c>
      <x:c r="H2793" s="312" t="s">
        <x:v>68</x:v>
      </x:c>
      <x:c r="I2793" s="312" t="s">
        <x:v>46</x:v>
      </x:c>
      <x:c r="J2793" s="316" t="n">
        <x:f>IFERROR(G2793/F2793,0)</x:f>
        <x:v>0.2727272727272727</x:v>
      </x:c>
      <x:c r="K2793" s="312" t="str">
        <x:f>IF(B2793="Bilinmeyen Personel","Kontrol","OK")</x:f>
        <x:v>OK</x:v>
      </x:c>
    </x:row>
    <x:row r="2794" hidden="1">
      <x:c r="A2794" s="312" t="n">
        <x:f>ROW()-ROW($A$2)+1</x:f>
        <x:v>2793</x:v>
      </x:c>
      <x:c r="B2794" s="312" t="s">
        <x:v>29</x:v>
      </x:c>
      <x:c r="C2794" s="312" t="s">
        <x:v>58</x:v>
      </x:c>
      <x:c r="D2794" s="317">
        <x:v>2</x:v>
      </x:c>
      <x:c r="E2794" s="321">
        <x:v>3700</x:v>
      </x:c>
      <x:c r="F2794" s="321">
        <x:v>7400</x:v>
      </x:c>
      <x:c r="G2794" s="321">
        <x:v>1400</x:v>
      </x:c>
      <x:c r="H2794" s="312" t="s">
        <x:v>68</x:v>
      </x:c>
      <x:c r="I2794" s="312" t="s">
        <x:v>18</x:v>
      </x:c>
      <x:c r="J2794" s="316" t="n">
        <x:f>IFERROR(G2794/F2794,0)</x:f>
        <x:v>0.1891891891891892</x:v>
      </x:c>
      <x:c r="K2794" s="312" t="str">
        <x:f>IF(B2794="Bilinmeyen Personel","Kontrol","OK")</x:f>
        <x:v>OK</x:v>
      </x:c>
    </x:row>
    <x:row r="2795" hidden="1">
      <x:c r="A2795" s="312" t="n">
        <x:f>ROW()-ROW($A$2)+1</x:f>
        <x:v>2794</x:v>
      </x:c>
      <x:c r="B2795" s="312" t="s">
        <x:v>48</x:v>
      </x:c>
      <x:c r="C2795" s="312" t="s">
        <x:v>43</x:v>
      </x:c>
      <x:c r="D2795" s="317">
        <x:v>5</x:v>
      </x:c>
      <x:c r="E2795" s="321">
        <x:v>1490</x:v>
      </x:c>
      <x:c r="F2795" s="321">
        <x:v>7450</x:v>
      </x:c>
      <x:c r="G2795" s="321">
        <x:v>3450</x:v>
      </x:c>
      <x:c r="H2795" s="312" t="s">
        <x:v>68</x:v>
      </x:c>
      <x:c r="I2795" s="312" t="s">
        <x:v>54</x:v>
      </x:c>
      <x:c r="J2795" s="316" t="n">
        <x:f>IFERROR(G2795/F2795,0)</x:f>
        <x:v>0.46308724832214765</x:v>
      </x:c>
      <x:c r="K2795" s="312" t="str">
        <x:f>IF(B2795="Bilinmeyen Personel","Kontrol","OK")</x:f>
        <x:v>OK</x:v>
      </x:c>
    </x:row>
    <x:row r="2796" hidden="1">
      <x:c r="A2796" s="312" t="n">
        <x:f>ROW()-ROW($A$2)+1</x:f>
        <x:v>2795</x:v>
      </x:c>
      <x:c r="B2796" s="312" t="s">
        <x:v>40</x:v>
      </x:c>
      <x:c r="C2796" s="312" t="s">
        <x:v>57</x:v>
      </x:c>
      <x:c r="D2796" s="317">
        <x:v>5</x:v>
      </x:c>
      <x:c r="E2796" s="321">
        <x:v>1500</x:v>
      </x:c>
      <x:c r="F2796" s="321">
        <x:v>7500</x:v>
      </x:c>
      <x:c r="G2796" s="321">
        <x:v>3500</x:v>
      </x:c>
      <x:c r="H2796" s="312" t="s">
        <x:v>68</x:v>
      </x:c>
      <x:c r="I2796" s="312" t="s">
        <x:v>46</x:v>
      </x:c>
      <x:c r="J2796" s="316" t="n">
        <x:f>IFERROR(G2796/F2796,0)</x:f>
        <x:v>0.4666666666666667</x:v>
      </x:c>
      <x:c r="K2796" s="312" t="str">
        <x:f>IF(B2796="Bilinmeyen Personel","Kontrol","OK")</x:f>
        <x:v>OK</x:v>
      </x:c>
    </x:row>
    <x:row r="2797" hidden="1">
      <x:c r="A2797" s="312" t="n">
        <x:f>ROW()-ROW($A$2)+1</x:f>
        <x:v>2796</x:v>
      </x:c>
      <x:c r="B2797" s="312" t="s">
        <x:v>38</x:v>
      </x:c>
      <x:c r="C2797" s="312" t="s">
        <x:v>34</x:v>
      </x:c>
      <x:c r="D2797" s="317">
        <x:v>5</x:v>
      </x:c>
      <x:c r="E2797" s="321">
        <x:v>1090</x:v>
      </x:c>
      <x:c r="F2797" s="321">
        <x:v>5450</x:v>
      </x:c>
      <x:c r="G2797" s="321">
        <x:v>1450</x:v>
      </x:c>
      <x:c r="H2797" s="312" t="s">
        <x:v>68</x:v>
      </x:c>
      <x:c r="I2797" s="312" t="s">
        <x:v>42</x:v>
      </x:c>
      <x:c r="J2797" s="316" t="n">
        <x:f>IFERROR(G2797/F2797,0)</x:f>
        <x:v>0.26605504587155965</x:v>
      </x:c>
      <x:c r="K2797" s="312" t="str">
        <x:f>IF(B2797="Bilinmeyen Personel","Kontrol","OK")</x:f>
        <x:v>OK</x:v>
      </x:c>
    </x:row>
    <x:row r="2798" hidden="1">
      <x:c r="A2798" s="312" t="n">
        <x:f>ROW()-ROW($A$2)+1</x:f>
        <x:v>2797</x:v>
      </x:c>
      <x:c r="B2798" s="312" t="s">
        <x:v>48</x:v>
      </x:c>
      <x:c r="C2798" s="312" t="s">
        <x:v>33</x:v>
      </x:c>
      <x:c r="D2798" s="317">
        <x:v>2</x:v>
      </x:c>
      <x:c r="E2798" s="321">
        <x:v>1800</x:v>
      </x:c>
      <x:c r="F2798" s="321">
        <x:v>3600</x:v>
      </x:c>
      <x:c r="G2798" s="321">
        <x:v>2000</x:v>
      </x:c>
      <x:c r="H2798" s="312" t="s">
        <x:v>68</x:v>
      </x:c>
      <x:c r="I2798" s="312" t="s">
        <x:v>25</x:v>
      </x:c>
      <x:c r="J2798" s="316" t="n">
        <x:f>IFERROR(G2798/F2798,0)</x:f>
        <x:v>0.5555555555555556</x:v>
      </x:c>
      <x:c r="K2798" s="312" t="str">
        <x:f>IF(B2798="Bilinmeyen Personel","Kontrol","OK")</x:f>
        <x:v>OK</x:v>
      </x:c>
    </x:row>
    <x:row r="2799" hidden="1">
      <x:c r="A2799" s="312" t="n">
        <x:f>ROW()-ROW($A$2)+1</x:f>
        <x:v>2798</x:v>
      </x:c>
      <x:c r="B2799" s="312" t="s">
        <x:v>35</x:v>
      </x:c>
      <x:c r="C2799" s="312" t="s">
        <x:v>55</x:v>
      </x:c>
      <x:c r="D2799" s="317">
        <x:v>4</x:v>
      </x:c>
      <x:c r="E2799" s="321">
        <x:v>7530</x:v>
      </x:c>
      <x:c r="F2799" s="321">
        <x:v>30120</x:v>
      </x:c>
      <x:c r="G2799" s="321">
        <x:v>6120</x:v>
      </x:c>
      <x:c r="H2799" s="312" t="s">
        <x:v>68</x:v>
      </x:c>
      <x:c r="I2799" s="312" t="s">
        <x:v>54</x:v>
      </x:c>
      <x:c r="J2799" s="316" t="n">
        <x:f>IFERROR(G2799/F2799,0)</x:f>
        <x:v>0.20318725099601595</x:v>
      </x:c>
      <x:c r="K2799" s="312" t="str">
        <x:f>IF(B2799="Bilinmeyen Personel","Kontrol","OK")</x:f>
        <x:v>OK</x:v>
      </x:c>
    </x:row>
    <x:row r="2800" hidden="1">
      <x:c r="A2800" s="312" t="n">
        <x:f>ROW()-ROW($A$2)+1</x:f>
        <x:v>2799</x:v>
      </x:c>
      <x:c r="B2800" s="312" t="s">
        <x:v>32</x:v>
      </x:c>
      <x:c r="C2800" s="312" t="s">
        <x:v>27</x:v>
      </x:c>
      <x:c r="D2800" s="317">
        <x:v>3</x:v>
      </x:c>
      <x:c r="E2800" s="321">
        <x:v>1100</x:v>
      </x:c>
      <x:c r="F2800" s="321">
        <x:v>3300</x:v>
      </x:c>
      <x:c r="G2800" s="321">
        <x:v>900</x:v>
      </x:c>
      <x:c r="H2800" s="312" t="s">
        <x:v>68</x:v>
      </x:c>
      <x:c r="I2800" s="312" t="s">
        <x:v>41</x:v>
      </x:c>
      <x:c r="J2800" s="316" t="n">
        <x:f>IFERROR(G2800/F2800,0)</x:f>
        <x:v>0.2727272727272727</x:v>
      </x:c>
      <x:c r="K2800" s="312" t="str">
        <x:f>IF(B2800="Bilinmeyen Personel","Kontrol","OK")</x:f>
        <x:v>OK</x:v>
      </x:c>
    </x:row>
    <x:row r="2801" hidden="1">
      <x:c r="A2801" s="312" t="n">
        <x:f>ROW()-ROW($A$2)+1</x:f>
        <x:v>2800</x:v>
      </x:c>
      <x:c r="B2801" s="312" t="s">
        <x:v>40</x:v>
      </x:c>
      <x:c r="C2801" s="312" t="s">
        <x:v>20</x:v>
      </x:c>
      <x:c r="D2801" s="317">
        <x:v>2</x:v>
      </x:c>
      <x:c r="E2801" s="321">
        <x:v>1350</x:v>
      </x:c>
      <x:c r="F2801" s="321">
        <x:v>2700</x:v>
      </x:c>
      <x:c r="G2801" s="321">
        <x:v>1100</x:v>
      </x:c>
      <x:c r="H2801" s="312" t="s">
        <x:v>68</x:v>
      </x:c>
      <x:c r="I2801" s="312" t="s">
        <x:v>37</x:v>
      </x:c>
      <x:c r="J2801" s="316" t="n">
        <x:f>IFERROR(G2801/F2801,0)</x:f>
        <x:v>0.4074074074074074</x:v>
      </x:c>
      <x:c r="K2801" s="312" t="str">
        <x:f>IF(B2801="Bilinmeyen Personel","Kontrol","OK")</x:f>
        <x:v>OK</x:v>
      </x:c>
    </x:row>
    <x:row r="2802" hidden="1">
      <x:c r="A2802" s="312" t="n">
        <x:f>ROW()-ROW($A$2)+1</x:f>
        <x:v>2801</x:v>
      </x:c>
      <x:c r="B2802" s="312" t="s">
        <x:v>38</x:v>
      </x:c>
      <x:c r="C2802" s="312" t="s">
        <x:v>20</x:v>
      </x:c>
      <x:c r="D2802" s="317">
        <x:v>3</x:v>
      </x:c>
      <x:c r="E2802" s="321">
        <x:v>1350</x:v>
      </x:c>
      <x:c r="F2802" s="321">
        <x:v>4050</x:v>
      </x:c>
      <x:c r="G2802" s="321">
        <x:v>1650</x:v>
      </x:c>
      <x:c r="H2802" s="312" t="s">
        <x:v>68</x:v>
      </x:c>
      <x:c r="I2802" s="312" t="s">
        <x:v>41</x:v>
      </x:c>
      <x:c r="J2802" s="316" t="n">
        <x:f>IFERROR(G2802/F2802,0)</x:f>
        <x:v>0.4074074074074074</x:v>
      </x:c>
      <x:c r="K2802" s="312" t="str">
        <x:f>IF(B2802="Bilinmeyen Personel","Kontrol","OK")</x:f>
        <x:v>OK</x:v>
      </x:c>
    </x:row>
    <x:row r="2803" hidden="1">
      <x:c r="A2803" s="312" t="n">
        <x:f>ROW()-ROW($A$2)+1</x:f>
        <x:v>2802</x:v>
      </x:c>
      <x:c r="B2803" s="312" t="s">
        <x:v>35</x:v>
      </x:c>
      <x:c r="C2803" s="312" t="s">
        <x:v>34</x:v>
      </x:c>
      <x:c r="D2803" s="317">
        <x:v>2</x:v>
      </x:c>
      <x:c r="E2803" s="321">
        <x:v>1090</x:v>
      </x:c>
      <x:c r="F2803" s="321">
        <x:v>2180</x:v>
      </x:c>
      <x:c r="G2803" s="321">
        <x:v>580</x:v>
      </x:c>
      <x:c r="H2803" s="312" t="s">
        <x:v>68</x:v>
      </x:c>
      <x:c r="I2803" s="312" t="s">
        <x:v>41</x:v>
      </x:c>
      <x:c r="J2803" s="316" t="n">
        <x:f>IFERROR(G2803/F2803,0)</x:f>
        <x:v>0.26605504587155965</x:v>
      </x:c>
      <x:c r="K2803" s="312" t="str">
        <x:f>IF(B2803="Bilinmeyen Personel","Kontrol","OK")</x:f>
        <x:v>OK</x:v>
      </x:c>
    </x:row>
    <x:row r="2804" hidden="1">
      <x:c r="A2804" s="312" t="n">
        <x:f>ROW()-ROW($A$2)+1</x:f>
        <x:v>2803</x:v>
      </x:c>
      <x:c r="B2804" s="312" t="s">
        <x:v>35</x:v>
      </x:c>
      <x:c r="C2804" s="312" t="s">
        <x:v>45</x:v>
      </x:c>
      <x:c r="D2804" s="317">
        <x:v>3</x:v>
      </x:c>
      <x:c r="E2804" s="321">
        <x:v>4200</x:v>
      </x:c>
      <x:c r="F2804" s="321">
        <x:v>12600</x:v>
      </x:c>
      <x:c r="G2804" s="321">
        <x:v>3600</x:v>
      </x:c>
      <x:c r="H2804" s="312" t="s">
        <x:v>68</x:v>
      </x:c>
      <x:c r="I2804" s="312" t="s">
        <x:v>41</x:v>
      </x:c>
      <x:c r="J2804" s="316" t="n">
        <x:f>IFERROR(G2804/F2804,0)</x:f>
        <x:v>0.2857142857142857</x:v>
      </x:c>
      <x:c r="K2804" s="312" t="str">
        <x:f>IF(B2804="Bilinmeyen Personel","Kontrol","OK")</x:f>
        <x:v>OK</x:v>
      </x:c>
    </x:row>
    <x:row r="2805" hidden="1">
      <x:c r="A2805" s="312" t="n">
        <x:f>ROW()-ROW($A$2)+1</x:f>
        <x:v>2804</x:v>
      </x:c>
      <x:c r="B2805" s="312" t="s">
        <x:v>40</x:v>
      </x:c>
      <x:c r="C2805" s="312" t="s">
        <x:v>33</x:v>
      </x:c>
      <x:c r="D2805" s="317">
        <x:v>5</x:v>
      </x:c>
      <x:c r="E2805" s="321">
        <x:v>1800</x:v>
      </x:c>
      <x:c r="F2805" s="321">
        <x:v>9000</x:v>
      </x:c>
      <x:c r="G2805" s="321">
        <x:v>5000</x:v>
      </x:c>
      <x:c r="H2805" s="312" t="s">
        <x:v>68</x:v>
      </x:c>
      <x:c r="I2805" s="312" t="s">
        <x:v>46</x:v>
      </x:c>
      <x:c r="J2805" s="316" t="n">
        <x:f>IFERROR(G2805/F2805,0)</x:f>
        <x:v>0.5555555555555556</x:v>
      </x:c>
      <x:c r="K2805" s="312" t="str">
        <x:f>IF(B2805="Bilinmeyen Personel","Kontrol","OK")</x:f>
        <x:v>OK</x:v>
      </x:c>
    </x:row>
    <x:row r="2806" hidden="1">
      <x:c r="A2806" s="312" t="n">
        <x:f>ROW()-ROW($A$2)+1</x:f>
        <x:v>2805</x:v>
      </x:c>
      <x:c r="B2806" s="312" t="s">
        <x:v>50</x:v>
      </x:c>
      <x:c r="C2806" s="312" t="s">
        <x:v>34</x:v>
      </x:c>
      <x:c r="D2806" s="317">
        <x:v>3</x:v>
      </x:c>
      <x:c r="E2806" s="321">
        <x:v>1090</x:v>
      </x:c>
      <x:c r="F2806" s="321">
        <x:v>3270</x:v>
      </x:c>
      <x:c r="G2806" s="321">
        <x:v>870</x:v>
      </x:c>
      <x:c r="H2806" s="312" t="s">
        <x:v>68</x:v>
      </x:c>
      <x:c r="I2806" s="312" t="s">
        <x:v>15</x:v>
      </x:c>
      <x:c r="J2806" s="316" t="n">
        <x:f>IFERROR(G2806/F2806,0)</x:f>
        <x:v>0.26605504587155965</x:v>
      </x:c>
      <x:c r="K2806" s="312" t="str">
        <x:f>IF(B2806="Bilinmeyen Personel","Kontrol","OK")</x:f>
        <x:v>OK</x:v>
      </x:c>
    </x:row>
    <x:row r="2807" hidden="1">
      <x:c r="A2807" s="312" t="n">
        <x:f>ROW()-ROW($A$2)+1</x:f>
        <x:v>2806</x:v>
      </x:c>
      <x:c r="B2807" s="312" t="s">
        <x:v>9</x:v>
      </x:c>
      <x:c r="C2807" s="312" t="s">
        <x:v>24</x:v>
      </x:c>
      <x:c r="D2807" s="317">
        <x:v>4</x:v>
      </x:c>
      <x:c r="E2807" s="321">
        <x:v>7600</x:v>
      </x:c>
      <x:c r="F2807" s="321">
        <x:v>30400</x:v>
      </x:c>
      <x:c r="G2807" s="321">
        <x:v>6400</x:v>
      </x:c>
      <x:c r="H2807" s="312" t="s">
        <x:v>68</x:v>
      </x:c>
      <x:c r="I2807" s="312" t="s">
        <x:v>31</x:v>
      </x:c>
      <x:c r="J2807" s="316" t="n">
        <x:f>IFERROR(G2807/F2807,0)</x:f>
        <x:v>0.21052631578947367</x:v>
      </x:c>
      <x:c r="K2807" s="312" t="str">
        <x:f>IF(B2807="Bilinmeyen Personel","Kontrol","OK")</x:f>
        <x:v>OK</x:v>
      </x:c>
    </x:row>
    <x:row r="2808" hidden="1">
      <x:c r="A2808" s="312" t="n">
        <x:f>ROW()-ROW($A$2)+1</x:f>
        <x:v>2807</x:v>
      </x:c>
      <x:c r="B2808" s="312" t="s">
        <x:v>38</x:v>
      </x:c>
      <x:c r="C2808" s="312" t="s">
        <x:v>24</x:v>
      </x:c>
      <x:c r="D2808" s="317">
        <x:v>2</x:v>
      </x:c>
      <x:c r="E2808" s="321">
        <x:v>7600</x:v>
      </x:c>
      <x:c r="F2808" s="321">
        <x:v>15200</x:v>
      </x:c>
      <x:c r="G2808" s="321">
        <x:v>3200</x:v>
      </x:c>
      <x:c r="H2808" s="312" t="s">
        <x:v>68</x:v>
      </x:c>
      <x:c r="I2808" s="312" t="s">
        <x:v>42</x:v>
      </x:c>
      <x:c r="J2808" s="316" t="n">
        <x:f>IFERROR(G2808/F2808,0)</x:f>
        <x:v>0.21052631578947367</x:v>
      </x:c>
      <x:c r="K2808" s="312" t="str">
        <x:f>IF(B2808="Bilinmeyen Personel","Kontrol","OK")</x:f>
        <x:v>OK</x:v>
      </x:c>
    </x:row>
    <x:row r="2809" hidden="1">
      <x:c r="A2809" s="312" t="n">
        <x:f>ROW()-ROW($A$2)+1</x:f>
        <x:v>2808</x:v>
      </x:c>
      <x:c r="B2809" s="312" t="s">
        <x:v>16</x:v>
      </x:c>
      <x:c r="C2809" s="312" t="s">
        <x:v>58</x:v>
      </x:c>
      <x:c r="D2809" s="317">
        <x:v>3</x:v>
      </x:c>
      <x:c r="E2809" s="321">
        <x:v>3700</x:v>
      </x:c>
      <x:c r="F2809" s="321">
        <x:v>11100</x:v>
      </x:c>
      <x:c r="G2809" s="321">
        <x:v>2100</x:v>
      </x:c>
      <x:c r="H2809" s="312" t="s">
        <x:v>68</x:v>
      </x:c>
      <x:c r="I2809" s="312" t="s">
        <x:v>44</x:v>
      </x:c>
      <x:c r="J2809" s="316" t="n">
        <x:f>IFERROR(G2809/F2809,0)</x:f>
        <x:v>0.1891891891891892</x:v>
      </x:c>
      <x:c r="K2809" s="312" t="str">
        <x:f>IF(B2809="Bilinmeyen Personel","Kontrol","OK")</x:f>
        <x:v>OK</x:v>
      </x:c>
    </x:row>
    <x:row r="2810" hidden="1">
      <x:c r="A2810" s="312" t="n">
        <x:f>ROW()-ROW($A$2)+1</x:f>
        <x:v>2809</x:v>
      </x:c>
      <x:c r="B2810" s="312" t="s">
        <x:v>23</x:v>
      </x:c>
      <x:c r="C2810" s="312" t="s">
        <x:v>26</x:v>
      </x:c>
      <x:c r="D2810" s="317">
        <x:v>3</x:v>
      </x:c>
      <x:c r="E2810" s="321">
        <x:v>7250</x:v>
      </x:c>
      <x:c r="F2810" s="321">
        <x:v>21750</x:v>
      </x:c>
      <x:c r="G2810" s="321">
        <x:v>6750</x:v>
      </x:c>
      <x:c r="H2810" s="312" t="s">
        <x:v>68</x:v>
      </x:c>
      <x:c r="I2810" s="312" t="s">
        <x:v>18</x:v>
      </x:c>
      <x:c r="J2810" s="316" t="n">
        <x:f>IFERROR(G2810/F2810,0)</x:f>
        <x:v>0.3103448275862069</x:v>
      </x:c>
      <x:c r="K2810" s="312" t="str">
        <x:f>IF(B2810="Bilinmeyen Personel","Kontrol","OK")</x:f>
        <x:v>OK</x:v>
      </x:c>
    </x:row>
    <x:row r="2811" hidden="1">
      <x:c r="A2811" s="312" t="n">
        <x:f>ROW()-ROW($A$2)+1</x:f>
        <x:v>2810</x:v>
      </x:c>
      <x:c r="B2811" s="312" t="s">
        <x:v>13</x:v>
      </x:c>
      <x:c r="C2811" s="312" t="s">
        <x:v>24</x:v>
      </x:c>
      <x:c r="D2811" s="317">
        <x:v>5</x:v>
      </x:c>
      <x:c r="E2811" s="321">
        <x:v>7600</x:v>
      </x:c>
      <x:c r="F2811" s="321">
        <x:v>38000</x:v>
      </x:c>
      <x:c r="G2811" s="321">
        <x:v>8000</x:v>
      </x:c>
      <x:c r="H2811" s="312" t="s">
        <x:v>68</x:v>
      </x:c>
      <x:c r="I2811" s="312" t="s">
        <x:v>31</x:v>
      </x:c>
      <x:c r="J2811" s="316" t="n">
        <x:f>IFERROR(G2811/F2811,0)</x:f>
        <x:v>0.21052631578947367</x:v>
      </x:c>
      <x:c r="K2811" s="312" t="str">
        <x:f>IF(B2811="Bilinmeyen Personel","Kontrol","OK")</x:f>
        <x:v>OK</x:v>
      </x:c>
    </x:row>
    <x:row r="2812" hidden="1">
      <x:c r="A2812" s="312" t="n">
        <x:f>ROW()-ROW($A$2)+1</x:f>
        <x:v>2811</x:v>
      </x:c>
      <x:c r="B2812" s="312" t="s">
        <x:v>48</x:v>
      </x:c>
      <x:c r="C2812" s="312" t="s">
        <x:v>45</x:v>
      </x:c>
      <x:c r="D2812" s="317">
        <x:v>4</x:v>
      </x:c>
      <x:c r="E2812" s="321">
        <x:v>4200</x:v>
      </x:c>
      <x:c r="F2812" s="321">
        <x:v>16800</x:v>
      </x:c>
      <x:c r="G2812" s="321">
        <x:v>4800</x:v>
      </x:c>
      <x:c r="H2812" s="312" t="s">
        <x:v>68</x:v>
      </x:c>
      <x:c r="I2812" s="312" t="s">
        <x:v>28</x:v>
      </x:c>
      <x:c r="J2812" s="316" t="n">
        <x:f>IFERROR(G2812/F2812,0)</x:f>
        <x:v>0.2857142857142857</x:v>
      </x:c>
      <x:c r="K2812" s="312" t="str">
        <x:f>IF(B2812="Bilinmeyen Personel","Kontrol","OK")</x:f>
        <x:v>OK</x:v>
      </x:c>
    </x:row>
    <x:row r="2813" hidden="1">
      <x:c r="A2813" s="312" t="n">
        <x:f>ROW()-ROW($A$2)+1</x:f>
        <x:v>2812</x:v>
      </x:c>
      <x:c r="B2813" s="312" t="s">
        <x:v>32</x:v>
      </x:c>
      <x:c r="C2813" s="312" t="s">
        <x:v>52</x:v>
      </x:c>
      <x:c r="D2813" s="317">
        <x:v>2</x:v>
      </x:c>
      <x:c r="E2813" s="321">
        <x:v>1250</x:v>
      </x:c>
      <x:c r="F2813" s="321">
        <x:v>2500</x:v>
      </x:c>
      <x:c r="G2813" s="321">
        <x:v>900</x:v>
      </x:c>
      <x:c r="H2813" s="312" t="s">
        <x:v>68</x:v>
      </x:c>
      <x:c r="I2813" s="312" t="s">
        <x:v>31</x:v>
      </x:c>
      <x:c r="J2813" s="316" t="n">
        <x:f>IFERROR(G2813/F2813,0)</x:f>
        <x:v>0.36</x:v>
      </x:c>
      <x:c r="K2813" s="312" t="str">
        <x:f>IF(B2813="Bilinmeyen Personel","Kontrol","OK")</x:f>
        <x:v>OK</x:v>
      </x:c>
    </x:row>
    <x:row r="2814" hidden="1">
      <x:c r="A2814" s="312" t="n">
        <x:f>ROW()-ROW($A$2)+1</x:f>
        <x:v>2813</x:v>
      </x:c>
      <x:c r="B2814" s="312" t="s">
        <x:v>38</x:v>
      </x:c>
      <x:c r="C2814" s="312" t="s">
        <x:v>34</x:v>
      </x:c>
      <x:c r="D2814" s="317">
        <x:v>2</x:v>
      </x:c>
      <x:c r="E2814" s="321">
        <x:v>1090</x:v>
      </x:c>
      <x:c r="F2814" s="321">
        <x:v>2180</x:v>
      </x:c>
      <x:c r="G2814" s="321">
        <x:v>580</x:v>
      </x:c>
      <x:c r="H2814" s="312" t="s">
        <x:v>68</x:v>
      </x:c>
      <x:c r="I2814" s="312" t="s">
        <x:v>37</x:v>
      </x:c>
      <x:c r="J2814" s="316" t="n">
        <x:f>IFERROR(G2814/F2814,0)</x:f>
        <x:v>0.26605504587155965</x:v>
      </x:c>
      <x:c r="K2814" s="312" t="str">
        <x:f>IF(B2814="Bilinmeyen Personel","Kontrol","OK")</x:f>
        <x:v>OK</x:v>
      </x:c>
    </x:row>
    <x:row r="2815" hidden="1">
      <x:c r="A2815" s="312" t="n">
        <x:f>ROW()-ROW($A$2)+1</x:f>
        <x:v>2814</x:v>
      </x:c>
      <x:c r="B2815" s="312" t="s">
        <x:v>19</x:v>
      </x:c>
      <x:c r="C2815" s="312" t="s">
        <x:v>22</x:v>
      </x:c>
      <x:c r="D2815" s="317">
        <x:v>2</x:v>
      </x:c>
      <x:c r="E2815" s="321">
        <x:v>2180</x:v>
      </x:c>
      <x:c r="F2815" s="321">
        <x:v>4360</x:v>
      </x:c>
      <x:c r="G2815" s="321">
        <x:v>1360</x:v>
      </x:c>
      <x:c r="H2815" s="312" t="s">
        <x:v>68</x:v>
      </x:c>
      <x:c r="I2815" s="312" t="s">
        <x:v>21</x:v>
      </x:c>
      <x:c r="J2815" s="316" t="n">
        <x:f>IFERROR(G2815/F2815,0)</x:f>
        <x:v>0.3119266055045872</x:v>
      </x:c>
      <x:c r="K2815" s="312" t="str">
        <x:f>IF(B2815="Bilinmeyen Personel","Kontrol","OK")</x:f>
        <x:v>OK</x:v>
      </x:c>
    </x:row>
    <x:row r="2816" hidden="1">
      <x:c r="A2816" s="312" t="n">
        <x:f>ROW()-ROW($A$2)+1</x:f>
        <x:v>2815</x:v>
      </x:c>
      <x:c r="B2816" s="312" t="s">
        <x:v>50</x:v>
      </x:c>
      <x:c r="C2816" s="312" t="s">
        <x:v>58</x:v>
      </x:c>
      <x:c r="D2816" s="317">
        <x:v>4</x:v>
      </x:c>
      <x:c r="E2816" s="321">
        <x:v>3700</x:v>
      </x:c>
      <x:c r="F2816" s="321">
        <x:v>14800</x:v>
      </x:c>
      <x:c r="G2816" s="321">
        <x:v>2800</x:v>
      </x:c>
      <x:c r="H2816" s="312" t="s">
        <x:v>68</x:v>
      </x:c>
      <x:c r="I2816" s="312" t="s">
        <x:v>41</x:v>
      </x:c>
      <x:c r="J2816" s="316" t="n">
        <x:f>IFERROR(G2816/F2816,0)</x:f>
        <x:v>0.1891891891891892</x:v>
      </x:c>
      <x:c r="K2816" s="312" t="str">
        <x:f>IF(B2816="Bilinmeyen Personel","Kontrol","OK")</x:f>
        <x:v>OK</x:v>
      </x:c>
    </x:row>
    <x:row r="2817" hidden="1">
      <x:c r="A2817" s="312" t="n">
        <x:f>ROW()-ROW($A$2)+1</x:f>
        <x:v>2816</x:v>
      </x:c>
      <x:c r="B2817" s="312" t="s">
        <x:v>40</x:v>
      </x:c>
      <x:c r="C2817" s="312" t="s">
        <x:v>10</x:v>
      </x:c>
      <x:c r="D2817" s="317">
        <x:v>3</x:v>
      </x:c>
      <x:c r="E2817" s="321">
        <x:v>6000</x:v>
      </x:c>
      <x:c r="F2817" s="321">
        <x:v>18000</x:v>
      </x:c>
      <x:c r="G2817" s="321">
        <x:v>6000</x:v>
      </x:c>
      <x:c r="H2817" s="312" t="s">
        <x:v>68</x:v>
      </x:c>
      <x:c r="I2817" s="312" t="s">
        <x:v>18</x:v>
      </x:c>
      <x:c r="J2817" s="316" t="n">
        <x:f>IFERROR(G2817/F2817,0)</x:f>
        <x:v>0.3333333333333333</x:v>
      </x:c>
      <x:c r="K2817" s="312" t="str">
        <x:f>IF(B2817="Bilinmeyen Personel","Kontrol","OK")</x:f>
        <x:v>OK</x:v>
      </x:c>
    </x:row>
    <x:row r="2818" hidden="1">
      <x:c r="A2818" s="312" t="n">
        <x:f>ROW()-ROW($A$2)+1</x:f>
        <x:v>2817</x:v>
      </x:c>
      <x:c r="B2818" s="312" t="s">
        <x:v>48</x:v>
      </x:c>
      <x:c r="C2818" s="312" t="s">
        <x:v>52</x:v>
      </x:c>
      <x:c r="D2818" s="317">
        <x:v>3</x:v>
      </x:c>
      <x:c r="E2818" s="321">
        <x:v>1250</x:v>
      </x:c>
      <x:c r="F2818" s="321">
        <x:v>3750</x:v>
      </x:c>
      <x:c r="G2818" s="321">
        <x:v>1350</x:v>
      </x:c>
      <x:c r="H2818" s="312" t="s">
        <x:v>68</x:v>
      </x:c>
      <x:c r="I2818" s="312" t="s">
        <x:v>12</x:v>
      </x:c>
      <x:c r="J2818" s="316" t="n">
        <x:f>IFERROR(G2818/F2818,0)</x:f>
        <x:v>0.36</x:v>
      </x:c>
      <x:c r="K2818" s="312" t="str">
        <x:f>IF(B2818="Bilinmeyen Personel","Kontrol","OK")</x:f>
        <x:v>OK</x:v>
      </x:c>
    </x:row>
    <x:row r="2819" hidden="1">
      <x:c r="A2819" s="312" t="n">
        <x:f>ROW()-ROW($A$2)+1</x:f>
        <x:v>2818</x:v>
      </x:c>
      <x:c r="B2819" s="312" t="s">
        <x:v>50</x:v>
      </x:c>
      <x:c r="C2819" s="312" t="s">
        <x:v>24</x:v>
      </x:c>
      <x:c r="D2819" s="317">
        <x:v>5</x:v>
      </x:c>
      <x:c r="E2819" s="321">
        <x:v>7600</x:v>
      </x:c>
      <x:c r="F2819" s="321">
        <x:v>38000</x:v>
      </x:c>
      <x:c r="G2819" s="321">
        <x:v>8000</x:v>
      </x:c>
      <x:c r="H2819" s="312" t="s">
        <x:v>68</x:v>
      </x:c>
      <x:c r="I2819" s="312" t="s">
        <x:v>21</x:v>
      </x:c>
      <x:c r="J2819" s="316" t="n">
        <x:f>IFERROR(G2819/F2819,0)</x:f>
        <x:v>0.21052631578947367</x:v>
      </x:c>
      <x:c r="K2819" s="312" t="str">
        <x:f>IF(B2819="Bilinmeyen Personel","Kontrol","OK")</x:f>
        <x:v>OK</x:v>
      </x:c>
    </x:row>
    <x:row r="2820" hidden="1">
      <x:c r="A2820" s="312" t="n">
        <x:f>ROW()-ROW($A$2)+1</x:f>
        <x:v>2819</x:v>
      </x:c>
      <x:c r="B2820" s="312" t="s">
        <x:v>9</x:v>
      </x:c>
      <x:c r="C2820" s="312" t="s">
        <x:v>14</x:v>
      </x:c>
      <x:c r="D2820" s="317">
        <x:v>5</x:v>
      </x:c>
      <x:c r="E2820" s="321">
        <x:v>1400</x:v>
      </x:c>
      <x:c r="F2820" s="321">
        <x:v>7000</x:v>
      </x:c>
      <x:c r="G2820" s="321">
        <x:v>3000</x:v>
      </x:c>
      <x:c r="H2820" s="312" t="s">
        <x:v>68</x:v>
      </x:c>
      <x:c r="I2820" s="312" t="s">
        <x:v>54</x:v>
      </x:c>
      <x:c r="J2820" s="316" t="n">
        <x:f>IFERROR(G2820/F2820,0)</x:f>
        <x:v>0.42857142857142855</x:v>
      </x:c>
      <x:c r="K2820" s="312" t="str">
        <x:f>IF(B2820="Bilinmeyen Personel","Kontrol","OK")</x:f>
        <x:v>OK</x:v>
      </x:c>
    </x:row>
    <x:row r="2821" hidden="1">
      <x:c r="A2821" s="312" t="n">
        <x:f>ROW()-ROW($A$2)+1</x:f>
        <x:v>2820</x:v>
      </x:c>
      <x:c r="B2821" s="312" t="s">
        <x:v>23</x:v>
      </x:c>
      <x:c r="C2821" s="312" t="s">
        <x:v>22</x:v>
      </x:c>
      <x:c r="D2821" s="317">
        <x:v>4</x:v>
      </x:c>
      <x:c r="E2821" s="321">
        <x:v>2180</x:v>
      </x:c>
      <x:c r="F2821" s="321">
        <x:v>8720</x:v>
      </x:c>
      <x:c r="G2821" s="321">
        <x:v>2720</x:v>
      </x:c>
      <x:c r="H2821" s="312" t="s">
        <x:v>68</x:v>
      </x:c>
      <x:c r="I2821" s="312" t="s">
        <x:v>31</x:v>
      </x:c>
      <x:c r="J2821" s="316" t="n">
        <x:f>IFERROR(G2821/F2821,0)</x:f>
        <x:v>0.3119266055045872</x:v>
      </x:c>
      <x:c r="K2821" s="312" t="str">
        <x:f>IF(B2821="Bilinmeyen Personel","Kontrol","OK")</x:f>
        <x:v>OK</x:v>
      </x:c>
    </x:row>
    <x:row r="2822" hidden="1">
      <x:c r="A2822" s="312" t="n">
        <x:f>ROW()-ROW($A$2)+1</x:f>
        <x:v>2821</x:v>
      </x:c>
      <x:c r="B2822" s="312" t="s">
        <x:v>9</x:v>
      </x:c>
      <x:c r="C2822" s="312" t="s">
        <x:v>33</x:v>
      </x:c>
      <x:c r="D2822" s="317">
        <x:v>4</x:v>
      </x:c>
      <x:c r="E2822" s="321">
        <x:v>1800</x:v>
      </x:c>
      <x:c r="F2822" s="321">
        <x:v>7200</x:v>
      </x:c>
      <x:c r="G2822" s="321">
        <x:v>4000</x:v>
      </x:c>
      <x:c r="H2822" s="312" t="s">
        <x:v>68</x:v>
      </x:c>
      <x:c r="I2822" s="312" t="s">
        <x:v>12</x:v>
      </x:c>
      <x:c r="J2822" s="316" t="n">
        <x:f>IFERROR(G2822/F2822,0)</x:f>
        <x:v>0.5555555555555556</x:v>
      </x:c>
      <x:c r="K2822" s="312" t="str">
        <x:f>IF(B2822="Bilinmeyen Personel","Kontrol","OK")</x:f>
        <x:v>OK</x:v>
      </x:c>
    </x:row>
    <x:row r="2823" hidden="1">
      <x:c r="A2823" s="312" t="n">
        <x:f>ROW()-ROW($A$2)+1</x:f>
        <x:v>2822</x:v>
      </x:c>
      <x:c r="B2823" s="312" t="s">
        <x:v>16</x:v>
      </x:c>
      <x:c r="C2823" s="312" t="s">
        <x:v>57</x:v>
      </x:c>
      <x:c r="D2823" s="317">
        <x:v>4</x:v>
      </x:c>
      <x:c r="E2823" s="321">
        <x:v>1500</x:v>
      </x:c>
      <x:c r="F2823" s="321">
        <x:v>6000</x:v>
      </x:c>
      <x:c r="G2823" s="321">
        <x:v>2800</x:v>
      </x:c>
      <x:c r="H2823" s="312" t="s">
        <x:v>68</x:v>
      </x:c>
      <x:c r="I2823" s="312" t="s">
        <x:v>42</x:v>
      </x:c>
      <x:c r="J2823" s="316" t="n">
        <x:f>IFERROR(G2823/F2823,0)</x:f>
        <x:v>0.4666666666666667</x:v>
      </x:c>
      <x:c r="K2823" s="312" t="str">
        <x:f>IF(B2823="Bilinmeyen Personel","Kontrol","OK")</x:f>
        <x:v>OK</x:v>
      </x:c>
    </x:row>
    <x:row r="2824" hidden="1">
      <x:c r="A2824" s="312" t="n">
        <x:f>ROW()-ROW($A$2)+1</x:f>
        <x:v>2823</x:v>
      </x:c>
      <x:c r="B2824" s="312" t="s">
        <x:v>32</x:v>
      </x:c>
      <x:c r="C2824" s="312" t="s">
        <x:v>17</x:v>
      </x:c>
      <x:c r="D2824" s="317">
        <x:v>4</x:v>
      </x:c>
      <x:c r="E2824" s="321">
        <x:v>8450</x:v>
      </x:c>
      <x:c r="F2824" s="321">
        <x:v>33800</x:v>
      </x:c>
      <x:c r="G2824" s="321">
        <x:v>9800</x:v>
      </x:c>
      <x:c r="H2824" s="312" t="s">
        <x:v>68</x:v>
      </x:c>
      <x:c r="I2824" s="312" t="s">
        <x:v>21</x:v>
      </x:c>
      <x:c r="J2824" s="316" t="n">
        <x:f>IFERROR(G2824/F2824,0)</x:f>
        <x:v>0.28994082840236685</x:v>
      </x:c>
      <x:c r="K2824" s="312" t="str">
        <x:f>IF(B2824="Bilinmeyen Personel","Kontrol","OK")</x:f>
        <x:v>OK</x:v>
      </x:c>
    </x:row>
    <x:row r="2825" hidden="1">
      <x:c r="A2825" s="312" t="n">
        <x:f>ROW()-ROW($A$2)+1</x:f>
        <x:v>2824</x:v>
      </x:c>
      <x:c r="B2825" s="312" t="s">
        <x:v>40</x:v>
      </x:c>
      <x:c r="C2825" s="312" t="s">
        <x:v>57</x:v>
      </x:c>
      <x:c r="D2825" s="317">
        <x:v>4</x:v>
      </x:c>
      <x:c r="E2825" s="321">
        <x:v>1500</x:v>
      </x:c>
      <x:c r="F2825" s="321">
        <x:v>6000</x:v>
      </x:c>
      <x:c r="G2825" s="321">
        <x:v>2800</x:v>
      </x:c>
      <x:c r="H2825" s="312" t="s">
        <x:v>68</x:v>
      </x:c>
      <x:c r="I2825" s="312" t="s">
        <x:v>54</x:v>
      </x:c>
      <x:c r="J2825" s="316" t="n">
        <x:f>IFERROR(G2825/F2825,0)</x:f>
        <x:v>0.4666666666666667</x:v>
      </x:c>
      <x:c r="K2825" s="312" t="str">
        <x:f>IF(B2825="Bilinmeyen Personel","Kontrol","OK")</x:f>
        <x:v>OK</x:v>
      </x:c>
    </x:row>
    <x:row r="2826" hidden="1">
      <x:c r="A2826" s="312" t="n">
        <x:f>ROW()-ROW($A$2)+1</x:f>
        <x:v>2825</x:v>
      </x:c>
      <x:c r="B2826" s="312" t="s">
        <x:v>29</x:v>
      </x:c>
      <x:c r="C2826" s="312" t="s">
        <x:v>10</x:v>
      </x:c>
      <x:c r="D2826" s="317">
        <x:v>4</x:v>
      </x:c>
      <x:c r="E2826" s="321">
        <x:v>6000</x:v>
      </x:c>
      <x:c r="F2826" s="321">
        <x:v>24000</x:v>
      </x:c>
      <x:c r="G2826" s="321">
        <x:v>8000</x:v>
      </x:c>
      <x:c r="H2826" s="312" t="s">
        <x:v>68</x:v>
      </x:c>
      <x:c r="I2826" s="312" t="s">
        <x:v>37</x:v>
      </x:c>
      <x:c r="J2826" s="316" t="n">
        <x:f>IFERROR(G2826/F2826,0)</x:f>
        <x:v>0.3333333333333333</x:v>
      </x:c>
      <x:c r="K2826" s="312" t="str">
        <x:f>IF(B2826="Bilinmeyen Personel","Kontrol","OK")</x:f>
        <x:v>OK</x:v>
      </x:c>
    </x:row>
    <x:row r="2827" hidden="1">
      <x:c r="A2827" s="312" t="n">
        <x:f>ROW()-ROW($A$2)+1</x:f>
        <x:v>2826</x:v>
      </x:c>
      <x:c r="B2827" s="312" t="s">
        <x:v>50</x:v>
      </x:c>
      <x:c r="C2827" s="312" t="s">
        <x:v>53</x:v>
      </x:c>
      <x:c r="D2827" s="317">
        <x:v>2</x:v>
      </x:c>
      <x:c r="E2827" s="321">
        <x:v>1200</x:v>
      </x:c>
      <x:c r="F2827" s="321">
        <x:v>2400</x:v>
      </x:c>
      <x:c r="G2827" s="321">
        <x:v>800</x:v>
      </x:c>
      <x:c r="H2827" s="312" t="s">
        <x:v>68</x:v>
      </x:c>
      <x:c r="I2827" s="312" t="s">
        <x:v>37</x:v>
      </x:c>
      <x:c r="J2827" s="316" t="n">
        <x:f>IFERROR(G2827/F2827,0)</x:f>
        <x:v>0.3333333333333333</x:v>
      </x:c>
      <x:c r="K2827" s="312" t="str">
        <x:f>IF(B2827="Bilinmeyen Personel","Kontrol","OK")</x:f>
        <x:v>OK</x:v>
      </x:c>
    </x:row>
    <x:row r="2828" hidden="1">
      <x:c r="A2828" s="312" t="n">
        <x:f>ROW()-ROW($A$2)+1</x:f>
        <x:v>2827</x:v>
      </x:c>
      <x:c r="B2828" s="312" t="s">
        <x:v>9</x:v>
      </x:c>
      <x:c r="C2828" s="312" t="s">
        <x:v>45</x:v>
      </x:c>
      <x:c r="D2828" s="317">
        <x:v>4</x:v>
      </x:c>
      <x:c r="E2828" s="321">
        <x:v>4200</x:v>
      </x:c>
      <x:c r="F2828" s="321">
        <x:v>16800</x:v>
      </x:c>
      <x:c r="G2828" s="321">
        <x:v>4800</x:v>
      </x:c>
      <x:c r="H2828" s="312" t="s">
        <x:v>68</x:v>
      </x:c>
      <x:c r="I2828" s="312" t="s">
        <x:v>54</x:v>
      </x:c>
      <x:c r="J2828" s="316" t="n">
        <x:f>IFERROR(G2828/F2828,0)</x:f>
        <x:v>0.2857142857142857</x:v>
      </x:c>
      <x:c r="K2828" s="312" t="str">
        <x:f>IF(B2828="Bilinmeyen Personel","Kontrol","OK")</x:f>
        <x:v>OK</x:v>
      </x:c>
    </x:row>
    <x:row r="2829" hidden="1">
      <x:c r="A2829" s="312" t="n">
        <x:f>ROW()-ROW($A$2)+1</x:f>
        <x:v>2828</x:v>
      </x:c>
      <x:c r="B2829" s="312" t="s">
        <x:v>48</x:v>
      </x:c>
      <x:c r="C2829" s="312" t="s">
        <x:v>24</x:v>
      </x:c>
      <x:c r="D2829" s="317">
        <x:v>5</x:v>
      </x:c>
      <x:c r="E2829" s="321">
        <x:v>7600</x:v>
      </x:c>
      <x:c r="F2829" s="321">
        <x:v>38000</x:v>
      </x:c>
      <x:c r="G2829" s="321">
        <x:v>8000</x:v>
      </x:c>
      <x:c r="H2829" s="312" t="s">
        <x:v>68</x:v>
      </x:c>
      <x:c r="I2829" s="312" t="s">
        <x:v>28</x:v>
      </x:c>
      <x:c r="J2829" s="316" t="n">
        <x:f>IFERROR(G2829/F2829,0)</x:f>
        <x:v>0.21052631578947367</x:v>
      </x:c>
      <x:c r="K2829" s="312" t="str">
        <x:f>IF(B2829="Bilinmeyen Personel","Kontrol","OK")</x:f>
        <x:v>OK</x:v>
      </x:c>
    </x:row>
    <x:row r="2830" ht="15.75">
      <x:c r="A2830" s="313" t="n">
        <x:f t="shared" ref="A2830:A2890" si="24">ROW()-ROW($A$2)+1</x:f>
        <x:v>2829</x:v>
      </x:c>
      <x:c r="B2830" s="313" t="s">
        <x:v>29</x:v>
      </x:c>
      <x:c r="C2830" s="313" t="s">
        <x:v>20</x:v>
      </x:c>
      <x:c r="D2830" s="314">
        <x:v>1</x:v>
      </x:c>
      <x:c r="E2830" s="320">
        <x:v>1350</x:v>
      </x:c>
      <x:c r="F2830" s="320">
        <x:v>1350</x:v>
      </x:c>
      <x:c r="G2830" s="320">
        <x:v>550</x:v>
      </x:c>
      <x:c r="H2830" s="313" t="s">
        <x:v>11</x:v>
      </x:c>
      <x:c r="I2830" s="313" t="s">
        <x:v>37</x:v>
      </x:c>
      <x:c r="J2830" s="316" t="n">
        <x:f>IFERROR(G2830/F2830,0)</x:f>
        <x:v>0.4074074074074074</x:v>
      </x:c>
      <x:c r="K2830" s="312" t="str">
        <x:f>IF(B2830="Bilinmeyen Personel","Kontrol","OK")</x:f>
        <x:v>OK</x:v>
      </x:c>
    </x:row>
    <x:row r="2831" ht="15.75">
      <x:c r="A2831" s="313" t="n">
        <x:f t="shared" si="24">ROW()-ROW($A$2)+1</x:f>
        <x:v>2830</x:v>
      </x:c>
      <x:c r="B2831" s="313" t="s">
        <x:v>13</x:v>
      </x:c>
      <x:c r="C2831" s="313" t="s">
        <x:v>26</x:v>
      </x:c>
      <x:c r="D2831" s="314">
        <x:v>2</x:v>
      </x:c>
      <x:c r="E2831" s="320">
        <x:v>7250</x:v>
      </x:c>
      <x:c r="F2831" s="320">
        <x:v>14500</x:v>
      </x:c>
      <x:c r="G2831" s="320">
        <x:v>4500</x:v>
      </x:c>
      <x:c r="H2831" s="313" t="s">
        <x:v>11</x:v>
      </x:c>
      <x:c r="I2831" s="313" t="s">
        <x:v>42</x:v>
      </x:c>
      <x:c r="J2831" s="316" t="n">
        <x:f>IFERROR(G2831/F2831,0)</x:f>
        <x:v>0.3103448275862069</x:v>
      </x:c>
      <x:c r="K2831" s="312" t="str">
        <x:f>IF(B2831="Bilinmeyen Personel","Kontrol","OK")</x:f>
        <x:v>OK</x:v>
      </x:c>
    </x:row>
    <x:row r="2832" ht="15.75">
      <x:c r="A2832" s="313" t="n">
        <x:f t="shared" si="24">ROW()-ROW($A$2)+1</x:f>
        <x:v>2831</x:v>
      </x:c>
      <x:c r="B2832" s="313" t="s">
        <x:v>32</x:v>
      </x:c>
      <x:c r="C2832" s="313" t="s">
        <x:v>24</x:v>
      </x:c>
      <x:c r="D2832" s="314">
        <x:v>1</x:v>
      </x:c>
      <x:c r="E2832" s="320">
        <x:v>7600</x:v>
      </x:c>
      <x:c r="F2832" s="320">
        <x:v>7600</x:v>
      </x:c>
      <x:c r="G2832" s="320">
        <x:v>1600</x:v>
      </x:c>
      <x:c r="H2832" s="313" t="s">
        <x:v>11</x:v>
      </x:c>
      <x:c r="I2832" s="313" t="s">
        <x:v>37</x:v>
      </x:c>
      <x:c r="J2832" s="316" t="n">
        <x:f>IFERROR(G2832/F2832,0)</x:f>
        <x:v>0.21052631578947367</x:v>
      </x:c>
      <x:c r="K2832" s="312" t="str">
        <x:f>IF(B2832="Bilinmeyen Personel","Kontrol","OK")</x:f>
        <x:v>OK</x:v>
      </x:c>
    </x:row>
    <x:row r="2833" ht="15.75">
      <x:c r="A2833" s="313" t="n">
        <x:f t="shared" si="24">ROW()-ROW($A$2)+1</x:f>
        <x:v>2832</x:v>
      </x:c>
      <x:c r="B2833" s="313" t="s">
        <x:v>50</x:v>
      </x:c>
      <x:c r="C2833" s="313" t="s">
        <x:v>24</x:v>
      </x:c>
      <x:c r="D2833" s="314">
        <x:v>3</x:v>
      </x:c>
      <x:c r="E2833" s="320">
        <x:v>7600</x:v>
      </x:c>
      <x:c r="F2833" s="320">
        <x:v>22800</x:v>
      </x:c>
      <x:c r="G2833" s="320">
        <x:v>4800</x:v>
      </x:c>
      <x:c r="H2833" s="313" t="s">
        <x:v>11</x:v>
      </x:c>
      <x:c r="I2833" s="313" t="s">
        <x:v>25</x:v>
      </x:c>
      <x:c r="J2833" s="316" t="n">
        <x:f>IFERROR(G2833/F2833,0)</x:f>
        <x:v>0.21052631578947367</x:v>
      </x:c>
      <x:c r="K2833" s="312" t="str">
        <x:f>IF(B2833="Bilinmeyen Personel","Kontrol","OK")</x:f>
        <x:v>OK</x:v>
      </x:c>
    </x:row>
    <x:row r="2834" ht="15.75">
      <x:c r="A2834" s="313" t="n">
        <x:f t="shared" si="24">ROW()-ROW($A$2)+1</x:f>
        <x:v>2833</x:v>
      </x:c>
      <x:c r="B2834" s="313" t="s">
        <x:v>13</x:v>
      </x:c>
      <x:c r="C2834" s="313" t="s">
        <x:v>43</x:v>
      </x:c>
      <x:c r="D2834" s="314">
        <x:v>3</x:v>
      </x:c>
      <x:c r="E2834" s="320">
        <x:v>1490</x:v>
      </x:c>
      <x:c r="F2834" s="320">
        <x:v>4470</x:v>
      </x:c>
      <x:c r="G2834" s="320">
        <x:v>2070</x:v>
      </x:c>
      <x:c r="H2834" s="313" t="s">
        <x:v>11</x:v>
      </x:c>
      <x:c r="I2834" s="313" t="s">
        <x:v>21</x:v>
      </x:c>
      <x:c r="J2834" s="316" t="n">
        <x:f>IFERROR(G2834/F2834,0)</x:f>
        <x:v>0.46308724832214765</x:v>
      </x:c>
      <x:c r="K2834" s="312" t="str">
        <x:f>IF(B2834="Bilinmeyen Personel","Kontrol","OK")</x:f>
        <x:v>OK</x:v>
      </x:c>
    </x:row>
    <x:row r="2835" ht="15.75">
      <x:c r="A2835" s="313" t="n">
        <x:f t="shared" si="24">ROW()-ROW($A$2)+1</x:f>
        <x:v>2834</x:v>
      </x:c>
      <x:c r="B2835" s="313" t="s">
        <x:v>29</x:v>
      </x:c>
      <x:c r="C2835" s="313" t="s">
        <x:v>51</x:v>
      </x:c>
      <x:c r="D2835" s="314">
        <x:v>2</x:v>
      </x:c>
      <x:c r="E2835" s="320">
        <x:v>2900</x:v>
      </x:c>
      <x:c r="F2835" s="320">
        <x:v>5800</x:v>
      </x:c>
      <x:c r="G2835" s="320">
        <x:v>1800</x:v>
      </x:c>
      <x:c r="H2835" s="313" t="s">
        <x:v>11</x:v>
      </x:c>
      <x:c r="I2835" s="313" t="s">
        <x:v>28</x:v>
      </x:c>
      <x:c r="J2835" s="316" t="n">
        <x:f>IFERROR(G2835/F2835,0)</x:f>
        <x:v>0.3103448275862069</x:v>
      </x:c>
      <x:c r="K2835" s="312" t="str">
        <x:f>IF(B2835="Bilinmeyen Personel","Kontrol","OK")</x:f>
        <x:v>OK</x:v>
      </x:c>
    </x:row>
    <x:row r="2836" ht="15.75">
      <x:c r="A2836" s="313" t="n">
        <x:f t="shared" si="24">ROW()-ROW($A$2)+1</x:f>
        <x:v>2835</x:v>
      </x:c>
      <x:c r="B2836" s="313" t="s">
        <x:v>40</x:v>
      </x:c>
      <x:c r="C2836" s="313" t="s">
        <x:v>43</x:v>
      </x:c>
      <x:c r="D2836" s="314">
        <x:v>1</x:v>
      </x:c>
      <x:c r="E2836" s="320">
        <x:v>1490</x:v>
      </x:c>
      <x:c r="F2836" s="320">
        <x:v>1490</x:v>
      </x:c>
      <x:c r="G2836" s="320">
        <x:v>690</x:v>
      </x:c>
      <x:c r="H2836" s="313" t="s">
        <x:v>11</x:v>
      </x:c>
      <x:c r="I2836" s="313" t="s">
        <x:v>25</x:v>
      </x:c>
      <x:c r="J2836" s="316" t="n">
        <x:f>IFERROR(G2836/F2836,0)</x:f>
        <x:v>0.46308724832214765</x:v>
      </x:c>
      <x:c r="K2836" s="312" t="str">
        <x:f>IF(B2836="Bilinmeyen Personel","Kontrol","OK")</x:f>
        <x:v>OK</x:v>
      </x:c>
    </x:row>
    <x:row r="2837" ht="15.75">
      <x:c r="A2837" s="313" t="n">
        <x:f t="shared" si="24">ROW()-ROW($A$2)+1</x:f>
        <x:v>2836</x:v>
      </x:c>
      <x:c r="B2837" s="313" t="s">
        <x:v>40</x:v>
      </x:c>
      <x:c r="C2837" s="313" t="s">
        <x:v>34</x:v>
      </x:c>
      <x:c r="D2837" s="314">
        <x:v>2</x:v>
      </x:c>
      <x:c r="E2837" s="320">
        <x:v>1090</x:v>
      </x:c>
      <x:c r="F2837" s="320">
        <x:v>2180</x:v>
      </x:c>
      <x:c r="G2837" s="320">
        <x:v>580</x:v>
      </x:c>
      <x:c r="H2837" s="313" t="s">
        <x:v>11</x:v>
      </x:c>
      <x:c r="I2837" s="313" t="s">
        <x:v>42</x:v>
      </x:c>
      <x:c r="J2837" s="316" t="n">
        <x:f>IFERROR(G2837/F2837,0)</x:f>
        <x:v>0.26605504587155965</x:v>
      </x:c>
      <x:c r="K2837" s="312" t="str">
        <x:f>IF(B2837="Bilinmeyen Personel","Kontrol","OK")</x:f>
        <x:v>OK</x:v>
      </x:c>
    </x:row>
    <x:row r="2838" ht="15.75">
      <x:c r="A2838" s="313" t="n">
        <x:f t="shared" si="24">ROW()-ROW($A$2)+1</x:f>
        <x:v>2837</x:v>
      </x:c>
      <x:c r="B2838" s="313" t="s">
        <x:v>29</x:v>
      </x:c>
      <x:c r="C2838" s="313" t="s">
        <x:v>30</x:v>
      </x:c>
      <x:c r="D2838" s="314">
        <x:v>2</x:v>
      </x:c>
      <x:c r="E2838" s="320">
        <x:v>1200</x:v>
      </x:c>
      <x:c r="F2838" s="320">
        <x:v>2400</x:v>
      </x:c>
      <x:c r="G2838" s="320">
        <x:v>800</x:v>
      </x:c>
      <x:c r="H2838" s="313" t="s">
        <x:v>11</x:v>
      </x:c>
      <x:c r="I2838" s="313" t="s">
        <x:v>21</x:v>
      </x:c>
      <x:c r="J2838" s="316" t="n">
        <x:f>IFERROR(G2838/F2838,0)</x:f>
        <x:v>0.3333333333333333</x:v>
      </x:c>
      <x:c r="K2838" s="312" t="str">
        <x:f>IF(B2838="Bilinmeyen Personel","Kontrol","OK")</x:f>
        <x:v>OK</x:v>
      </x:c>
    </x:row>
    <x:row r="2839" ht="15.75">
      <x:c r="A2839" s="313" t="n">
        <x:f t="shared" si="24">ROW()-ROW($A$2)+1</x:f>
        <x:v>2838</x:v>
      </x:c>
      <x:c r="B2839" s="313" t="s">
        <x:v>38</x:v>
      </x:c>
      <x:c r="C2839" s="313" t="s">
        <x:v>39</x:v>
      </x:c>
      <x:c r="D2839" s="314">
        <x:v>2</x:v>
      </x:c>
      <x:c r="E2839" s="320">
        <x:v>10590</x:v>
      </x:c>
      <x:c r="F2839" s="320">
        <x:v>21180</x:v>
      </x:c>
      <x:c r="G2839" s="320">
        <x:v>9180</x:v>
      </x:c>
      <x:c r="H2839" s="313" t="s">
        <x:v>11</x:v>
      </x:c>
      <x:c r="I2839" s="313" t="s">
        <x:v>46</x:v>
      </x:c>
      <x:c r="J2839" s="316" t="n">
        <x:f>IFERROR(G2839/F2839,0)</x:f>
        <x:v>0.43342776203966005</x:v>
      </x:c>
      <x:c r="K2839" s="312" t="str">
        <x:f>IF(B2839="Bilinmeyen Personel","Kontrol","OK")</x:f>
        <x:v>OK</x:v>
      </x:c>
    </x:row>
    <x:row r="2840" ht="15.75">
      <x:c r="A2840" s="313" t="n">
        <x:f t="shared" si="24">ROW()-ROW($A$2)+1</x:f>
        <x:v>2839</x:v>
      </x:c>
      <x:c r="B2840" s="313" t="s">
        <x:v>32</x:v>
      </x:c>
      <x:c r="C2840" s="313" t="s">
        <x:v>45</x:v>
      </x:c>
      <x:c r="D2840" s="314">
        <x:v>3</x:v>
      </x:c>
      <x:c r="E2840" s="320">
        <x:v>4200</x:v>
      </x:c>
      <x:c r="F2840" s="320">
        <x:v>12600</x:v>
      </x:c>
      <x:c r="G2840" s="320">
        <x:v>3600</x:v>
      </x:c>
      <x:c r="H2840" s="313" t="s">
        <x:v>11</x:v>
      </x:c>
      <x:c r="I2840" s="313" t="s">
        <x:v>54</x:v>
      </x:c>
      <x:c r="J2840" s="316" t="n">
        <x:f>IFERROR(G2840/F2840,0)</x:f>
        <x:v>0.2857142857142857</x:v>
      </x:c>
      <x:c r="K2840" s="312" t="str">
        <x:f>IF(B2840="Bilinmeyen Personel","Kontrol","OK")</x:f>
        <x:v>OK</x:v>
      </x:c>
    </x:row>
    <x:row r="2841" ht="15.75">
      <x:c r="A2841" s="313" t="n">
        <x:f t="shared" si="24">ROW()-ROW($A$2)+1</x:f>
        <x:v>2840</x:v>
      </x:c>
      <x:c r="B2841" s="313" t="s">
        <x:v>19</x:v>
      </x:c>
      <x:c r="C2841" s="313" t="s">
        <x:v>45</x:v>
      </x:c>
      <x:c r="D2841" s="314">
        <x:v>3</x:v>
      </x:c>
      <x:c r="E2841" s="320">
        <x:v>4200</x:v>
      </x:c>
      <x:c r="F2841" s="320">
        <x:v>12600</x:v>
      </x:c>
      <x:c r="G2841" s="320">
        <x:v>3600</x:v>
      </x:c>
      <x:c r="H2841" s="313" t="s">
        <x:v>11</x:v>
      </x:c>
      <x:c r="I2841" s="313" t="s">
        <x:v>41</x:v>
      </x:c>
      <x:c r="J2841" s="316" t="n">
        <x:f>IFERROR(G2841/F2841,0)</x:f>
        <x:v>0.2857142857142857</x:v>
      </x:c>
      <x:c r="K2841" s="312" t="str">
        <x:f>IF(B2841="Bilinmeyen Personel","Kontrol","OK")</x:f>
        <x:v>OK</x:v>
      </x:c>
    </x:row>
    <x:row r="2842" ht="15.75">
      <x:c r="A2842" s="313" t="n">
        <x:f t="shared" si="24">ROW()-ROW($A$2)+1</x:f>
        <x:v>2841</x:v>
      </x:c>
      <x:c r="B2842" s="313" t="s">
        <x:v>35</x:v>
      </x:c>
      <x:c r="C2842" s="313" t="s">
        <x:v>39</x:v>
      </x:c>
      <x:c r="D2842" s="314">
        <x:v>2</x:v>
      </x:c>
      <x:c r="E2842" s="320">
        <x:v>10590</x:v>
      </x:c>
      <x:c r="F2842" s="320">
        <x:v>21180</x:v>
      </x:c>
      <x:c r="G2842" s="320">
        <x:v>9180</x:v>
      </x:c>
      <x:c r="H2842" s="313" t="s">
        <x:v>11</x:v>
      </x:c>
      <x:c r="I2842" s="313" t="s">
        <x:v>18</x:v>
      </x:c>
      <x:c r="J2842" s="316" t="n">
        <x:f>IFERROR(G2842/F2842,0)</x:f>
        <x:v>0.43342776203966005</x:v>
      </x:c>
      <x:c r="K2842" s="312" t="str">
        <x:f>IF(B2842="Bilinmeyen Personel","Kontrol","OK")</x:f>
        <x:v>OK</x:v>
      </x:c>
    </x:row>
    <x:row r="2843" ht="15.75">
      <x:c r="A2843" s="313" t="n">
        <x:f t="shared" si="24">ROW()-ROW($A$2)+1</x:f>
        <x:v>2842</x:v>
      </x:c>
      <x:c r="B2843" s="313" t="s">
        <x:v>50</x:v>
      </x:c>
      <x:c r="C2843" s="313" t="s">
        <x:v>52</x:v>
      </x:c>
      <x:c r="D2843" s="314">
        <x:v>1</x:v>
      </x:c>
      <x:c r="E2843" s="320">
        <x:v>1250</x:v>
      </x:c>
      <x:c r="F2843" s="320">
        <x:v>1250</x:v>
      </x:c>
      <x:c r="G2843" s="320">
        <x:v>450</x:v>
      </x:c>
      <x:c r="H2843" s="313" t="s">
        <x:v>11</x:v>
      </x:c>
      <x:c r="I2843" s="313" t="s">
        <x:v>31</x:v>
      </x:c>
      <x:c r="J2843" s="316" t="n">
        <x:f>IFERROR(G2843/F2843,0)</x:f>
        <x:v>0.36</x:v>
      </x:c>
      <x:c r="K2843" s="312" t="str">
        <x:f>IF(B2843="Bilinmeyen Personel","Kontrol","OK")</x:f>
        <x:v>OK</x:v>
      </x:c>
    </x:row>
    <x:row r="2844" ht="15.75">
      <x:c r="A2844" s="313" t="n">
        <x:f t="shared" si="24">ROW()-ROW($A$2)+1</x:f>
        <x:v>2843</x:v>
      </x:c>
      <x:c r="B2844" s="313" t="s">
        <x:v>9</x:v>
      </x:c>
      <x:c r="C2844" s="313" t="s">
        <x:v>43</x:v>
      </x:c>
      <x:c r="D2844" s="314">
        <x:v>3</x:v>
      </x:c>
      <x:c r="E2844" s="320">
        <x:v>1490</x:v>
      </x:c>
      <x:c r="F2844" s="320">
        <x:v>4470</x:v>
      </x:c>
      <x:c r="G2844" s="320">
        <x:v>2070</x:v>
      </x:c>
      <x:c r="H2844" s="313" t="s">
        <x:v>11</x:v>
      </x:c>
      <x:c r="I2844" s="313" t="s">
        <x:v>42</x:v>
      </x:c>
      <x:c r="J2844" s="316" t="n">
        <x:f>IFERROR(G2844/F2844,0)</x:f>
        <x:v>0.46308724832214765</x:v>
      </x:c>
      <x:c r="K2844" s="312" t="str">
        <x:f>IF(B2844="Bilinmeyen Personel","Kontrol","OK")</x:f>
        <x:v>OK</x:v>
      </x:c>
    </x:row>
    <x:row r="2845" ht="15.75">
      <x:c r="A2845" s="313" t="n">
        <x:f t="shared" si="24">ROW()-ROW($A$2)+1</x:f>
        <x:v>2844</x:v>
      </x:c>
      <x:c r="B2845" s="313" t="s">
        <x:v>32</x:v>
      </x:c>
      <x:c r="C2845" s="313" t="s">
        <x:v>30</x:v>
      </x:c>
      <x:c r="D2845" s="314">
        <x:v>2</x:v>
      </x:c>
      <x:c r="E2845" s="320">
        <x:v>1200</x:v>
      </x:c>
      <x:c r="F2845" s="320">
        <x:v>2400</x:v>
      </x:c>
      <x:c r="G2845" s="320">
        <x:v>800</x:v>
      </x:c>
      <x:c r="H2845" s="313" t="s">
        <x:v>11</x:v>
      </x:c>
      <x:c r="I2845" s="313" t="s">
        <x:v>44</x:v>
      </x:c>
      <x:c r="J2845" s="316" t="n">
        <x:f>IFERROR(G2845/F2845,0)</x:f>
        <x:v>0.3333333333333333</x:v>
      </x:c>
      <x:c r="K2845" s="312" t="str">
        <x:f>IF(B2845="Bilinmeyen Personel","Kontrol","OK")</x:f>
        <x:v>OK</x:v>
      </x:c>
    </x:row>
    <x:row r="2846" ht="15.75">
      <x:c r="A2846" s="313" t="n">
        <x:f t="shared" si="24">ROW()-ROW($A$2)+1</x:f>
        <x:v>2845</x:v>
      </x:c>
      <x:c r="B2846" s="313" t="s">
        <x:v>16</x:v>
      </x:c>
      <x:c r="C2846" s="313" t="s">
        <x:v>22</x:v>
      </x:c>
      <x:c r="D2846" s="314">
        <x:v>3</x:v>
      </x:c>
      <x:c r="E2846" s="320">
        <x:v>2180</x:v>
      </x:c>
      <x:c r="F2846" s="320">
        <x:v>6540</x:v>
      </x:c>
      <x:c r="G2846" s="320">
        <x:v>2040</x:v>
      </x:c>
      <x:c r="H2846" s="313" t="s">
        <x:v>11</x:v>
      </x:c>
      <x:c r="I2846" s="313" t="s">
        <x:v>28</x:v>
      </x:c>
      <x:c r="J2846" s="316" t="n">
        <x:f>IFERROR(G2846/F2846,0)</x:f>
        <x:v>0.3119266055045872</x:v>
      </x:c>
      <x:c r="K2846" s="312" t="str">
        <x:f>IF(B2846="Bilinmeyen Personel","Kontrol","OK")</x:f>
        <x:v>OK</x:v>
      </x:c>
    </x:row>
    <x:row r="2847" ht="15.75">
      <x:c r="A2847" s="313" t="n">
        <x:f t="shared" si="24">ROW()-ROW($A$2)+1</x:f>
        <x:v>2846</x:v>
      </x:c>
      <x:c r="B2847" s="313" t="s">
        <x:v>40</x:v>
      </x:c>
      <x:c r="C2847" s="313" t="s">
        <x:v>53</x:v>
      </x:c>
      <x:c r="D2847" s="314">
        <x:v>3</x:v>
      </x:c>
      <x:c r="E2847" s="320">
        <x:v>1200</x:v>
      </x:c>
      <x:c r="F2847" s="320">
        <x:v>3600</x:v>
      </x:c>
      <x:c r="G2847" s="320">
        <x:v>1200</x:v>
      </x:c>
      <x:c r="H2847" s="313" t="s">
        <x:v>11</x:v>
      </x:c>
      <x:c r="I2847" s="313" t="s">
        <x:v>28</x:v>
      </x:c>
      <x:c r="J2847" s="316" t="n">
        <x:f>IFERROR(G2847/F2847,0)</x:f>
        <x:v>0.3333333333333333</x:v>
      </x:c>
      <x:c r="K2847" s="312" t="str">
        <x:f>IF(B2847="Bilinmeyen Personel","Kontrol","OK")</x:f>
        <x:v>OK</x:v>
      </x:c>
    </x:row>
    <x:row r="2848" ht="15.75">
      <x:c r="A2848" s="313" t="n">
        <x:f t="shared" si="24">ROW()-ROW($A$2)+1</x:f>
        <x:v>2847</x:v>
      </x:c>
      <x:c r="B2848" s="313" t="s">
        <x:v>9</x:v>
      </x:c>
      <x:c r="C2848" s="313" t="s">
        <x:v>33</x:v>
      </x:c>
      <x:c r="D2848" s="314">
        <x:v>1</x:v>
      </x:c>
      <x:c r="E2848" s="320">
        <x:v>1800</x:v>
      </x:c>
      <x:c r="F2848" s="320">
        <x:v>1800</x:v>
      </x:c>
      <x:c r="G2848" s="320">
        <x:v>1000</x:v>
      </x:c>
      <x:c r="H2848" s="313" t="s">
        <x:v>11</x:v>
      </x:c>
      <x:c r="I2848" s="313" t="s">
        <x:v>25</x:v>
      </x:c>
      <x:c r="J2848" s="316" t="n">
        <x:f>IFERROR(G2848/F2848,0)</x:f>
        <x:v>0.5555555555555556</x:v>
      </x:c>
      <x:c r="K2848" s="312" t="str">
        <x:f>IF(B2848="Bilinmeyen Personel","Kontrol","OK")</x:f>
        <x:v>OK</x:v>
      </x:c>
    </x:row>
    <x:row r="2849" ht="15.75">
      <x:c r="A2849" s="313" t="n">
        <x:f t="shared" si="24">ROW()-ROW($A$2)+1</x:f>
        <x:v>2848</x:v>
      </x:c>
      <x:c r="B2849" s="313" t="s">
        <x:v>16</x:v>
      </x:c>
      <x:c r="C2849" s="313" t="s">
        <x:v>24</x:v>
      </x:c>
      <x:c r="D2849" s="314">
        <x:v>1</x:v>
      </x:c>
      <x:c r="E2849" s="320">
        <x:v>7600</x:v>
      </x:c>
      <x:c r="F2849" s="320">
        <x:v>7600</x:v>
      </x:c>
      <x:c r="G2849" s="320">
        <x:v>1600</x:v>
      </x:c>
      <x:c r="H2849" s="313" t="s">
        <x:v>11</x:v>
      </x:c>
      <x:c r="I2849" s="313" t="s">
        <x:v>28</x:v>
      </x:c>
      <x:c r="J2849" s="316" t="n">
        <x:f>IFERROR(G2849/F2849,0)</x:f>
        <x:v>0.21052631578947367</x:v>
      </x:c>
      <x:c r="K2849" s="312" t="str">
        <x:f>IF(B2849="Bilinmeyen Personel","Kontrol","OK")</x:f>
        <x:v>OK</x:v>
      </x:c>
    </x:row>
    <x:row r="2850" ht="15.75">
      <x:c r="A2850" s="313" t="n">
        <x:f t="shared" si="24">ROW()-ROW($A$2)+1</x:f>
        <x:v>2849</x:v>
      </x:c>
      <x:c r="B2850" s="313" t="s">
        <x:v>35</x:v>
      </x:c>
      <x:c r="C2850" s="313" t="s">
        <x:v>55</x:v>
      </x:c>
      <x:c r="D2850" s="314">
        <x:v>1</x:v>
      </x:c>
      <x:c r="E2850" s="320">
        <x:v>7530</x:v>
      </x:c>
      <x:c r="F2850" s="320">
        <x:v>7530</x:v>
      </x:c>
      <x:c r="G2850" s="320">
        <x:v>1530</x:v>
      </x:c>
      <x:c r="H2850" s="313" t="s">
        <x:v>11</x:v>
      </x:c>
      <x:c r="I2850" s="313" t="s">
        <x:v>28</x:v>
      </x:c>
      <x:c r="J2850" s="316" t="n">
        <x:f>IFERROR(G2850/F2850,0)</x:f>
        <x:v>0.20318725099601595</x:v>
      </x:c>
      <x:c r="K2850" s="312" t="str">
        <x:f>IF(B2850="Bilinmeyen Personel","Kontrol","OK")</x:f>
        <x:v>OK</x:v>
      </x:c>
    </x:row>
    <x:row r="2851" ht="15.75">
      <x:c r="A2851" s="313" t="n">
        <x:f t="shared" si="24">ROW()-ROW($A$2)+1</x:f>
        <x:v>2850</x:v>
      </x:c>
      <x:c r="B2851" s="313" t="s">
        <x:v>50</x:v>
      </x:c>
      <x:c r="C2851" s="313" t="s">
        <x:v>43</x:v>
      </x:c>
      <x:c r="D2851" s="314">
        <x:v>2</x:v>
      </x:c>
      <x:c r="E2851" s="320">
        <x:v>1490</x:v>
      </x:c>
      <x:c r="F2851" s="320">
        <x:v>2980</x:v>
      </x:c>
      <x:c r="G2851" s="320">
        <x:v>1380</x:v>
      </x:c>
      <x:c r="H2851" s="313" t="s">
        <x:v>11</x:v>
      </x:c>
      <x:c r="I2851" s="313" t="s">
        <x:v>44</x:v>
      </x:c>
      <x:c r="J2851" s="316" t="n">
        <x:f>IFERROR(G2851/F2851,0)</x:f>
        <x:v>0.46308724832214765</x:v>
      </x:c>
      <x:c r="K2851" s="312" t="str">
        <x:f>IF(B2851="Bilinmeyen Personel","Kontrol","OK")</x:f>
        <x:v>OK</x:v>
      </x:c>
    </x:row>
    <x:row r="2852" ht="15.75">
      <x:c r="A2852" s="313" t="n">
        <x:f t="shared" si="24">ROW()-ROW($A$2)+1</x:f>
        <x:v>2851</x:v>
      </x:c>
      <x:c r="B2852" s="313" t="s">
        <x:v>9</x:v>
      </x:c>
      <x:c r="C2852" s="313" t="s">
        <x:v>56</x:v>
      </x:c>
      <x:c r="D2852" s="314">
        <x:v>1</x:v>
      </x:c>
      <x:c r="E2852" s="320">
        <x:v>5300</x:v>
      </x:c>
      <x:c r="F2852" s="320">
        <x:v>5300</x:v>
      </x:c>
      <x:c r="G2852" s="320">
        <x:v>1300</x:v>
      </x:c>
      <x:c r="H2852" s="313" t="s">
        <x:v>11</x:v>
      </x:c>
      <x:c r="I2852" s="313" t="s">
        <x:v>42</x:v>
      </x:c>
      <x:c r="J2852" s="316" t="n">
        <x:f>IFERROR(G2852/F2852,0)</x:f>
        <x:v>0.24528301886792453</x:v>
      </x:c>
      <x:c r="K2852" s="312" t="str">
        <x:f>IF(B2852="Bilinmeyen Personel","Kontrol","OK")</x:f>
        <x:v>OK</x:v>
      </x:c>
    </x:row>
    <x:row r="2853" ht="15.75">
      <x:c r="A2853" s="313" t="n">
        <x:f t="shared" si="24">ROW()-ROW($A$2)+1</x:f>
        <x:v>2852</x:v>
      </x:c>
      <x:c r="B2853" s="313" t="s">
        <x:v>23</x:v>
      </x:c>
      <x:c r="C2853" s="313" t="s">
        <x:v>30</x:v>
      </x:c>
      <x:c r="D2853" s="314">
        <x:v>2</x:v>
      </x:c>
      <x:c r="E2853" s="320">
        <x:v>1200</x:v>
      </x:c>
      <x:c r="F2853" s="320">
        <x:v>2400</x:v>
      </x:c>
      <x:c r="G2853" s="320">
        <x:v>800</x:v>
      </x:c>
      <x:c r="H2853" s="313" t="s">
        <x:v>11</x:v>
      </x:c>
      <x:c r="I2853" s="313" t="s">
        <x:v>41</x:v>
      </x:c>
      <x:c r="J2853" s="316" t="n">
        <x:f>IFERROR(G2853/F2853,0)</x:f>
        <x:v>0.3333333333333333</x:v>
      </x:c>
      <x:c r="K2853" s="312" t="str">
        <x:f>IF(B2853="Bilinmeyen Personel","Kontrol","OK")</x:f>
        <x:v>OK</x:v>
      </x:c>
    </x:row>
    <x:row r="2854" ht="15.75">
      <x:c r="A2854" s="313" t="n">
        <x:f t="shared" si="24">ROW()-ROW($A$2)+1</x:f>
        <x:v>2853</x:v>
      </x:c>
      <x:c r="B2854" s="313" t="s">
        <x:v>40</x:v>
      </x:c>
      <x:c r="C2854" s="313" t="s">
        <x:v>34</x:v>
      </x:c>
      <x:c r="D2854" s="314">
        <x:v>1</x:v>
      </x:c>
      <x:c r="E2854" s="320">
        <x:v>1090</x:v>
      </x:c>
      <x:c r="F2854" s="320">
        <x:v>1090</x:v>
      </x:c>
      <x:c r="G2854" s="320">
        <x:v>290</x:v>
      </x:c>
      <x:c r="H2854" s="313" t="s">
        <x:v>11</x:v>
      </x:c>
      <x:c r="I2854" s="313" t="s">
        <x:v>25</x:v>
      </x:c>
      <x:c r="J2854" s="316" t="n">
        <x:f>IFERROR(G2854/F2854,0)</x:f>
        <x:v>0.26605504587155965</x:v>
      </x:c>
      <x:c r="K2854" s="312" t="str">
        <x:f>IF(B2854="Bilinmeyen Personel","Kontrol","OK")</x:f>
        <x:v>OK</x:v>
      </x:c>
    </x:row>
    <x:row r="2855" ht="15.75">
      <x:c r="A2855" s="313" t="n">
        <x:f t="shared" si="24">ROW()-ROW($A$2)+1</x:f>
        <x:v>2854</x:v>
      </x:c>
      <x:c r="B2855" s="313" t="s">
        <x:v>23</x:v>
      </x:c>
      <x:c r="C2855" s="313" t="s">
        <x:v>26</x:v>
      </x:c>
      <x:c r="D2855" s="314">
        <x:v>1</x:v>
      </x:c>
      <x:c r="E2855" s="320">
        <x:v>7250</x:v>
      </x:c>
      <x:c r="F2855" s="320">
        <x:v>7250</x:v>
      </x:c>
      <x:c r="G2855" s="320">
        <x:v>2250</x:v>
      </x:c>
      <x:c r="H2855" s="313" t="s">
        <x:v>11</x:v>
      </x:c>
      <x:c r="I2855" s="313" t="s">
        <x:v>46</x:v>
      </x:c>
      <x:c r="J2855" s="316" t="n">
        <x:f>IFERROR(G2855/F2855,0)</x:f>
        <x:v>0.3103448275862069</x:v>
      </x:c>
      <x:c r="K2855" s="312" t="str">
        <x:f>IF(B2855="Bilinmeyen Personel","Kontrol","OK")</x:f>
        <x:v>OK</x:v>
      </x:c>
    </x:row>
    <x:row r="2856" ht="15.75">
      <x:c r="A2856" s="313" t="n">
        <x:f t="shared" si="24">ROW()-ROW($A$2)+1</x:f>
        <x:v>2855</x:v>
      </x:c>
      <x:c r="B2856" s="313" t="s">
        <x:v>48</x:v>
      </x:c>
      <x:c r="C2856" s="313" t="s">
        <x:v>14</x:v>
      </x:c>
      <x:c r="D2856" s="314">
        <x:v>3</x:v>
      </x:c>
      <x:c r="E2856" s="320">
        <x:v>1400</x:v>
      </x:c>
      <x:c r="F2856" s="320">
        <x:v>4200</x:v>
      </x:c>
      <x:c r="G2856" s="320">
        <x:v>1800</x:v>
      </x:c>
      <x:c r="H2856" s="313" t="s">
        <x:v>11</x:v>
      </x:c>
      <x:c r="I2856" s="313" t="s">
        <x:v>37</x:v>
      </x:c>
      <x:c r="J2856" s="316" t="n">
        <x:f>IFERROR(G2856/F2856,0)</x:f>
        <x:v>0.42857142857142855</x:v>
      </x:c>
      <x:c r="K2856" s="312" t="str">
        <x:f>IF(B2856="Bilinmeyen Personel","Kontrol","OK")</x:f>
        <x:v>OK</x:v>
      </x:c>
    </x:row>
    <x:row r="2857" ht="15.75">
      <x:c r="A2857" s="313" t="n">
        <x:f t="shared" si="24">ROW()-ROW($A$2)+1</x:f>
        <x:v>2856</x:v>
      </x:c>
      <x:c r="B2857" s="313" t="s">
        <x:v>16</x:v>
      </x:c>
      <x:c r="C2857" s="313" t="s">
        <x:v>57</x:v>
      </x:c>
      <x:c r="D2857" s="314">
        <x:v>1</x:v>
      </x:c>
      <x:c r="E2857" s="320">
        <x:v>1500</x:v>
      </x:c>
      <x:c r="F2857" s="320">
        <x:v>1500</x:v>
      </x:c>
      <x:c r="G2857" s="320">
        <x:v>700</x:v>
      </x:c>
      <x:c r="H2857" s="313" t="s">
        <x:v>11</x:v>
      </x:c>
      <x:c r="I2857" s="313" t="s">
        <x:v>28</x:v>
      </x:c>
      <x:c r="J2857" s="316" t="n">
        <x:f>IFERROR(G2857/F2857,0)</x:f>
        <x:v>0.4666666666666667</x:v>
      </x:c>
      <x:c r="K2857" s="312" t="str">
        <x:f>IF(B2857="Bilinmeyen Personel","Kontrol","OK")</x:f>
        <x:v>OK</x:v>
      </x:c>
    </x:row>
    <x:row r="2858" ht="15.75">
      <x:c r="A2858" s="313" t="n">
        <x:f t="shared" si="24">ROW()-ROW($A$2)+1</x:f>
        <x:v>2857</x:v>
      </x:c>
      <x:c r="B2858" s="313" t="s">
        <x:v>35</x:v>
      </x:c>
      <x:c r="C2858" s="313" t="s">
        <x:v>20</x:v>
      </x:c>
      <x:c r="D2858" s="314">
        <x:v>1</x:v>
      </x:c>
      <x:c r="E2858" s="320">
        <x:v>1350</x:v>
      </x:c>
      <x:c r="F2858" s="320">
        <x:v>1350</x:v>
      </x:c>
      <x:c r="G2858" s="320">
        <x:v>550</x:v>
      </x:c>
      <x:c r="H2858" s="313" t="s">
        <x:v>11</x:v>
      </x:c>
      <x:c r="I2858" s="313" t="s">
        <x:v>18</x:v>
      </x:c>
      <x:c r="J2858" s="316" t="n">
        <x:f>IFERROR(G2858/F2858,0)</x:f>
        <x:v>0.4074074074074074</x:v>
      </x:c>
      <x:c r="K2858" s="312" t="str">
        <x:f>IF(B2858="Bilinmeyen Personel","Kontrol","OK")</x:f>
        <x:v>OK</x:v>
      </x:c>
    </x:row>
    <x:row r="2859" ht="15.75">
      <x:c r="A2859" s="313" t="n">
        <x:f t="shared" si="24">ROW()-ROW($A$2)+1</x:f>
        <x:v>2858</x:v>
      </x:c>
      <x:c r="B2859" s="313" t="s">
        <x:v>35</x:v>
      </x:c>
      <x:c r="C2859" s="313" t="s">
        <x:v>30</x:v>
      </x:c>
      <x:c r="D2859" s="314">
        <x:v>3</x:v>
      </x:c>
      <x:c r="E2859" s="320">
        <x:v>1200</x:v>
      </x:c>
      <x:c r="F2859" s="320">
        <x:v>3600</x:v>
      </x:c>
      <x:c r="G2859" s="320">
        <x:v>1200</x:v>
      </x:c>
      <x:c r="H2859" s="313" t="s">
        <x:v>11</x:v>
      </x:c>
      <x:c r="I2859" s="313" t="s">
        <x:v>25</x:v>
      </x:c>
      <x:c r="J2859" s="316" t="n">
        <x:f>IFERROR(G2859/F2859,0)</x:f>
        <x:v>0.3333333333333333</x:v>
      </x:c>
      <x:c r="K2859" s="312" t="str">
        <x:f>IF(B2859="Bilinmeyen Personel","Kontrol","OK")</x:f>
        <x:v>OK</x:v>
      </x:c>
    </x:row>
    <x:row r="2860" ht="15.75">
      <x:c r="A2860" s="313" t="n">
        <x:f t="shared" si="24">ROW()-ROW($A$2)+1</x:f>
        <x:v>2859</x:v>
      </x:c>
      <x:c r="B2860" s="313" t="s">
        <x:v>13</x:v>
      </x:c>
      <x:c r="C2860" s="313" t="s">
        <x:v>55</x:v>
      </x:c>
      <x:c r="D2860" s="314">
        <x:v>3</x:v>
      </x:c>
      <x:c r="E2860" s="320">
        <x:v>7530</x:v>
      </x:c>
      <x:c r="F2860" s="320">
        <x:v>22590</x:v>
      </x:c>
      <x:c r="G2860" s="320">
        <x:v>4590</x:v>
      </x:c>
      <x:c r="H2860" s="313" t="s">
        <x:v>11</x:v>
      </x:c>
      <x:c r="I2860" s="313" t="s">
        <x:v>25</x:v>
      </x:c>
      <x:c r="J2860" s="316" t="n">
        <x:f>IFERROR(G2860/F2860,0)</x:f>
        <x:v>0.20318725099601595</x:v>
      </x:c>
      <x:c r="K2860" s="312" t="str">
        <x:f>IF(B2860="Bilinmeyen Personel","Kontrol","OK")</x:f>
        <x:v>OK</x:v>
      </x:c>
    </x:row>
    <x:row r="2861" ht="15.75">
      <x:c r="A2861" s="313" t="n">
        <x:f t="shared" si="24">ROW()-ROW($A$2)+1</x:f>
        <x:v>2860</x:v>
      </x:c>
      <x:c r="B2861" s="313" t="s">
        <x:v>48</x:v>
      </x:c>
      <x:c r="C2861" s="313" t="s">
        <x:v>30</x:v>
      </x:c>
      <x:c r="D2861" s="314">
        <x:v>1</x:v>
      </x:c>
      <x:c r="E2861" s="320">
        <x:v>1200</x:v>
      </x:c>
      <x:c r="F2861" s="320">
        <x:v>1200</x:v>
      </x:c>
      <x:c r="G2861" s="320">
        <x:v>400</x:v>
      </x:c>
      <x:c r="H2861" s="313" t="s">
        <x:v>11</x:v>
      </x:c>
      <x:c r="I2861" s="313" t="s">
        <x:v>15</x:v>
      </x:c>
      <x:c r="J2861" s="316" t="n">
        <x:f>IFERROR(G2861/F2861,0)</x:f>
        <x:v>0.3333333333333333</x:v>
      </x:c>
      <x:c r="K2861" s="312" t="str">
        <x:f>IF(B2861="Bilinmeyen Personel","Kontrol","OK")</x:f>
        <x:v>OK</x:v>
      </x:c>
    </x:row>
    <x:row r="2862" ht="15.75">
      <x:c r="A2862" s="313" t="n">
        <x:f t="shared" si="24">ROW()-ROW($A$2)+1</x:f>
        <x:v>2861</x:v>
      </x:c>
      <x:c r="B2862" s="313" t="s">
        <x:v>38</x:v>
      </x:c>
      <x:c r="C2862" s="313" t="s">
        <x:v>33</x:v>
      </x:c>
      <x:c r="D2862" s="314">
        <x:v>3</x:v>
      </x:c>
      <x:c r="E2862" s="320">
        <x:v>1800</x:v>
      </x:c>
      <x:c r="F2862" s="320">
        <x:v>5400</x:v>
      </x:c>
      <x:c r="G2862" s="320">
        <x:v>3000</x:v>
      </x:c>
      <x:c r="H2862" s="313" t="s">
        <x:v>11</x:v>
      </x:c>
      <x:c r="I2862" s="313" t="s">
        <x:v>46</x:v>
      </x:c>
      <x:c r="J2862" s="316" t="n">
        <x:f>IFERROR(G2862/F2862,0)</x:f>
        <x:v>0.5555555555555556</x:v>
      </x:c>
      <x:c r="K2862" s="312" t="str">
        <x:f>IF(B2862="Bilinmeyen Personel","Kontrol","OK")</x:f>
        <x:v>OK</x:v>
      </x:c>
    </x:row>
    <x:row r="2863" ht="15.75">
      <x:c r="A2863" s="313" t="n">
        <x:f t="shared" si="24">ROW()-ROW($A$2)+1</x:f>
        <x:v>2862</x:v>
      </x:c>
      <x:c r="B2863" s="313" t="s">
        <x:v>9</x:v>
      </x:c>
      <x:c r="C2863" s="313" t="s">
        <x:v>26</x:v>
      </x:c>
      <x:c r="D2863" s="314">
        <x:v>1</x:v>
      </x:c>
      <x:c r="E2863" s="320">
        <x:v>7250</x:v>
      </x:c>
      <x:c r="F2863" s="320">
        <x:v>7250</x:v>
      </x:c>
      <x:c r="G2863" s="320">
        <x:v>2250</x:v>
      </x:c>
      <x:c r="H2863" s="313" t="s">
        <x:v>11</x:v>
      </x:c>
      <x:c r="I2863" s="313" t="s">
        <x:v>54</x:v>
      </x:c>
      <x:c r="J2863" s="316" t="n">
        <x:f>IFERROR(G2863/F2863,0)</x:f>
        <x:v>0.3103448275862069</x:v>
      </x:c>
      <x:c r="K2863" s="312" t="str">
        <x:f>IF(B2863="Bilinmeyen Personel","Kontrol","OK")</x:f>
        <x:v>OK</x:v>
      </x:c>
    </x:row>
    <x:row r="2864" ht="15.75">
      <x:c r="A2864" s="313" t="n">
        <x:f t="shared" si="24">ROW()-ROW($A$2)+1</x:f>
        <x:v>2863</x:v>
      </x:c>
      <x:c r="B2864" s="313" t="s">
        <x:v>40</x:v>
      </x:c>
      <x:c r="C2864" s="313" t="s">
        <x:v>43</x:v>
      </x:c>
      <x:c r="D2864" s="314">
        <x:v>3</x:v>
      </x:c>
      <x:c r="E2864" s="320">
        <x:v>1490</x:v>
      </x:c>
      <x:c r="F2864" s="320">
        <x:v>4470</x:v>
      </x:c>
      <x:c r="G2864" s="320">
        <x:v>2070</x:v>
      </x:c>
      <x:c r="H2864" s="313" t="s">
        <x:v>11</x:v>
      </x:c>
      <x:c r="I2864" s="313" t="s">
        <x:v>54</x:v>
      </x:c>
      <x:c r="J2864" s="316" t="n">
        <x:f>IFERROR(G2864/F2864,0)</x:f>
        <x:v>0.46308724832214765</x:v>
      </x:c>
      <x:c r="K2864" s="312" t="str">
        <x:f>IF(B2864="Bilinmeyen Personel","Kontrol","OK")</x:f>
        <x:v>OK</x:v>
      </x:c>
    </x:row>
    <x:row r="2865" ht="15.75">
      <x:c r="A2865" s="313" t="n">
        <x:f t="shared" si="24">ROW()-ROW($A$2)+1</x:f>
        <x:v>2864</x:v>
      </x:c>
      <x:c r="B2865" s="313" t="s">
        <x:v>40</x:v>
      </x:c>
      <x:c r="C2865" s="313" t="s">
        <x:v>53</x:v>
      </x:c>
      <x:c r="D2865" s="314">
        <x:v>1</x:v>
      </x:c>
      <x:c r="E2865" s="320">
        <x:v>1200</x:v>
      </x:c>
      <x:c r="F2865" s="320">
        <x:v>1200</x:v>
      </x:c>
      <x:c r="G2865" s="320">
        <x:v>400</x:v>
      </x:c>
      <x:c r="H2865" s="313" t="s">
        <x:v>11</x:v>
      </x:c>
      <x:c r="I2865" s="313" t="s">
        <x:v>46</x:v>
      </x:c>
      <x:c r="J2865" s="316" t="n">
        <x:f>IFERROR(G2865/F2865,0)</x:f>
        <x:v>0.3333333333333333</x:v>
      </x:c>
      <x:c r="K2865" s="312" t="str">
        <x:f>IF(B2865="Bilinmeyen Personel","Kontrol","OK")</x:f>
        <x:v>OK</x:v>
      </x:c>
    </x:row>
    <x:row r="2866" ht="15.75">
      <x:c r="A2866" s="313" t="n">
        <x:f t="shared" si="24">ROW()-ROW($A$2)+1</x:f>
        <x:v>2865</x:v>
      </x:c>
      <x:c r="B2866" s="313" t="s">
        <x:v>13</x:v>
      </x:c>
      <x:c r="C2866" s="313" t="s">
        <x:v>36</x:v>
      </x:c>
      <x:c r="D2866" s="314">
        <x:v>1</x:v>
      </x:c>
      <x:c r="E2866" s="320">
        <x:v>8000</x:v>
      </x:c>
      <x:c r="F2866" s="320">
        <x:v>8000</x:v>
      </x:c>
      <x:c r="G2866" s="320">
        <x:v>2000</x:v>
      </x:c>
      <x:c r="H2866" s="313" t="s">
        <x:v>11</x:v>
      </x:c>
      <x:c r="I2866" s="313" t="s">
        <x:v>46</x:v>
      </x:c>
      <x:c r="J2866" s="316" t="n">
        <x:f>IFERROR(G2866/F2866,0)</x:f>
        <x:v>0.25</x:v>
      </x:c>
      <x:c r="K2866" s="312" t="str">
        <x:f>IF(B2866="Bilinmeyen Personel","Kontrol","OK")</x:f>
        <x:v>OK</x:v>
      </x:c>
    </x:row>
    <x:row r="2867" ht="15.75">
      <x:c r="A2867" s="313" t="n">
        <x:f t="shared" si="24">ROW()-ROW($A$2)+1</x:f>
        <x:v>2866</x:v>
      </x:c>
      <x:c r="B2867" s="313" t="s">
        <x:v>32</x:v>
      </x:c>
      <x:c r="C2867" s="313" t="s">
        <x:v>14</x:v>
      </x:c>
      <x:c r="D2867" s="314">
        <x:v>1</x:v>
      </x:c>
      <x:c r="E2867" s="320">
        <x:v>1400</x:v>
      </x:c>
      <x:c r="F2867" s="320">
        <x:v>1400</x:v>
      </x:c>
      <x:c r="G2867" s="320">
        <x:v>600</x:v>
      </x:c>
      <x:c r="H2867" s="313" t="s">
        <x:v>11</x:v>
      </x:c>
      <x:c r="I2867" s="313" t="s">
        <x:v>41</x:v>
      </x:c>
      <x:c r="J2867" s="316" t="n">
        <x:f>IFERROR(G2867/F2867,0)</x:f>
        <x:v>0.42857142857142855</x:v>
      </x:c>
      <x:c r="K2867" s="312" t="str">
        <x:f>IF(B2867="Bilinmeyen Personel","Kontrol","OK")</x:f>
        <x:v>OK</x:v>
      </x:c>
    </x:row>
    <x:row r="2868" ht="15.75">
      <x:c r="A2868" s="313" t="n">
        <x:f t="shared" si="24">ROW()-ROW($A$2)+1</x:f>
        <x:v>2867</x:v>
      </x:c>
      <x:c r="B2868" s="313" t="s">
        <x:v>29</x:v>
      </x:c>
      <x:c r="C2868" s="313" t="s">
        <x:v>20</x:v>
      </x:c>
      <x:c r="D2868" s="314">
        <x:v>1</x:v>
      </x:c>
      <x:c r="E2868" s="320">
        <x:v>1350</x:v>
      </x:c>
      <x:c r="F2868" s="320">
        <x:v>1350</x:v>
      </x:c>
      <x:c r="G2868" s="320">
        <x:v>550</x:v>
      </x:c>
      <x:c r="H2868" s="313" t="s">
        <x:v>11</x:v>
      </x:c>
      <x:c r="I2868" s="313" t="s">
        <x:v>28</x:v>
      </x:c>
      <x:c r="J2868" s="316" t="n">
        <x:f>IFERROR(G2868/F2868,0)</x:f>
        <x:v>0.4074074074074074</x:v>
      </x:c>
      <x:c r="K2868" s="312" t="str">
        <x:f>IF(B2868="Bilinmeyen Personel","Kontrol","OK")</x:f>
        <x:v>OK</x:v>
      </x:c>
    </x:row>
    <x:row r="2869" ht="15.75">
      <x:c r="A2869" s="313" t="n">
        <x:f t="shared" si="24">ROW()-ROW($A$2)+1</x:f>
        <x:v>2868</x:v>
      </x:c>
      <x:c r="B2869" s="313" t="s">
        <x:v>38</x:v>
      </x:c>
      <x:c r="C2869" s="313" t="s">
        <x:v>53</x:v>
      </x:c>
      <x:c r="D2869" s="314">
        <x:v>1</x:v>
      </x:c>
      <x:c r="E2869" s="320">
        <x:v>1200</x:v>
      </x:c>
      <x:c r="F2869" s="320">
        <x:v>1200</x:v>
      </x:c>
      <x:c r="G2869" s="320">
        <x:v>400</x:v>
      </x:c>
      <x:c r="H2869" s="313" t="s">
        <x:v>11</x:v>
      </x:c>
      <x:c r="I2869" s="313" t="s">
        <x:v>28</x:v>
      </x:c>
      <x:c r="J2869" s="316" t="n">
        <x:f>IFERROR(G2869/F2869,0)</x:f>
        <x:v>0.3333333333333333</x:v>
      </x:c>
      <x:c r="K2869" s="312" t="str">
        <x:f>IF(B2869="Bilinmeyen Personel","Kontrol","OK")</x:f>
        <x:v>OK</x:v>
      </x:c>
    </x:row>
    <x:row r="2870" ht="15.75">
      <x:c r="A2870" s="313" t="n">
        <x:f t="shared" si="24">ROW()-ROW($A$2)+1</x:f>
        <x:v>2869</x:v>
      </x:c>
      <x:c r="B2870" s="313" t="s">
        <x:v>32</x:v>
      </x:c>
      <x:c r="C2870" s="313" t="s">
        <x:v>56</x:v>
      </x:c>
      <x:c r="D2870" s="314">
        <x:v>1</x:v>
      </x:c>
      <x:c r="E2870" s="320">
        <x:v>5300</x:v>
      </x:c>
      <x:c r="F2870" s="320">
        <x:v>5300</x:v>
      </x:c>
      <x:c r="G2870" s="320">
        <x:v>1300</x:v>
      </x:c>
      <x:c r="H2870" s="313" t="s">
        <x:v>11</x:v>
      </x:c>
      <x:c r="I2870" s="313" t="s">
        <x:v>21</x:v>
      </x:c>
      <x:c r="J2870" s="316" t="n">
        <x:f>IFERROR(G2870/F2870,0)</x:f>
        <x:v>0.24528301886792453</x:v>
      </x:c>
      <x:c r="K2870" s="312" t="str">
        <x:f>IF(B2870="Bilinmeyen Personel","Kontrol","OK")</x:f>
        <x:v>OK</x:v>
      </x:c>
    </x:row>
    <x:row r="2871" ht="15.75">
      <x:c r="A2871" s="313" t="n">
        <x:f t="shared" si="24">ROW()-ROW($A$2)+1</x:f>
        <x:v>2870</x:v>
      </x:c>
      <x:c r="B2871" s="313" t="s">
        <x:v>40</x:v>
      </x:c>
      <x:c r="C2871" s="313" t="s">
        <x:v>39</x:v>
      </x:c>
      <x:c r="D2871" s="314">
        <x:v>3</x:v>
      </x:c>
      <x:c r="E2871" s="320">
        <x:v>10590</x:v>
      </x:c>
      <x:c r="F2871" s="320">
        <x:v>31770</x:v>
      </x:c>
      <x:c r="G2871" s="320">
        <x:v>13770</x:v>
      </x:c>
      <x:c r="H2871" s="313" t="s">
        <x:v>11</x:v>
      </x:c>
      <x:c r="I2871" s="313" t="s">
        <x:v>12</x:v>
      </x:c>
      <x:c r="J2871" s="316" t="n">
        <x:f>IFERROR(G2871/F2871,0)</x:f>
        <x:v>0.43342776203966005</x:v>
      </x:c>
      <x:c r="K2871" s="312" t="str">
        <x:f>IF(B2871="Bilinmeyen Personel","Kontrol","OK")</x:f>
        <x:v>OK</x:v>
      </x:c>
    </x:row>
    <x:row r="2872" ht="15.75">
      <x:c r="A2872" s="313" t="n">
        <x:f t="shared" si="24">ROW()-ROW($A$2)+1</x:f>
        <x:v>2871</x:v>
      </x:c>
      <x:c r="B2872" s="313" t="s">
        <x:v>23</x:v>
      </x:c>
      <x:c r="C2872" s="313" t="s">
        <x:v>52</x:v>
      </x:c>
      <x:c r="D2872" s="314">
        <x:v>1</x:v>
      </x:c>
      <x:c r="E2872" s="320">
        <x:v>1250</x:v>
      </x:c>
      <x:c r="F2872" s="320">
        <x:v>1250</x:v>
      </x:c>
      <x:c r="G2872" s="320">
        <x:v>450</x:v>
      </x:c>
      <x:c r="H2872" s="313" t="s">
        <x:v>11</x:v>
      </x:c>
      <x:c r="I2872" s="313" t="s">
        <x:v>41</x:v>
      </x:c>
      <x:c r="J2872" s="316" t="n">
        <x:f>IFERROR(G2872/F2872,0)</x:f>
        <x:v>0.36</x:v>
      </x:c>
      <x:c r="K2872" s="312" t="str">
        <x:f>IF(B2872="Bilinmeyen Personel","Kontrol","OK")</x:f>
        <x:v>OK</x:v>
      </x:c>
    </x:row>
    <x:row r="2873" ht="15.75">
      <x:c r="A2873" s="313" t="n">
        <x:f t="shared" si="24">ROW()-ROW($A$2)+1</x:f>
        <x:v>2872</x:v>
      </x:c>
      <x:c r="B2873" s="313" t="s">
        <x:v>50</x:v>
      </x:c>
      <x:c r="C2873" s="313" t="s">
        <x:v>53</x:v>
      </x:c>
      <x:c r="D2873" s="314">
        <x:v>1</x:v>
      </x:c>
      <x:c r="E2873" s="320">
        <x:v>1200</x:v>
      </x:c>
      <x:c r="F2873" s="320">
        <x:v>1200</x:v>
      </x:c>
      <x:c r="G2873" s="320">
        <x:v>400</x:v>
      </x:c>
      <x:c r="H2873" s="313" t="s">
        <x:v>11</x:v>
      </x:c>
      <x:c r="I2873" s="313" t="s">
        <x:v>21</x:v>
      </x:c>
      <x:c r="J2873" s="316" t="n">
        <x:f>IFERROR(G2873/F2873,0)</x:f>
        <x:v>0.3333333333333333</x:v>
      </x:c>
      <x:c r="K2873" s="312" t="str">
        <x:f>IF(B2873="Bilinmeyen Personel","Kontrol","OK")</x:f>
        <x:v>OK</x:v>
      </x:c>
    </x:row>
    <x:row r="2874" ht="15.75">
      <x:c r="A2874" s="313" t="n">
        <x:f t="shared" si="24">ROW()-ROW($A$2)+1</x:f>
        <x:v>2873</x:v>
      </x:c>
      <x:c r="B2874" s="313" t="s">
        <x:v>23</x:v>
      </x:c>
      <x:c r="C2874" s="313" t="s">
        <x:v>14</x:v>
      </x:c>
      <x:c r="D2874" s="314">
        <x:v>3</x:v>
      </x:c>
      <x:c r="E2874" s="320">
        <x:v>1400</x:v>
      </x:c>
      <x:c r="F2874" s="320">
        <x:v>4200</x:v>
      </x:c>
      <x:c r="G2874" s="320">
        <x:v>1800</x:v>
      </x:c>
      <x:c r="H2874" s="313" t="s">
        <x:v>11</x:v>
      </x:c>
      <x:c r="I2874" s="313" t="s">
        <x:v>37</x:v>
      </x:c>
      <x:c r="J2874" s="316" t="n">
        <x:f>IFERROR(G2874/F2874,0)</x:f>
        <x:v>0.42857142857142855</x:v>
      </x:c>
      <x:c r="K2874" s="312" t="str">
        <x:f>IF(B2874="Bilinmeyen Personel","Kontrol","OK")</x:f>
        <x:v>OK</x:v>
      </x:c>
    </x:row>
    <x:row r="2875" ht="15.75">
      <x:c r="A2875" s="313" t="n">
        <x:f t="shared" si="24">ROW()-ROW($A$2)+1</x:f>
        <x:v>2874</x:v>
      </x:c>
      <x:c r="B2875" s="313" t="s">
        <x:v>50</x:v>
      </x:c>
      <x:c r="C2875" s="313" t="s">
        <x:v>55</x:v>
      </x:c>
      <x:c r="D2875" s="314">
        <x:v>2</x:v>
      </x:c>
      <x:c r="E2875" s="320">
        <x:v>7530</x:v>
      </x:c>
      <x:c r="F2875" s="320">
        <x:v>15060</x:v>
      </x:c>
      <x:c r="G2875" s="320">
        <x:v>3060</x:v>
      </x:c>
      <x:c r="H2875" s="313" t="s">
        <x:v>11</x:v>
      </x:c>
      <x:c r="I2875" s="313" t="s">
        <x:v>25</x:v>
      </x:c>
      <x:c r="J2875" s="316" t="n">
        <x:f>IFERROR(G2875/F2875,0)</x:f>
        <x:v>0.20318725099601595</x:v>
      </x:c>
      <x:c r="K2875" s="312" t="str">
        <x:f>IF(B2875="Bilinmeyen Personel","Kontrol","OK")</x:f>
        <x:v>OK</x:v>
      </x:c>
    </x:row>
    <x:row r="2876" ht="15.75">
      <x:c r="A2876" s="313" t="n">
        <x:f t="shared" si="24">ROW()-ROW($A$2)+1</x:f>
        <x:v>2875</x:v>
      </x:c>
      <x:c r="B2876" s="313" t="s">
        <x:v>32</x:v>
      </x:c>
      <x:c r="C2876" s="313" t="s">
        <x:v>24</x:v>
      </x:c>
      <x:c r="D2876" s="314">
        <x:v>1</x:v>
      </x:c>
      <x:c r="E2876" s="320">
        <x:v>7600</x:v>
      </x:c>
      <x:c r="F2876" s="320">
        <x:v>7600</x:v>
      </x:c>
      <x:c r="G2876" s="320">
        <x:v>1600</x:v>
      </x:c>
      <x:c r="H2876" s="313" t="s">
        <x:v>11</x:v>
      </x:c>
      <x:c r="I2876" s="313" t="s">
        <x:v>28</x:v>
      </x:c>
      <x:c r="J2876" s="316" t="n">
        <x:f>IFERROR(G2876/F2876,0)</x:f>
        <x:v>0.21052631578947367</x:v>
      </x:c>
      <x:c r="K2876" s="312" t="str">
        <x:f>IF(B2876="Bilinmeyen Personel","Kontrol","OK")</x:f>
        <x:v>OK</x:v>
      </x:c>
    </x:row>
    <x:row r="2877" ht="15.75">
      <x:c r="A2877" s="313" t="n">
        <x:f t="shared" si="24">ROW()-ROW($A$2)+1</x:f>
        <x:v>2876</x:v>
      </x:c>
      <x:c r="B2877" s="313" t="s">
        <x:v>50</x:v>
      </x:c>
      <x:c r="C2877" s="313" t="s">
        <x:v>57</x:v>
      </x:c>
      <x:c r="D2877" s="314">
        <x:v>1</x:v>
      </x:c>
      <x:c r="E2877" s="320">
        <x:v>1500</x:v>
      </x:c>
      <x:c r="F2877" s="320">
        <x:v>1500</x:v>
      </x:c>
      <x:c r="G2877" s="320">
        <x:v>700</x:v>
      </x:c>
      <x:c r="H2877" s="313" t="s">
        <x:v>11</x:v>
      </x:c>
      <x:c r="I2877" s="313" t="s">
        <x:v>18</x:v>
      </x:c>
      <x:c r="J2877" s="316" t="n">
        <x:f>IFERROR(G2877/F2877,0)</x:f>
        <x:v>0.4666666666666667</x:v>
      </x:c>
      <x:c r="K2877" s="312" t="str">
        <x:f>IF(B2877="Bilinmeyen Personel","Kontrol","OK")</x:f>
        <x:v>OK</x:v>
      </x:c>
    </x:row>
    <x:row r="2878" ht="15.75">
      <x:c r="A2878" s="313" t="n">
        <x:f t="shared" si="24">ROW()-ROW($A$2)+1</x:f>
        <x:v>2877</x:v>
      </x:c>
      <x:c r="B2878" s="313" t="s">
        <x:v>40</x:v>
      </x:c>
      <x:c r="C2878" s="313" t="s">
        <x:v>22</x:v>
      </x:c>
      <x:c r="D2878" s="314">
        <x:v>2</x:v>
      </x:c>
      <x:c r="E2878" s="320">
        <x:v>2180</x:v>
      </x:c>
      <x:c r="F2878" s="320">
        <x:v>4360</x:v>
      </x:c>
      <x:c r="G2878" s="320">
        <x:v>1360</x:v>
      </x:c>
      <x:c r="H2878" s="313" t="s">
        <x:v>11</x:v>
      </x:c>
      <x:c r="I2878" s="313" t="s">
        <x:v>12</x:v>
      </x:c>
      <x:c r="J2878" s="316" t="n">
        <x:f>IFERROR(G2878/F2878,0)</x:f>
        <x:v>0.3119266055045872</x:v>
      </x:c>
      <x:c r="K2878" s="312" t="str">
        <x:f>IF(B2878="Bilinmeyen Personel","Kontrol","OK")</x:f>
        <x:v>OK</x:v>
      </x:c>
    </x:row>
    <x:row r="2879" ht="15.75">
      <x:c r="A2879" s="313" t="n">
        <x:f t="shared" si="24">ROW()-ROW($A$2)+1</x:f>
        <x:v>2878</x:v>
      </x:c>
      <x:c r="B2879" s="313" t="s">
        <x:v>19</x:v>
      </x:c>
      <x:c r="C2879" s="313" t="s">
        <x:v>22</x:v>
      </x:c>
      <x:c r="D2879" s="314">
        <x:v>1</x:v>
      </x:c>
      <x:c r="E2879" s="320">
        <x:v>2180</x:v>
      </x:c>
      <x:c r="F2879" s="320">
        <x:v>2180</x:v>
      </x:c>
      <x:c r="G2879" s="320">
        <x:v>680</x:v>
      </x:c>
      <x:c r="H2879" s="313" t="s">
        <x:v>11</x:v>
      </x:c>
      <x:c r="I2879" s="313" t="s">
        <x:v>42</x:v>
      </x:c>
      <x:c r="J2879" s="316" t="n">
        <x:f>IFERROR(G2879/F2879,0)</x:f>
        <x:v>0.3119266055045872</x:v>
      </x:c>
      <x:c r="K2879" s="312" t="str">
        <x:f>IF(B2879="Bilinmeyen Personel","Kontrol","OK")</x:f>
        <x:v>OK</x:v>
      </x:c>
    </x:row>
    <x:row r="2880" ht="15.75">
      <x:c r="A2880" s="313" t="n">
        <x:f t="shared" si="24">ROW()-ROW($A$2)+1</x:f>
        <x:v>2879</x:v>
      </x:c>
      <x:c r="B2880" s="313" t="s">
        <x:v>40</x:v>
      </x:c>
      <x:c r="C2880" s="313" t="s">
        <x:v>47</x:v>
      </x:c>
      <x:c r="D2880" s="314">
        <x:v>1</x:v>
      </x:c>
      <x:c r="E2880" s="320">
        <x:v>5775</x:v>
      </x:c>
      <x:c r="F2880" s="320">
        <x:v>5775</x:v>
      </x:c>
      <x:c r="G2880" s="320">
        <x:v>1775</x:v>
      </x:c>
      <x:c r="H2880" s="313" t="s">
        <x:v>11</x:v>
      </x:c>
      <x:c r="I2880" s="313" t="s">
        <x:v>46</x:v>
      </x:c>
      <x:c r="J2880" s="316" t="n">
        <x:f>IFERROR(G2880/F2880,0)</x:f>
        <x:v>0.30735930735930733</x:v>
      </x:c>
      <x:c r="K2880" s="312" t="str">
        <x:f>IF(B2880="Bilinmeyen Personel","Kontrol","OK")</x:f>
        <x:v>OK</x:v>
      </x:c>
    </x:row>
    <x:row r="2881" ht="15.75">
      <x:c r="A2881" s="313" t="n">
        <x:f t="shared" si="24">ROW()-ROW($A$2)+1</x:f>
        <x:v>2880</x:v>
      </x:c>
      <x:c r="B2881" s="313" t="s">
        <x:v>40</x:v>
      </x:c>
      <x:c r="C2881" s="313" t="s">
        <x:v>27</x:v>
      </x:c>
      <x:c r="D2881" s="314">
        <x:v>3</x:v>
      </x:c>
      <x:c r="E2881" s="320">
        <x:v>1100</x:v>
      </x:c>
      <x:c r="F2881" s="320">
        <x:v>3300</x:v>
      </x:c>
      <x:c r="G2881" s="320">
        <x:v>900</x:v>
      </x:c>
      <x:c r="H2881" s="313" t="s">
        <x:v>11</x:v>
      </x:c>
      <x:c r="I2881" s="313" t="s">
        <x:v>12</x:v>
      </x:c>
      <x:c r="J2881" s="316" t="n">
        <x:f>IFERROR(G2881/F2881,0)</x:f>
        <x:v>0.2727272727272727</x:v>
      </x:c>
      <x:c r="K2881" s="312" t="str">
        <x:f>IF(B2881="Bilinmeyen Personel","Kontrol","OK")</x:f>
        <x:v>OK</x:v>
      </x:c>
    </x:row>
    <x:row r="2882" ht="15.75">
      <x:c r="A2882" s="313" t="n">
        <x:f t="shared" si="24">ROW()-ROW($A$2)+1</x:f>
        <x:v>2881</x:v>
      </x:c>
      <x:c r="B2882" s="313" t="s">
        <x:v>48</x:v>
      </x:c>
      <x:c r="C2882" s="313" t="s">
        <x:v>47</x:v>
      </x:c>
      <x:c r="D2882" s="314">
        <x:v>1</x:v>
      </x:c>
      <x:c r="E2882" s="320">
        <x:v>5775</x:v>
      </x:c>
      <x:c r="F2882" s="320">
        <x:v>5775</x:v>
      </x:c>
      <x:c r="G2882" s="320">
        <x:v>1775</x:v>
      </x:c>
      <x:c r="H2882" s="313" t="s">
        <x:v>11</x:v>
      </x:c>
      <x:c r="I2882" s="313" t="s">
        <x:v>41</x:v>
      </x:c>
      <x:c r="J2882" s="316" t="n">
        <x:f>IFERROR(G2882/F2882,0)</x:f>
        <x:v>0.30735930735930733</x:v>
      </x:c>
      <x:c r="K2882" s="312" t="str">
        <x:f>IF(B2882="Bilinmeyen Personel","Kontrol","OK")</x:f>
        <x:v>OK</x:v>
      </x:c>
    </x:row>
    <x:row r="2883" ht="15.75">
      <x:c r="A2883" s="313" t="n">
        <x:f t="shared" si="24">ROW()-ROW($A$2)+1</x:f>
        <x:v>2882</x:v>
      </x:c>
      <x:c r="B2883" s="313" t="s">
        <x:v>35</x:v>
      </x:c>
      <x:c r="C2883" s="313" t="s">
        <x:v>20</x:v>
      </x:c>
      <x:c r="D2883" s="314">
        <x:v>1</x:v>
      </x:c>
      <x:c r="E2883" s="320">
        <x:v>1350</x:v>
      </x:c>
      <x:c r="F2883" s="320">
        <x:v>1350</x:v>
      </x:c>
      <x:c r="G2883" s="320">
        <x:v>550</x:v>
      </x:c>
      <x:c r="H2883" s="313" t="s">
        <x:v>11</x:v>
      </x:c>
      <x:c r="I2883" s="313" t="s">
        <x:v>18</x:v>
      </x:c>
      <x:c r="J2883" s="316" t="n">
        <x:f>IFERROR(G2883/F2883,0)</x:f>
        <x:v>0.4074074074074074</x:v>
      </x:c>
      <x:c r="K2883" s="312" t="str">
        <x:f>IF(B2883="Bilinmeyen Personel","Kontrol","OK")</x:f>
        <x:v>OK</x:v>
      </x:c>
    </x:row>
    <x:row r="2884" ht="15.75">
      <x:c r="A2884" s="313" t="n">
        <x:f t="shared" si="24">ROW()-ROW($A$2)+1</x:f>
        <x:v>2883</x:v>
      </x:c>
      <x:c r="B2884" s="313" t="s">
        <x:v>9</x:v>
      </x:c>
      <x:c r="C2884" s="313" t="s">
        <x:v>24</x:v>
      </x:c>
      <x:c r="D2884" s="314">
        <x:v>3</x:v>
      </x:c>
      <x:c r="E2884" s="320">
        <x:v>7600</x:v>
      </x:c>
      <x:c r="F2884" s="320">
        <x:v>22800</x:v>
      </x:c>
      <x:c r="G2884" s="320">
        <x:v>4800</x:v>
      </x:c>
      <x:c r="H2884" s="313" t="s">
        <x:v>11</x:v>
      </x:c>
      <x:c r="I2884" s="313" t="s">
        <x:v>41</x:v>
      </x:c>
      <x:c r="J2884" s="316" t="n">
        <x:f>IFERROR(G2884/F2884,0)</x:f>
        <x:v>0.21052631578947367</x:v>
      </x:c>
      <x:c r="K2884" s="312" t="str">
        <x:f>IF(B2884="Bilinmeyen Personel","Kontrol","OK")</x:f>
        <x:v>OK</x:v>
      </x:c>
    </x:row>
    <x:row r="2885" ht="15.75">
      <x:c r="A2885" s="313" t="n">
        <x:f t="shared" si="24">ROW()-ROW($A$2)+1</x:f>
        <x:v>2884</x:v>
      </x:c>
      <x:c r="B2885" s="313" t="s">
        <x:v>16</x:v>
      </x:c>
      <x:c r="C2885" s="313" t="s">
        <x:v>26</x:v>
      </x:c>
      <x:c r="D2885" s="314">
        <x:v>3</x:v>
      </x:c>
      <x:c r="E2885" s="320">
        <x:v>7250</x:v>
      </x:c>
      <x:c r="F2885" s="320">
        <x:v>21750</x:v>
      </x:c>
      <x:c r="G2885" s="320">
        <x:v>6750</x:v>
      </x:c>
      <x:c r="H2885" s="313" t="s">
        <x:v>11</x:v>
      </x:c>
      <x:c r="I2885" s="313" t="s">
        <x:v>44</x:v>
      </x:c>
      <x:c r="J2885" s="316" t="n">
        <x:f>IFERROR(G2885/F2885,0)</x:f>
        <x:v>0.3103448275862069</x:v>
      </x:c>
      <x:c r="K2885" s="312" t="str">
        <x:f>IF(B2885="Bilinmeyen Personel","Kontrol","OK")</x:f>
        <x:v>OK</x:v>
      </x:c>
    </x:row>
    <x:row r="2886" ht="15.75">
      <x:c r="A2886" s="313" t="n">
        <x:f t="shared" si="24">ROW()-ROW($A$2)+1</x:f>
        <x:v>2885</x:v>
      </x:c>
      <x:c r="B2886" s="313" t="s">
        <x:v>50</x:v>
      </x:c>
      <x:c r="C2886" s="313" t="s">
        <x:v>43</x:v>
      </x:c>
      <x:c r="D2886" s="314">
        <x:v>2</x:v>
      </x:c>
      <x:c r="E2886" s="320">
        <x:v>1490</x:v>
      </x:c>
      <x:c r="F2886" s="320">
        <x:v>2980</x:v>
      </x:c>
      <x:c r="G2886" s="320">
        <x:v>1380</x:v>
      </x:c>
      <x:c r="H2886" s="313" t="s">
        <x:v>11</x:v>
      </x:c>
      <x:c r="I2886" s="313" t="s">
        <x:v>46</x:v>
      </x:c>
      <x:c r="J2886" s="316" t="n">
        <x:f>IFERROR(G2886/F2886,0)</x:f>
        <x:v>0.46308724832214765</x:v>
      </x:c>
      <x:c r="K2886" s="312" t="str">
        <x:f>IF(B2886="Bilinmeyen Personel","Kontrol","OK")</x:f>
        <x:v>OK</x:v>
      </x:c>
    </x:row>
    <x:row r="2887" ht="15.75">
      <x:c r="A2887" s="313" t="n">
        <x:f t="shared" si="24">ROW()-ROW($A$2)+1</x:f>
        <x:v>2886</x:v>
      </x:c>
      <x:c r="B2887" s="313" t="s">
        <x:v>19</x:v>
      </x:c>
      <x:c r="C2887" s="313" t="s">
        <x:v>43</x:v>
      </x:c>
      <x:c r="D2887" s="314">
        <x:v>2</x:v>
      </x:c>
      <x:c r="E2887" s="320">
        <x:v>1490</x:v>
      </x:c>
      <x:c r="F2887" s="320">
        <x:v>2980</x:v>
      </x:c>
      <x:c r="G2887" s="320">
        <x:v>1380</x:v>
      </x:c>
      <x:c r="H2887" s="313" t="s">
        <x:v>11</x:v>
      </x:c>
      <x:c r="I2887" s="313" t="s">
        <x:v>25</x:v>
      </x:c>
      <x:c r="J2887" s="316" t="n">
        <x:f>IFERROR(G2887/F2887,0)</x:f>
        <x:v>0.46308724832214765</x:v>
      </x:c>
      <x:c r="K2887" s="312" t="str">
        <x:f>IF(B2887="Bilinmeyen Personel","Kontrol","OK")</x:f>
        <x:v>OK</x:v>
      </x:c>
    </x:row>
    <x:row r="2888" ht="15.75">
      <x:c r="A2888" s="313" t="n">
        <x:f t="shared" si="24">ROW()-ROW($A$2)+1</x:f>
        <x:v>2887</x:v>
      </x:c>
      <x:c r="B2888" s="313" t="s">
        <x:v>38</x:v>
      </x:c>
      <x:c r="C2888" s="313" t="s">
        <x:v>34</x:v>
      </x:c>
      <x:c r="D2888" s="314">
        <x:v>2</x:v>
      </x:c>
      <x:c r="E2888" s="320">
        <x:v>1090</x:v>
      </x:c>
      <x:c r="F2888" s="320">
        <x:v>2180</x:v>
      </x:c>
      <x:c r="G2888" s="320">
        <x:v>580</x:v>
      </x:c>
      <x:c r="H2888" s="313" t="s">
        <x:v>11</x:v>
      </x:c>
      <x:c r="I2888" s="313" t="s">
        <x:v>41</x:v>
      </x:c>
      <x:c r="J2888" s="316" t="n">
        <x:f>IFERROR(G2888/F2888,0)</x:f>
        <x:v>0.26605504587155965</x:v>
      </x:c>
      <x:c r="K2888" s="312" t="str">
        <x:f>IF(B2888="Bilinmeyen Personel","Kontrol","OK")</x:f>
        <x:v>OK</x:v>
      </x:c>
    </x:row>
    <x:row r="2889" ht="15.75">
      <x:c r="A2889" s="313" t="n">
        <x:f t="shared" si="24">ROW()-ROW($A$2)+1</x:f>
        <x:v>2888</x:v>
      </x:c>
      <x:c r="B2889" s="313" t="s">
        <x:v>38</x:v>
      </x:c>
      <x:c r="C2889" s="313" t="s">
        <x:v>30</x:v>
      </x:c>
      <x:c r="D2889" s="314">
        <x:v>3</x:v>
      </x:c>
      <x:c r="E2889" s="320">
        <x:v>1200</x:v>
      </x:c>
      <x:c r="F2889" s="320">
        <x:v>3600</x:v>
      </x:c>
      <x:c r="G2889" s="320">
        <x:v>1200</x:v>
      </x:c>
      <x:c r="H2889" s="313" t="s">
        <x:v>11</x:v>
      </x:c>
      <x:c r="I2889" s="313" t="s">
        <x:v>15</x:v>
      </x:c>
      <x:c r="J2889" s="316" t="n">
        <x:f>IFERROR(G2889/F2889,0)</x:f>
        <x:v>0.3333333333333333</x:v>
      </x:c>
      <x:c r="K2889" s="312" t="str">
        <x:f>IF(B2889="Bilinmeyen Personel","Kontrol","OK")</x:f>
        <x:v>OK</x:v>
      </x:c>
    </x:row>
    <x:row r="2890" ht="15.75">
      <x:c r="A2890" s="313" t="n">
        <x:f t="shared" si="24">ROW()-ROW($A$2)+1</x:f>
        <x:v>2889</x:v>
      </x:c>
      <x:c r="B2890" s="313" t="s">
        <x:v>50</x:v>
      </x:c>
      <x:c r="C2890" s="313" t="s">
        <x:v>34</x:v>
      </x:c>
      <x:c r="D2890" s="314">
        <x:v>2</x:v>
      </x:c>
      <x:c r="E2890" s="320">
        <x:v>1090</x:v>
      </x:c>
      <x:c r="F2890" s="320">
        <x:v>2180</x:v>
      </x:c>
      <x:c r="G2890" s="320">
        <x:v>580</x:v>
      </x:c>
      <x:c r="H2890" s="313" t="s">
        <x:v>11</x:v>
      </x:c>
      <x:c r="I2890" s="313" t="s">
        <x:v>21</x:v>
      </x:c>
      <x:c r="J2890" s="316" t="n">
        <x:f>IFERROR(G2890/F2890,0)</x:f>
        <x:v>0.26605504587155965</x:v>
      </x:c>
      <x:c r="K2890" s="312" t="str">
        <x:f>IF(B2890="Bilinmeyen Personel","Kontrol","OK")</x:f>
        <x:v>OK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2" hidden="0" customWidth="1"/>
    <x:col min="7" max="7" width="12" hidden="0" customWidth="1"/>
    <x:col min="9" max="9" width="33" hidden="0" customWidth="1"/>
    <x:col min="1" max="1" width="34" hidden="0" customWidth="1"/>
    <x:col min="8" max="8" width="12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257" t="str">
        <x:v>AYRINTILAR • DİNAMİK ÜRÜN &amp; KÂR ANALİZ MOTORU</x:v>
      </x:c>
      <x:c r="B1" s="257"/>
      <x:c r="C1" s="257"/>
      <x:c r="D1" s="257"/>
      <x:c r="E1" s="257"/>
      <x:c r="F1" s="257"/>
      <x:c r="G1" s="257"/>
      <x:c r="H1" s="257"/>
      <x:c r="I1" s="257"/>
      <x:c r="J1" s="257"/>
      <x:c r="K1" s="257"/>
      <x:c r="L1" s="257"/>
      <x:c r="M1" s="258"/>
      <x:c r="N1" s="258"/>
      <x:c r="O1" s="258"/>
      <x:c r="P1" s="258"/>
      <x:c r="Q1" s="258"/>
      <x:c r="R1" s="258"/>
      <x:c r="S1" s="258"/>
      <x:c r="T1" s="258"/>
      <x:c r="U1" s="258"/>
    </x:row>
    <x:row r="2">
      <x:c r="A2" s="259" t="str">
        <x:v>Seçili Ürün</x:v>
      </x:c>
      <x:c r="B2" s="259" t="str">
        <x:v>Bulaşık Makinesi Beyaz</x:v>
      </x:c>
      <x:c r="C2" s="258"/>
      <x:c r="D2" s="258"/>
      <x:c r="E2" s="258"/>
      <x:c r="F2" s="258"/>
      <x:c r="G2" s="258"/>
      <x:c r="H2" s="258"/>
      <x:c r="I2" s="258"/>
      <x:c r="J2" s="258"/>
      <x:c r="K2" s="258"/>
      <x:c r="L2" s="258"/>
      <x:c r="M2" s="258"/>
      <x:c r="N2" s="258"/>
      <x:c r="O2" s="258"/>
      <x:c r="P2" s="258"/>
      <x:c r="Q2" s="258"/>
      <x:c r="R2" s="258"/>
      <x:c r="S2" s="258"/>
      <x:c r="T2" s="258"/>
      <x:c r="U2" s="258"/>
    </x:row>
    <x:row r="3">
      <x:c r="A3" s="258"/>
      <x:c r="B3" s="258"/>
      <x:c r="C3" s="258"/>
      <x:c r="D3" s="258"/>
      <x:c r="E3" s="258"/>
      <x:c r="F3" s="258"/>
      <x:c r="G3" s="258"/>
      <x:c r="H3" s="258"/>
      <x:c r="I3" s="258"/>
      <x:c r="J3" s="258"/>
      <x:c r="K3" s="258"/>
      <x:c r="L3" s="258"/>
      <x:c r="M3" s="258"/>
      <x:c r="N3" s="258"/>
      <x:c r="O3" s="258"/>
      <x:c r="P3" s="258"/>
      <x:c r="Q3" s="258"/>
      <x:c r="R3" s="258"/>
      <x:c r="S3" s="258"/>
      <x:c r="T3" s="258"/>
      <x:c r="U3" s="258"/>
    </x:row>
    <x:row r="4">
      <x:c r="A4" s="260" t="str">
        <x:v>Ürün Performans Özeti</x:v>
      </x:c>
      <x:c r="B4" s="260"/>
      <x:c r="C4" s="260"/>
      <x:c r="D4" s="260"/>
      <x:c r="E4" s="260"/>
      <x:c r="F4" s="260"/>
      <x:c r="G4" s="260"/>
      <x:c r="H4" s="260"/>
      <x:c r="I4" s="258"/>
      <x:c r="J4" s="260" t="str">
        <x:v>Seçili Ürün • Aylık Detay</x:v>
      </x:c>
      <x:c r="K4" s="260"/>
      <x:c r="L4" s="260"/>
      <x:c r="M4" s="258"/>
      <x:c r="N4" s="258"/>
      <x:c r="O4" s="258"/>
      <x:c r="P4" s="258"/>
      <x:c r="Q4" s="258"/>
      <x:c r="R4" s="258"/>
      <x:c r="S4" s="258"/>
      <x:c r="T4" s="258"/>
      <x:c r="U4" s="258"/>
    </x:row>
    <x:row r="5">
      <x:c r="A5" s="261" t="str">
        <x:v>Ürün</x:v>
      </x:c>
      <x:c r="B5" s="261" t="str">
        <x:v>Ciro</x:v>
      </x:c>
      <x:c r="C5" s="261" t="str">
        <x:v>Kâr</x:v>
      </x:c>
      <x:c r="D5" s="261" t="str">
        <x:v>Kâr Marjı</x:v>
      </x:c>
      <x:c r="E5" s="261" t="str">
        <x:v>Ort. Satır Marjı</x:v>
      </x:c>
      <x:c r="F5" s="261" t="str">
        <x:v>Satış Adedi</x:v>
      </x:c>
      <x:c r="G5" s="261" t="str">
        <x:v>Sipariş</x:v>
      </x:c>
      <x:c r="H5" s="261" t="str">
        <x:v>Kâr Sırası</x:v>
      </x:c>
      <x:c r="I5" s="258"/>
      <x:c r="J5" s="261" t="str">
        <x:v>Ay</x:v>
      </x:c>
      <x:c r="K5" s="261" t="str">
        <x:v>Ciro</x:v>
      </x:c>
      <x:c r="L5" s="261" t="str">
        <x:v>Kâr</x:v>
      </x:c>
      <x:c r="M5" s="258"/>
      <x:c r="N5" s="258"/>
      <x:c r="O5" s="258"/>
      <x:c r="P5" s="258"/>
      <x:c r="Q5" s="258"/>
      <x:c r="R5" s="258"/>
      <x:c r="S5" s="258"/>
      <x:c r="T5" s="258"/>
      <x:c r="U5" s="258"/>
    </x:row>
    <x:row r="6">
      <x:c r="A6" s="262" t="str">
        <x:v>Bulaşık Makinesi Beyaz</x:v>
      </x:c>
      <x:c r="B6" s="322" t="n">
        <x:f>SUMIF('VERİ'!$C$2:$C$2890,A6,'VERİ'!$F$2:$F$2890)</x:f>
        <x:v>2400000</x:v>
      </x:c>
      <x:c r="C6" s="322" t="n">
        <x:f>SUMIF('VERİ'!$C$2:$C$2890,A6,'VERİ'!$G$2:$G$2890)</x:f>
        <x:v>800000</x:v>
      </x:c>
      <x:c r="D6" s="323" t="n">
        <x:f>IFERROR(C6/B6,0)</x:f>
        <x:v>0.3333333333333333</x:v>
      </x:c>
      <x:c r="E6" s="323" t="n">
        <x:f>IFERROR(AVERAGEIF('VERİ'!$C$2:$C$2890,A6,'VERİ'!$J$2:$J$2890),0)</x:f>
        <x:v>0.3333333333333338</x:v>
      </x:c>
      <x:c r="F6" s="324" t="n">
        <x:f>SUMIF('VERİ'!$C$2:$C$2890,A6,'VERİ'!$D$2:$D$2890)</x:f>
        <x:v>400</x:v>
      </x:c>
      <x:c r="G6" s="324" t="n">
        <x:f>COUNTIF('VERİ'!$C$2:$C$2890,A6)</x:f>
        <x:v>149</x:v>
      </x:c>
      <x:c r="H6" s="324" t="n">
        <x:f>IFERROR(RANK.EQ(C6,$C$6:$C$28,0),"")</x:f>
        <x:v>4</x:v>
      </x:c>
      <x:c r="I6" s="258"/>
      <x:c r="J6" s="262" t="str">
        <x:v>Ocak</x:v>
      </x:c>
      <x:c r="K6" s="322" t="n">
        <x:f>SUMIFS('VERİ'!$F$2:$F$2890,'VERİ'!$C$2:$C$2890,$B$2,'VERİ'!$H$2:$H$2890,J6)</x:f>
        <x:v>126000</x:v>
      </x:c>
      <x:c r="L6" s="322" t="n">
        <x:f>SUMIFS('VERİ'!$G$2:$G$2890,'VERİ'!$C$2:$C$2890,$B$2,'VERİ'!$H$2:$H$2890,J6)</x:f>
        <x:v>42000</x:v>
      </x:c>
      <x:c r="M6" s="258"/>
      <x:c r="N6" s="258"/>
      <x:c r="O6" s="258"/>
      <x:c r="P6" s="258"/>
      <x:c r="Q6" s="258"/>
      <x:c r="R6" s="258"/>
      <x:c r="S6" s="258"/>
      <x:c r="T6" s="258"/>
      <x:c r="U6" s="258"/>
    </x:row>
    <x:row r="7">
      <x:c r="A7" s="262" t="str">
        <x:v>Bulaşık Makinesi Gri</x:v>
      </x:c>
      <x:c r="B7" s="322" t="n">
        <x:f>SUMIF('VERİ'!$C$2:$C$2890,A7,'VERİ'!$F$2:$F$2890)</x:f>
        <x:v>1229600</x:v>
      </x:c>
      <x:c r="C7" s="322" t="n">
        <x:f>SUMIF('VERİ'!$C$2:$C$2890,A7,'VERİ'!$G$2:$G$2890)</x:f>
        <x:v>301600</x:v>
      </x:c>
      <x:c r="D7" s="323" t="n">
        <x:f>IFERROR(C7/B7,0)</x:f>
        <x:v>0.24528301886792453</x:v>
      </x:c>
      <x:c r="E7" s="323" t="n">
        <x:f>IFERROR(AVERAGEIF('VERİ'!$C$2:$C$2890,A7,'VERİ'!$J$2:$J$2890),0)</x:f>
        <x:v>0.24528301886792422</x:v>
      </x:c>
      <x:c r="F7" s="324" t="n">
        <x:f>SUMIF('VERİ'!$C$2:$C$2890,A7,'VERİ'!$D$2:$D$2890)</x:f>
        <x:v>232</x:v>
      </x:c>
      <x:c r="G7" s="324" t="n">
        <x:f>COUNTIF('VERİ'!$C$2:$C$2890,A7)</x:f>
        <x:v>88</x:v>
      </x:c>
      <x:c r="H7" s="324" t="n">
        <x:f>IFERROR(RANK.EQ(C7,$C$6:$C$28,0),"")</x:f>
        <x:v>10</x:v>
      </x:c>
      <x:c r="I7" s="258"/>
      <x:c r="J7" s="262" t="str">
        <x:v>Şubat</x:v>
      </x:c>
      <x:c r="K7" s="322" t="n">
        <x:f>SUMIFS('VERİ'!$F$2:$F$2890,'VERİ'!$C$2:$C$2890,$B$2,'VERİ'!$H$2:$H$2890,J7)</x:f>
        <x:v>36000</x:v>
      </x:c>
      <x:c r="L7" s="322" t="n">
        <x:f>SUMIFS('VERİ'!$G$2:$G$2890,'VERİ'!$C$2:$C$2890,$B$2,'VERİ'!$H$2:$H$2890,J7)</x:f>
        <x:v>12000</x:v>
      </x:c>
      <x:c r="M7" s="258"/>
      <x:c r="N7" s="258"/>
      <x:c r="O7" s="258"/>
      <x:c r="P7" s="258"/>
      <x:c r="Q7" s="258"/>
      <x:c r="R7" s="258"/>
      <x:c r="S7" s="258"/>
      <x:c r="T7" s="258"/>
      <x:c r="U7" s="258"/>
    </x:row>
    <x:row r="8">
      <x:c r="A8" s="262" t="str">
        <x:v>Buzdolabı Dört Kapılı Gri</x:v>
      </x:c>
      <x:c r="B8" s="322" t="n">
        <x:f>SUMIF('VERİ'!$C$2:$C$2890,A8,'VERİ'!$F$2:$F$2890)</x:f>
        <x:v>2840300</x:v>
      </x:c>
      <x:c r="C8" s="322" t="n">
        <x:f>SUMIF('VERİ'!$C$2:$C$2890,A8,'VERİ'!$G$2:$G$2890)</x:f>
        <x:v>1230800</x:v>
      </x:c>
      <x:c r="D8" s="323" t="n">
        <x:f>IFERROR(C8/B8,0)</x:f>
        <x:v>0.4333345069182833</x:v>
      </x:c>
      <x:c r="E8" s="323" t="n">
        <x:f>IFERROR(AVERAGEIF('VERİ'!$C$2:$C$2890,A8,'VERİ'!$J$2:$J$2890),0)</x:f>
        <x:v>0.4322004776302156</x:v>
      </x:c>
      <x:c r="F8" s="324" t="n">
        <x:f>SUMIF('VERİ'!$C$2:$C$2890,A8,'VERİ'!$D$2:$D$2890)</x:f>
        <x:v>269</x:v>
      </x:c>
      <x:c r="G8" s="324" t="n">
        <x:f>COUNTIF('VERİ'!$C$2:$C$2890,A8)</x:f>
        <x:v>99</x:v>
      </x:c>
      <x:c r="H8" s="324" t="n">
        <x:f>IFERROR(RANK.EQ(C8,$C$6:$C$28,0),"")</x:f>
        <x:v>2</x:v>
      </x:c>
      <x:c r="I8" s="258"/>
      <x:c r="J8" s="262" t="str">
        <x:v>Mart</x:v>
      </x:c>
      <x:c r="K8" s="322" t="n">
        <x:f>SUMIFS('VERİ'!$F$2:$F$2890,'VERİ'!$C$2:$C$2890,$B$2,'VERİ'!$H$2:$H$2890,J8)</x:f>
        <x:v>72000</x:v>
      </x:c>
      <x:c r="L8" s="322" t="n">
        <x:f>SUMIFS('VERİ'!$G$2:$G$2890,'VERİ'!$C$2:$C$2890,$B$2,'VERİ'!$H$2:$H$2890,J8)</x:f>
        <x:v>24000</x:v>
      </x:c>
      <x:c r="M8" s="258"/>
      <x:c r="N8" s="258"/>
      <x:c r="O8" s="258"/>
      <x:c r="P8" s="258"/>
      <x:c r="Q8" s="258"/>
      <x:c r="R8" s="258"/>
      <x:c r="S8" s="258"/>
      <x:c r="T8" s="258"/>
      <x:c r="U8" s="258"/>
    </x:row>
    <x:row r="9">
      <x:c r="A9" s="262" t="str">
        <x:v>Buzdolabı İki Kapaklı Beyaz</x:v>
      </x:c>
      <x:c r="B9" s="322" t="n">
        <x:f>SUMIF('VERİ'!$C$2:$C$2890,A9,'VERİ'!$F$2:$F$2890)</x:f>
        <x:v>1968850</x:v>
      </x:c>
      <x:c r="C9" s="322" t="n">
        <x:f>SUMIF('VERİ'!$C$2:$C$2890,A9,'VERİ'!$G$2:$G$2890)</x:f>
        <x:v>570850</x:v>
      </x:c>
      <x:c r="D9" s="323" t="n">
        <x:f>IFERROR(C9/B9,0)</x:f>
        <x:v>0.28994082840236685</x:v>
      </x:c>
      <x:c r="E9" s="323" t="n">
        <x:f>IFERROR(AVERAGEIF('VERİ'!$C$2:$C$2890,A9,'VERİ'!$J$2:$J$2890),0)</x:f>
        <x:v>0.28994082840236735</x:v>
      </x:c>
      <x:c r="F9" s="324" t="n">
        <x:f>SUMIF('VERİ'!$C$2:$C$2890,A9,'VERİ'!$D$2:$D$2890)</x:f>
        <x:v>233</x:v>
      </x:c>
      <x:c r="G9" s="324" t="n">
        <x:f>COUNTIF('VERİ'!$C$2:$C$2890,A9)</x:f>
        <x:v>78</x:v>
      </x:c>
      <x:c r="H9" s="324" t="n">
        <x:f>IFERROR(RANK.EQ(C9,$C$6:$C$28,0),"")</x:f>
        <x:v>5</x:v>
      </x:c>
      <x:c r="I9" s="258"/>
      <x:c r="J9" s="262" t="str">
        <x:v>Nisan</x:v>
      </x:c>
      <x:c r="K9" s="322" t="n">
        <x:f>SUMIFS('VERİ'!$F$2:$F$2890,'VERİ'!$C$2:$C$2890,$B$2,'VERİ'!$H$2:$H$2890,J9)</x:f>
        <x:v>174000</x:v>
      </x:c>
      <x:c r="L9" s="322" t="n">
        <x:f>SUMIFS('VERİ'!$G$2:$G$2890,'VERİ'!$C$2:$C$2890,$B$2,'VERİ'!$H$2:$H$2890,J9)</x:f>
        <x:v>58000</x:v>
      </x:c>
      <x:c r="M9" s="258"/>
      <x:c r="N9" s="258"/>
      <x:c r="O9" s="258"/>
      <x:c r="P9" s="258"/>
      <x:c r="Q9" s="258"/>
      <x:c r="R9" s="258"/>
      <x:c r="S9" s="258"/>
      <x:c r="T9" s="258"/>
      <x:c r="U9" s="258"/>
    </x:row>
    <x:row r="10">
      <x:c r="A10" s="262" t="str">
        <x:v>Buzdolabı İki Kapılı Gri</x:v>
      </x:c>
      <x:c r="B10" s="322" t="n">
        <x:f>SUMIF('VERİ'!$C$2:$C$2890,A10,'VERİ'!$F$2:$F$2890)</x:f>
        <x:v>2040630</x:v>
      </x:c>
      <x:c r="C10" s="322" t="n">
        <x:f>SUMIF('VERİ'!$C$2:$C$2890,A10,'VERİ'!$G$2:$G$2890)</x:f>
        <x:v>414630</x:v>
      </x:c>
      <x:c r="D10" s="323" t="n">
        <x:f>IFERROR(C10/B10,0)</x:f>
        <x:v>0.20318725099601595</x:v>
      </x:c>
      <x:c r="E10" s="323" t="n">
        <x:f>IFERROR(AVERAGEIF('VERİ'!$C$2:$C$2890,A10,'VERİ'!$J$2:$J$2890),0)</x:f>
        <x:v>0.20318725099601628</x:v>
      </x:c>
      <x:c r="F10" s="324" t="n">
        <x:f>SUMIF('VERİ'!$C$2:$C$2890,A10,'VERİ'!$D$2:$D$2890)</x:f>
        <x:v>271</x:v>
      </x:c>
      <x:c r="G10" s="324" t="n">
        <x:f>COUNTIF('VERİ'!$C$2:$C$2890,A10)</x:f>
        <x:v>97</x:v>
      </x:c>
      <x:c r="H10" s="324" t="n">
        <x:f>IFERROR(RANK.EQ(C10,$C$6:$C$28,0),"")</x:f>
        <x:v>7</x:v>
      </x:c>
      <x:c r="I10" s="258"/>
      <x:c r="J10" s="262" t="str">
        <x:v>Mayıs</x:v>
      </x:c>
      <x:c r="K10" s="322" t="n">
        <x:f>SUMIFS('VERİ'!$F$2:$F$2890,'VERİ'!$C$2:$C$2890,$B$2,'VERİ'!$H$2:$H$2890,J10)</x:f>
        <x:v>342000</x:v>
      </x:c>
      <x:c r="L10" s="322" t="n">
        <x:f>SUMIFS('VERİ'!$G$2:$G$2890,'VERİ'!$C$2:$C$2890,$B$2,'VERİ'!$H$2:$H$2890,J10)</x:f>
        <x:v>114000</x:v>
      </x:c>
      <x:c r="M10" s="258"/>
      <x:c r="N10" s="258"/>
      <x:c r="O10" s="258"/>
      <x:c r="P10" s="258"/>
      <x:c r="Q10" s="258"/>
      <x:c r="R10" s="258"/>
      <x:c r="S10" s="258"/>
      <x:c r="T10" s="258"/>
      <x:c r="U10" s="258"/>
    </x:row>
    <x:row r="11">
      <x:c r="A11" s="262" t="str">
        <x:v>Davlumbaz Gri X Marka</x:v>
      </x:c>
      <x:c r="B11" s="322" t="n">
        <x:f>SUMIF('VERİ'!$C$2:$C$2890,A11,'VERİ'!$F$2:$F$2890)</x:f>
        <x:v>633250</x:v>
      </x:c>
      <x:c r="C11" s="322" t="n">
        <x:f>SUMIF('VERİ'!$C$2:$C$2890,A11,'VERİ'!$G$2:$G$2890)</x:f>
        <x:v>293250</x:v>
      </x:c>
      <x:c r="D11" s="323" t="n">
        <x:f>IFERROR(C11/B11,0)</x:f>
        <x:v>0.46308724832214765</x:v>
      </x:c>
      <x:c r="E11" s="323" t="n">
        <x:f>IFERROR(AVERAGEIF('VERİ'!$C$2:$C$2890,A11,'VERİ'!$J$2:$J$2890),0)</x:f>
        <x:v>0.46308724832214787</x:v>
      </x:c>
      <x:c r="F11" s="324" t="n">
        <x:f>SUMIF('VERİ'!$C$2:$C$2890,A11,'VERİ'!$D$2:$D$2890)</x:f>
        <x:v>425</x:v>
      </x:c>
      <x:c r="G11" s="324" t="n">
        <x:f>COUNTIF('VERİ'!$C$2:$C$2890,A11)</x:f>
        <x:v>159</x:v>
      </x:c>
      <x:c r="H11" s="324" t="n">
        <x:f>IFERROR(RANK.EQ(C11,$C$6:$C$28,0),"")</x:f>
        <x:v>11</x:v>
      </x:c>
      <x:c r="I11" s="258"/>
      <x:c r="J11" s="262" t="str">
        <x:v>Haziran</x:v>
      </x:c>
      <x:c r="K11" s="322" t="n">
        <x:f>SUMIFS('VERİ'!$F$2:$F$2890,'VERİ'!$C$2:$C$2890,$B$2,'VERİ'!$H$2:$H$2890,J11)</x:f>
        <x:v>372000</x:v>
      </x:c>
      <x:c r="L11" s="322" t="n">
        <x:f>SUMIFS('VERİ'!$G$2:$G$2890,'VERİ'!$C$2:$C$2890,$B$2,'VERİ'!$H$2:$H$2890,J11)</x:f>
        <x:v>124000</x:v>
      </x:c>
      <x:c r="M11" s="258"/>
      <x:c r="N11" s="258"/>
      <x:c r="O11" s="258"/>
      <x:c r="P11" s="258"/>
      <x:c r="Q11" s="258"/>
      <x:c r="R11" s="258"/>
      <x:c r="S11" s="258"/>
      <x:c r="T11" s="258"/>
      <x:c r="U11" s="258"/>
    </x:row>
    <x:row r="12">
      <x:c r="A12" s="262" t="str">
        <x:v>Davlumbaz Gri Y Marka</x:v>
      </x:c>
      <x:c r="B12" s="322" t="n">
        <x:f>SUMIF('VERİ'!$C$2:$C$2890,A12,'VERİ'!$F$2:$F$2890)</x:f>
        <x:v>402000</x:v>
      </x:c>
      <x:c r="C12" s="322" t="n">
        <x:f>SUMIF('VERİ'!$C$2:$C$2890,A12,'VERİ'!$G$2:$G$2890)</x:f>
        <x:v>187600</x:v>
      </x:c>
      <x:c r="D12" s="323" t="n">
        <x:f>IFERROR(C12/B12,0)</x:f>
        <x:v>0.4666666666666667</x:v>
      </x:c>
      <x:c r="E12" s="323" t="n">
        <x:f>IFERROR(AVERAGEIF('VERİ'!$C$2:$C$2890,A12,'VERİ'!$J$2:$J$2890),0)</x:f>
        <x:v>0.46666666666666684</x:v>
      </x:c>
      <x:c r="F12" s="324" t="n">
        <x:f>SUMIF('VERİ'!$C$2:$C$2890,A12,'VERİ'!$D$2:$D$2890)</x:f>
        <x:v>268</x:v>
      </x:c>
      <x:c r="G12" s="324" t="n">
        <x:f>COUNTIF('VERİ'!$C$2:$C$2890,A12)</x:f>
        <x:v>106</x:v>
      </x:c>
      <x:c r="H12" s="324" t="n">
        <x:f>IFERROR(RANK.EQ(C12,$C$6:$C$28,0),"")</x:f>
        <x:v>17</x:v>
      </x:c>
      <x:c r="I12" s="258"/>
      <x:c r="J12" s="262" t="str">
        <x:v>Temmuz</x:v>
      </x:c>
      <x:c r="K12" s="322" t="n">
        <x:f>SUMIFS('VERİ'!$F$2:$F$2890,'VERİ'!$C$2:$C$2890,$B$2,'VERİ'!$H$2:$H$2890,J12)</x:f>
        <x:v>114000</x:v>
      </x:c>
      <x:c r="L12" s="322" t="n">
        <x:f>SUMIFS('VERİ'!$G$2:$G$2890,'VERİ'!$C$2:$C$2890,$B$2,'VERİ'!$H$2:$H$2890,J12)</x:f>
        <x:v>38000</x:v>
      </x:c>
      <x:c r="M12" s="258"/>
      <x:c r="N12" s="258"/>
      <x:c r="O12" s="258"/>
      <x:c r="P12" s="258"/>
      <x:c r="Q12" s="258"/>
      <x:c r="R12" s="258"/>
      <x:c r="S12" s="258"/>
      <x:c r="T12" s="258"/>
      <x:c r="U12" s="258"/>
    </x:row>
    <x:row r="13">
      <x:c r="A13" s="262" t="str">
        <x:v>Derin Dondurucu Beyaz</x:v>
      </x:c>
      <x:c r="B13" s="322" t="n">
        <x:f>SUMIF('VERİ'!$C$2:$C$2890,A13,'VERİ'!$F$2:$F$2890)</x:f>
        <x:v>771025</x:v>
      </x:c>
      <x:c r="C13" s="322" t="n">
        <x:f>SUMIF('VERİ'!$C$2:$C$2890,A13,'VERİ'!$G$2:$G$2890)</x:f>
        <x:v>237025</x:v>
      </x:c>
      <x:c r="D13" s="323" t="n">
        <x:f>IFERROR(C13/B13,0)</x:f>
        <x:v>0.30741545345481663</x:v>
      </x:c>
      <x:c r="E13" s="323" t="n">
        <x:f>IFERROR(AVERAGEIF('VERİ'!$C$2:$C$2890,A13,'VERİ'!$J$2:$J$2890),0)</x:f>
        <x:v>0.30741784697159974</x:v>
      </x:c>
      <x:c r="F13" s="324" t="n">
        <x:f>SUMIF('VERİ'!$C$2:$C$2890,A13,'VERİ'!$D$2:$D$2890)</x:f>
        <x:v>133</x:v>
      </x:c>
      <x:c r="G13" s="324" t="n">
        <x:f>COUNTIF('VERİ'!$C$2:$C$2890,A13)</x:f>
        <x:v>51</x:v>
      </x:c>
      <x:c r="H13" s="324" t="n">
        <x:f>IFERROR(RANK.EQ(C13,$C$6:$C$28,0),"")</x:f>
        <x:v>13</x:v>
      </x:c>
      <x:c r="I13" s="258"/>
      <x:c r="J13" s="262" t="str">
        <x:v>Ağustos</x:v>
      </x:c>
      <x:c r="K13" s="322" t="n">
        <x:f>SUMIFS('VERİ'!$F$2:$F$2890,'VERİ'!$C$2:$C$2890,$B$2,'VERİ'!$H$2:$H$2890,J13)</x:f>
        <x:v>372000</x:v>
      </x:c>
      <x:c r="L13" s="322" t="n">
        <x:f>SUMIFS('VERİ'!$G$2:$G$2890,'VERİ'!$C$2:$C$2890,$B$2,'VERİ'!$H$2:$H$2890,J13)</x:f>
        <x:v>124000</x:v>
      </x:c>
      <x:c r="M13" s="258"/>
      <x:c r="N13" s="258"/>
      <x:c r="O13" s="258"/>
      <x:c r="P13" s="258"/>
      <x:c r="Q13" s="258"/>
      <x:c r="R13" s="258"/>
      <x:c r="S13" s="258"/>
      <x:c r="T13" s="258"/>
      <x:c r="U13" s="258"/>
    </x:row>
    <x:row r="14">
      <x:c r="A14" s="262" t="str">
        <x:v>Derin Dondurucu Gri</x:v>
      </x:c>
      <x:c r="B14" s="322" t="n">
        <x:f>SUMIF('VERİ'!$C$2:$C$2890,A14,'VERİ'!$F$2:$F$2890)</x:f>
        <x:v>4429750</x:v>
      </x:c>
      <x:c r="C14" s="322" t="n">
        <x:f>SUMIF('VERİ'!$C$2:$C$2890,A14,'VERİ'!$G$2:$G$2890)</x:f>
        <x:v>1374750</x:v>
      </x:c>
      <x:c r="D14" s="323" t="n">
        <x:f>IFERROR(C14/B14,0)</x:f>
        <x:v>0.3103448275862069</x:v>
      </x:c>
      <x:c r="E14" s="323" t="n">
        <x:f>IFERROR(AVERAGEIF('VERİ'!$C$2:$C$2890,A14,'VERİ'!$J$2:$J$2890),0)</x:f>
        <x:v>0.3103448275862065</x:v>
      </x:c>
      <x:c r="F14" s="324" t="n">
        <x:f>SUMIF('VERİ'!$C$2:$C$2890,A14,'VERİ'!$D$2:$D$2890)</x:f>
        <x:v>611</x:v>
      </x:c>
      <x:c r="G14" s="324" t="n">
        <x:f>COUNTIF('VERİ'!$C$2:$C$2890,A14)</x:f>
        <x:v>215</x:v>
      </x:c>
      <x:c r="H14" s="324" t="n">
        <x:f>IFERROR(RANK.EQ(C14,$C$6:$C$28,0),"")</x:f>
        <x:v>1</x:v>
      </x:c>
      <x:c r="I14" s="258"/>
      <x:c r="J14" s="262" t="str">
        <x:v>Eylül</x:v>
      </x:c>
      <x:c r="K14" s="322" t="n">
        <x:f>SUMIFS('VERİ'!$F$2:$F$2890,'VERİ'!$C$2:$C$2890,$B$2,'VERİ'!$H$2:$H$2890,J14)</x:f>
        <x:v>198000</x:v>
      </x:c>
      <x:c r="L14" s="322" t="n">
        <x:f>SUMIFS('VERİ'!$G$2:$G$2890,'VERİ'!$C$2:$C$2890,$B$2,'VERİ'!$H$2:$H$2890,J14)</x:f>
        <x:v>66000</x:v>
      </x:c>
      <x:c r="M14" s="258"/>
      <x:c r="N14" s="258"/>
      <x:c r="O14" s="258"/>
      <x:c r="P14" s="258"/>
      <x:c r="Q14" s="258"/>
      <x:c r="R14" s="258"/>
      <x:c r="S14" s="258"/>
      <x:c r="T14" s="258"/>
      <x:c r="U14" s="258"/>
    </x:row>
    <x:row r="15">
      <x:c r="A15" s="262" t="str">
        <x:v>Fırın Beyaz</x:v>
      </x:c>
      <x:c r="B15" s="322" t="n">
        <x:f>SUMIF('VERİ'!$C$2:$C$2890,A15,'VERİ'!$F$2:$F$2890)</x:f>
        <x:v>1512000</x:v>
      </x:c>
      <x:c r="C15" s="322" t="n">
        <x:f>SUMIF('VERİ'!$C$2:$C$2890,A15,'VERİ'!$G$2:$G$2890)</x:f>
        <x:v>432000</x:v>
      </x:c>
      <x:c r="D15" s="323" t="n">
        <x:f>IFERROR(C15/B15,0)</x:f>
        <x:v>0.2857142857142857</x:v>
      </x:c>
      <x:c r="E15" s="323" t="n">
        <x:f>IFERROR(AVERAGEIF('VERİ'!$C$2:$C$2890,A15,'VERİ'!$J$2:$J$2890),0)</x:f>
        <x:v>0.28571428571428525</x:v>
      </x:c>
      <x:c r="F15" s="324" t="n">
        <x:f>SUMIF('VERİ'!$C$2:$C$2890,A15,'VERİ'!$D$2:$D$2890)</x:f>
        <x:v>360</x:v>
      </x:c>
      <x:c r="G15" s="324" t="n">
        <x:f>COUNTIF('VERİ'!$C$2:$C$2890,A15)</x:f>
        <x:v>137</x:v>
      </x:c>
      <x:c r="H15" s="324" t="n">
        <x:f>IFERROR(RANK.EQ(C15,$C$6:$C$28,0),"")</x:f>
        <x:v>6</x:v>
      </x:c>
      <x:c r="I15" s="258"/>
      <x:c r="J15" s="262" t="str">
        <x:v>Ekim</x:v>
      </x:c>
      <x:c r="K15" s="322" t="n">
        <x:f>SUMIFS('VERİ'!$F$2:$F$2890,'VERİ'!$C$2:$C$2890,$B$2,'VERİ'!$H$2:$H$2890,J15)</x:f>
        <x:v>192000</x:v>
      </x:c>
      <x:c r="L15" s="322" t="n">
        <x:f>SUMIFS('VERİ'!$G$2:$G$2890,'VERİ'!$C$2:$C$2890,$B$2,'VERİ'!$H$2:$H$2890,J15)</x:f>
        <x:v>64000</x:v>
      </x:c>
      <x:c r="M15" s="258"/>
      <x:c r="N15" s="258"/>
      <x:c r="O15" s="258"/>
      <x:c r="P15" s="258"/>
      <x:c r="Q15" s="258"/>
      <x:c r="R15" s="258"/>
      <x:c r="S15" s="258"/>
      <x:c r="T15" s="258"/>
      <x:c r="U15" s="258"/>
    </x:row>
    <x:row r="16">
      <x:c r="A16" s="262" t="str">
        <x:v>Fırın Siyah</x:v>
      </x:c>
      <x:c r="B16" s="322" t="n">
        <x:f>SUMIF('VERİ'!$C$2:$C$2890,A16,'VERİ'!$F$2:$F$2890)</x:f>
        <x:v>1009700</x:v>
      </x:c>
      <x:c r="C16" s="322" t="n">
        <x:f>SUMIF('VERİ'!$C$2:$C$2890,A16,'VERİ'!$G$2:$G$2890)</x:f>
        <x:v>191300</x:v>
      </x:c>
      <x:c r="D16" s="323" t="n">
        <x:f>IFERROR(C16/B16,0)</x:f>
        <x:v>0.1894622164999505</x:v>
      </x:c>
      <x:c r="E16" s="323" t="n">
        <x:f>IFERROR(AVERAGEIF('VERİ'!$C$2:$C$2890,A16,'VERİ'!$J$2:$J$2890),0)</x:f>
        <x:v>0.18993506493506515</x:v>
      </x:c>
      <x:c r="F16" s="324" t="n">
        <x:f>SUMIF('VERİ'!$C$2:$C$2890,A16,'VERİ'!$D$2:$D$2890)</x:f>
        <x:v>275</x:v>
      </x:c>
      <x:c r="G16" s="324" t="n">
        <x:f>COUNTIF('VERİ'!$C$2:$C$2890,A16)</x:f>
        <x:v>112</x:v>
      </x:c>
      <x:c r="H16" s="324" t="n">
        <x:f>IFERROR(RANK.EQ(C16,$C$6:$C$28,0),"")</x:f>
        <x:v>16</x:v>
      </x:c>
      <x:c r="I16" s="258"/>
      <x:c r="J16" s="262" t="str">
        <x:v>Kasım</x:v>
      </x:c>
      <x:c r="K16" s="322" t="n">
        <x:f>SUMIFS('VERİ'!$F$2:$F$2890,'VERİ'!$C$2:$C$2890,$B$2,'VERİ'!$H$2:$H$2890,J16)</x:f>
        <x:v>222000</x:v>
      </x:c>
      <x:c r="L16" s="322" t="n">
        <x:f>SUMIFS('VERİ'!$G$2:$G$2890,'VERİ'!$C$2:$C$2890,$B$2,'VERİ'!$H$2:$H$2890,J16)</x:f>
        <x:v>74000</x:v>
      </x:c>
      <x:c r="M16" s="258"/>
      <x:c r="N16" s="258"/>
      <x:c r="O16" s="258"/>
      <x:c r="P16" s="258"/>
      <x:c r="Q16" s="258"/>
      <x:c r="R16" s="258"/>
      <x:c r="S16" s="258"/>
      <x:c r="T16" s="258"/>
      <x:c r="U16" s="258"/>
    </x:row>
    <x:row r="17">
      <x:c r="A17" s="262" t="str">
        <x:v>Kahve Makinesi X Marka</x:v>
      </x:c>
      <x:c r="B17" s="322" t="n">
        <x:f>SUMIF('VERİ'!$C$2:$C$2890,A17,'VERİ'!$F$2:$F$2890)</x:f>
        <x:v>206250</x:v>
      </x:c>
      <x:c r="C17" s="322" t="n">
        <x:f>SUMIF('VERİ'!$C$2:$C$2890,A17,'VERİ'!$G$2:$G$2890)</x:f>
        <x:v>65850</x:v>
      </x:c>
      <x:c r="D17" s="323" t="n">
        <x:f>IFERROR(C17/B17,0)</x:f>
        <x:v>0.31927272727272726</x:v>
      </x:c>
      <x:c r="E17" s="323" t="n">
        <x:f>IFERROR(AVERAGEIF('VERİ'!$C$2:$C$2890,A17,'VERİ'!$J$2:$J$2890),0)</x:f>
        <x:v>0.322067018678752</x:v>
      </x:c>
      <x:c r="F17" s="324" t="n">
        <x:f>SUMIF('VERİ'!$C$2:$C$2890,A17,'VERİ'!$D$2:$D$2890)</x:f>
        <x:v>69</x:v>
      </x:c>
      <x:c r="G17" s="324" t="n">
        <x:f>COUNTIF('VERİ'!$C$2:$C$2890,A17)</x:f>
        <x:v>25</x:v>
      </x:c>
      <x:c r="H17" s="324" t="n">
        <x:f>IFERROR(RANK.EQ(C17,$C$6:$C$28,0),"")</x:f>
        <x:v>23</x:v>
      </x:c>
      <x:c r="I17" s="258"/>
      <x:c r="J17" s="262" t="str">
        <x:v>Aralık</x:v>
      </x:c>
      <x:c r="K17" s="322" t="n">
        <x:f>SUMIFS('VERİ'!$F$2:$F$2890,'VERİ'!$C$2:$C$2890,$B$2,'VERİ'!$H$2:$H$2890,J17)</x:f>
        <x:v>180000</x:v>
      </x:c>
      <x:c r="L17" s="322" t="n">
        <x:f>SUMIFS('VERİ'!$G$2:$G$2890,'VERİ'!$C$2:$C$2890,$B$2,'VERİ'!$H$2:$H$2890,J17)</x:f>
        <x:v>60000</x:v>
      </x:c>
      <x:c r="M17" s="258"/>
      <x:c r="N17" s="258"/>
      <x:c r="O17" s="258"/>
      <x:c r="P17" s="258"/>
      <x:c r="Q17" s="258"/>
      <x:c r="R17" s="258"/>
      <x:c r="S17" s="258"/>
      <x:c r="T17" s="258"/>
      <x:c r="U17" s="258"/>
    </x:row>
    <x:row r="18">
      <x:c r="A18" s="262" t="str">
        <x:v>Kahve Makinesi Y Marka</x:v>
      </x:c>
      <x:c r="B18" s="322" t="n">
        <x:f>SUMIF('VERİ'!$C$2:$C$2890,A18,'VERİ'!$F$2:$F$2890)</x:f>
        <x:v>981000</x:v>
      </x:c>
      <x:c r="C18" s="322" t="n">
        <x:f>SUMIF('VERİ'!$C$2:$C$2890,A18,'VERİ'!$G$2:$G$2890)</x:f>
        <x:v>306000</x:v>
      </x:c>
      <x:c r="D18" s="323" t="n">
        <x:f>IFERROR(C18/B18,0)</x:f>
        <x:v>0.3119266055045872</x:v>
      </x:c>
      <x:c r="E18" s="323" t="n">
        <x:f>IFERROR(AVERAGEIF('VERİ'!$C$2:$C$2890,A18,'VERİ'!$J$2:$J$2890),0)</x:f>
        <x:v>0.31192660550458795</x:v>
      </x:c>
      <x:c r="F18" s="324" t="n">
        <x:f>SUMIF('VERİ'!$C$2:$C$2890,A18,'VERİ'!$D$2:$D$2890)</x:f>
        <x:v>450</x:v>
      </x:c>
      <x:c r="G18" s="324" t="n">
        <x:f>COUNTIF('VERİ'!$C$2:$C$2890,A18)</x:f>
        <x:v>167</x:v>
      </x:c>
      <x:c r="H18" s="324" t="n">
        <x:f>IFERROR(RANK.EQ(C18,$C$6:$C$28,0),"")</x:f>
        <x:v>9</x:v>
      </x:c>
      <x:c r="I18" s="258"/>
      <x:c r="J18" s="258"/>
      <x:c r="K18" s="258"/>
      <x:c r="L18" s="258"/>
      <x:c r="M18" s="258"/>
      <x:c r="N18" s="258"/>
      <x:c r="O18" s="258"/>
      <x:c r="P18" s="258"/>
      <x:c r="Q18" s="258"/>
      <x:c r="R18" s="258"/>
      <x:c r="S18" s="258"/>
      <x:c r="T18" s="258"/>
      <x:c r="U18" s="258"/>
    </x:row>
    <x:row r="19">
      <x:c r="A19" s="262" t="str">
        <x:v>Mikrodalga Fırın Beyaz</x:v>
      </x:c>
      <x:c r="B19" s="322" t="n">
        <x:f>SUMIF('VERİ'!$C$2:$C$2890,A19,'VERİ'!$F$2:$F$2890)</x:f>
        <x:v>481600</x:v>
      </x:c>
      <x:c r="C19" s="322" t="n">
        <x:f>SUMIF('VERİ'!$C$2:$C$2890,A19,'VERİ'!$G$2:$G$2890)</x:f>
        <x:v>206400</x:v>
      </x:c>
      <x:c r="D19" s="323" t="n">
        <x:f>IFERROR(C19/B19,0)</x:f>
        <x:v>0.42857142857142855</x:v>
      </x:c>
      <x:c r="E19" s="323" t="n">
        <x:f>IFERROR(AVERAGEIF('VERİ'!$C$2:$C$2890,A19,'VERİ'!$J$2:$J$2890),0)</x:f>
        <x:v>0.428571428571429</x:v>
      </x:c>
      <x:c r="F19" s="324" t="n">
        <x:f>SUMIF('VERİ'!$C$2:$C$2890,A19,'VERİ'!$D$2:$D$2890)</x:f>
        <x:v>344</x:v>
      </x:c>
      <x:c r="G19" s="324" t="n">
        <x:f>COUNTIF('VERİ'!$C$2:$C$2890,A19)</x:f>
        <x:v>123</x:v>
      </x:c>
      <x:c r="H19" s="324" t="n">
        <x:f>IFERROR(RANK.EQ(C19,$C$6:$C$28,0),"")</x:f>
        <x:v>15</x:v>
      </x:c>
      <x:c r="I19" s="258"/>
      <x:c r="J19" s="258"/>
      <x:c r="K19" s="258"/>
      <x:c r="L19" s="258"/>
      <x:c r="M19" s="258"/>
      <x:c r="N19" s="258"/>
      <x:c r="O19" s="258"/>
      <x:c r="P19" s="258"/>
      <x:c r="Q19" s="258"/>
      <x:c r="R19" s="258"/>
      <x:c r="S19" s="258"/>
      <x:c r="T19" s="258"/>
      <x:c r="U19" s="258"/>
    </x:row>
    <x:row r="20">
      <x:c r="A20" s="262" t="str">
        <x:v>Mikrodalga Fırın Gri</x:v>
      </x:c>
      <x:c r="B20" s="322" t="n">
        <x:f>SUMIF('VERİ'!$C$2:$C$2890,A20,'VERİ'!$F$2:$F$2890)</x:f>
        <x:v>711000</x:v>
      </x:c>
      <x:c r="C20" s="322" t="n">
        <x:f>SUMIF('VERİ'!$C$2:$C$2890,A20,'VERİ'!$G$2:$G$2890)</x:f>
        <x:v>395000</x:v>
      </x:c>
      <x:c r="D20" s="323" t="n">
        <x:f>IFERROR(C20/B20,0)</x:f>
        <x:v>0.5555555555555556</x:v>
      </x:c>
      <x:c r="E20" s="323" t="n">
        <x:f>IFERROR(AVERAGEIF('VERİ'!$C$2:$C$2890,A20,'VERİ'!$J$2:$J$2890),0)</x:f>
        <x:v>0.5555555555555567</x:v>
      </x:c>
      <x:c r="F20" s="324" t="n">
        <x:f>SUMIF('VERİ'!$C$2:$C$2890,A20,'VERİ'!$D$2:$D$2890)</x:f>
        <x:v>395</x:v>
      </x:c>
      <x:c r="G20" s="324" t="n">
        <x:f>COUNTIF('VERİ'!$C$2:$C$2890,A20)</x:f>
        <x:v>136</x:v>
      </x:c>
      <x:c r="H20" s="324" t="n">
        <x:f>IFERROR(RANK.EQ(C20,$C$6:$C$28,0),"")</x:f>
        <x:v>8</x:v>
      </x:c>
      <x:c r="I20" s="258"/>
      <x:c r="J20" s="258"/>
      <x:c r="K20" s="258"/>
      <x:c r="L20" s="258"/>
      <x:c r="M20" s="258"/>
      <x:c r="N20" s="258"/>
      <x:c r="O20" s="258"/>
      <x:c r="P20" s="258"/>
      <x:c r="Q20" s="258"/>
      <x:c r="R20" s="258"/>
      <x:c r="S20" s="258"/>
      <x:c r="T20" s="258"/>
      <x:c r="U20" s="258"/>
    </x:row>
    <x:row r="21">
      <x:c r="A21" s="262" t="str">
        <x:v>Ocak Beyaz</x:v>
      </x:c>
      <x:c r="B21" s="322" t="n">
        <x:f>SUMIF('VERİ'!$C$2:$C$2890,A21,'VERİ'!$F$2:$F$2890)</x:f>
        <x:v>424600</x:v>
      </x:c>
      <x:c r="C21" s="322" t="n">
        <x:f>SUMIF('VERİ'!$C$2:$C$2890,A21,'VERİ'!$G$2:$G$2890)</x:f>
        <x:v>115800</x:v>
      </x:c>
      <x:c r="D21" s="323" t="n">
        <x:f>IFERROR(C21/B21,0)</x:f>
        <x:v>0.2727272727272727</x:v>
      </x:c>
      <x:c r="E21" s="323" t="n">
        <x:f>IFERROR(AVERAGEIF('VERİ'!$C$2:$C$2890,A21,'VERİ'!$J$2:$J$2890),0)</x:f>
        <x:v>0.27272727272727315</x:v>
      </x:c>
      <x:c r="F21" s="324" t="n">
        <x:f>SUMIF('VERİ'!$C$2:$C$2890,A21,'VERİ'!$D$2:$D$2890)</x:f>
        <x:v>386</x:v>
      </x:c>
      <x:c r="G21" s="324" t="n">
        <x:f>COUNTIF('VERİ'!$C$2:$C$2890,A21)</x:f>
        <x:v>128</x:v>
      </x:c>
      <x:c r="H21" s="324" t="n">
        <x:f>IFERROR(RANK.EQ(C21,$C$6:$C$28,0),"")</x:f>
        <x:v>21</x:v>
      </x:c>
      <x:c r="I21" s="258"/>
      <x:c r="J21" s="258"/>
      <x:c r="K21" s="258"/>
      <x:c r="L21" s="258"/>
      <x:c r="M21" s="258"/>
      <x:c r="N21" s="258"/>
      <x:c r="O21" s="258"/>
      <x:c r="P21" s="258"/>
      <x:c r="Q21" s="258"/>
      <x:c r="R21" s="258"/>
      <x:c r="S21" s="258"/>
      <x:c r="T21" s="258"/>
      <x:c r="U21" s="258"/>
    </x:row>
    <x:row r="22">
      <x:c r="A22" s="262" t="str">
        <x:v>Ocak Siyah</x:v>
      </x:c>
      <x:c r="B22" s="322" t="n">
        <x:f>SUMIF('VERİ'!$C$2:$C$2890,A22,'VERİ'!$F$2:$F$2890)</x:f>
        <x:v>268750</x:v>
      </x:c>
      <x:c r="C22" s="322" t="n">
        <x:f>SUMIF('VERİ'!$C$2:$C$2890,A22,'VERİ'!$G$2:$G$2890)</x:f>
        <x:v>96750</x:v>
      </x:c>
      <x:c r="D22" s="323" t="n">
        <x:f>IFERROR(C22/B22,0)</x:f>
        <x:v>0.36</x:v>
      </x:c>
      <x:c r="E22" s="323" t="n">
        <x:f>IFERROR(AVERAGEIF('VERİ'!$C$2:$C$2890,A22,'VERİ'!$J$2:$J$2890),0)</x:f>
        <x:v>0.35999999999999965</x:v>
      </x:c>
      <x:c r="F22" s="324" t="n">
        <x:f>SUMIF('VERİ'!$C$2:$C$2890,A22,'VERİ'!$D$2:$D$2890)</x:f>
        <x:v>215</x:v>
      </x:c>
      <x:c r="G22" s="324" t="n">
        <x:f>COUNTIF('VERİ'!$C$2:$C$2890,A22)</x:f>
        <x:v>82</x:v>
      </x:c>
      <x:c r="H22" s="324" t="n">
        <x:f>IFERROR(RANK.EQ(C22,$C$6:$C$28,0),"")</x:f>
        <x:v>22</x:v>
      </x:c>
      <x:c r="I22" s="258"/>
      <x:c r="J22" s="258"/>
      <x:c r="K22" s="258"/>
      <x:c r="L22" s="258"/>
      <x:c r="M22" s="258"/>
      <x:c r="N22" s="258"/>
      <x:c r="O22" s="258"/>
      <x:c r="P22" s="258"/>
      <x:c r="Q22" s="258"/>
      <x:c r="R22" s="258"/>
      <x:c r="S22" s="258"/>
      <x:c r="T22" s="258"/>
      <x:c r="U22" s="258"/>
    </x:row>
    <x:row r="23">
      <x:c r="A23" s="262" t="str">
        <x:v>Tost Makinesi Gri X Marka</x:v>
      </x:c>
      <x:c r="B23" s="322" t="n">
        <x:f>SUMIF('VERİ'!$C$2:$C$2890,A23,'VERİ'!$F$2:$F$2890)</x:f>
        <x:v>412580</x:v>
      </x:c>
      <x:c r="C23" s="322" t="n">
        <x:f>SUMIF('VERİ'!$C$2:$C$2890,A23,'VERİ'!$G$2:$G$2890)</x:f>
        <x:v>137380</x:v>
      </x:c>
      <x:c r="D23" s="323" t="n">
        <x:f>IFERROR(C23/B23,0)</x:f>
        <x:v>0.332977846720636</x:v>
      </x:c>
      <x:c r="E23" s="323" t="n">
        <x:f>IFERROR(AVERAGEIF('VERİ'!$C$2:$C$2890,A23,'VERİ'!$J$2:$J$2890),0)</x:f>
        <x:v>0.3328274815479068</x:v>
      </x:c>
      <x:c r="F23" s="324" t="n">
        <x:f>SUMIF('VERİ'!$C$2:$C$2890,A23,'VERİ'!$D$2:$D$2890)</x:f>
        <x:v>344</x:v>
      </x:c>
      <x:c r="G23" s="324" t="n">
        <x:f>COUNTIF('VERİ'!$C$2:$C$2890,A23)</x:f>
        <x:v>133</x:v>
      </x:c>
      <x:c r="H23" s="324" t="n">
        <x:f>IFERROR(RANK.EQ(C23,$C$6:$C$28,0),"")</x:f>
        <x:v>20</x:v>
      </x:c>
      <x:c r="I23" s="258"/>
      <x:c r="J23" s="258"/>
      <x:c r="K23" s="258"/>
      <x:c r="L23" s="258"/>
      <x:c r="M23" s="258"/>
      <x:c r="N23" s="258"/>
      <x:c r="O23" s="258"/>
      <x:c r="P23" s="258"/>
      <x:c r="Q23" s="258"/>
      <x:c r="R23" s="258"/>
      <x:c r="S23" s="258"/>
      <x:c r="T23" s="258"/>
      <x:c r="U23" s="258"/>
    </x:row>
    <x:row r="24">
      <x:c r="A24" s="262" t="str">
        <x:v>Tost Makinesi Gri Y Marka</x:v>
      </x:c>
      <x:c r="B24" s="322" t="n">
        <x:f>SUMIF('VERİ'!$C$2:$C$2890,A24,'VERİ'!$F$2:$F$2890)</x:f>
        <x:v>536280</x:v>
      </x:c>
      <x:c r="C24" s="322" t="n">
        <x:f>SUMIF('VERİ'!$C$2:$C$2890,A24,'VERİ'!$G$2:$G$2890)</x:f>
        <x:v>142680</x:v>
      </x:c>
      <x:c r="D24" s="323" t="n">
        <x:f>IFERROR(C24/B24,0)</x:f>
        <x:v>0.26605504587155965</x:v>
      </x:c>
      <x:c r="E24" s="323" t="n">
        <x:f>IFERROR(AVERAGEIF('VERİ'!$C$2:$C$2890,A24,'VERİ'!$J$2:$J$2890),0)</x:f>
        <x:v>0.2660550458715603</x:v>
      </x:c>
      <x:c r="F24" s="324" t="n">
        <x:f>SUMIF('VERİ'!$C$2:$C$2890,A24,'VERİ'!$D$2:$D$2890)</x:f>
        <x:v>492</x:v>
      </x:c>
      <x:c r="G24" s="324" t="n">
        <x:f>COUNTIF('VERİ'!$C$2:$C$2890,A24)</x:f>
        <x:v>201</x:v>
      </x:c>
      <x:c r="H24" s="324" t="n">
        <x:f>IFERROR(RANK.EQ(C24,$C$6:$C$28,0),"")</x:f>
        <x:v>19</x:v>
      </x:c>
      <x:c r="I24" s="258"/>
      <x:c r="J24" s="258"/>
      <x:c r="K24" s="258"/>
      <x:c r="L24" s="258"/>
      <x:c r="M24" s="258"/>
      <x:c r="N24" s="258"/>
      <x:c r="O24" s="258"/>
      <x:c r="P24" s="258"/>
      <x:c r="Q24" s="258"/>
      <x:c r="R24" s="258"/>
      <x:c r="S24" s="258"/>
      <x:c r="T24" s="258"/>
      <x:c r="U24" s="258"/>
    </x:row>
    <x:row r="25">
      <x:c r="A25" s="262" t="str">
        <x:v>Çamaşır Makinesi Beyaz</x:v>
      </x:c>
      <x:c r="B25" s="322" t="n">
        <x:f>SUMIF('VERİ'!$C$2:$C$2890,A25,'VERİ'!$F$2:$F$2890)</x:f>
        <x:v>1165400</x:v>
      </x:c>
      <x:c r="C25" s="322" t="n">
        <x:f>SUMIF('VERİ'!$C$2:$C$2890,A25,'VERİ'!$G$2:$G$2890)</x:f>
        <x:v>293000</x:v>
      </x:c>
      <x:c r="D25" s="323" t="n">
        <x:f>IFERROR(C25/B25,0)</x:f>
        <x:v>0.2514158228934272</x:v>
      </x:c>
      <x:c r="E25" s="323" t="n">
        <x:f>IFERROR(AVERAGEIF('VERİ'!$C$2:$C$2890,A25,'VERİ'!$J$2:$J$2890),0)</x:f>
        <x:v>0.2561111111111111</x:v>
      </x:c>
      <x:c r="F25" s="324" t="n">
        <x:f>SUMIF('VERİ'!$C$2:$C$2890,A25,'VERİ'!$D$2:$D$2890)</x:f>
        <x:v>148</x:v>
      </x:c>
      <x:c r="G25" s="324" t="n">
        <x:f>COUNTIF('VERİ'!$C$2:$C$2890,A25)</x:f>
        <x:v>50</x:v>
      </x:c>
      <x:c r="H25" s="324" t="n">
        <x:f>IFERROR(RANK.EQ(C25,$C$6:$C$28,0),"")</x:f>
        <x:v>12</x:v>
      </x:c>
      <x:c r="I25" s="258"/>
      <x:c r="J25" s="258"/>
      <x:c r="K25" s="258"/>
      <x:c r="L25" s="258"/>
      <x:c r="M25" s="258"/>
      <x:c r="N25" s="258"/>
      <x:c r="O25" s="258"/>
      <x:c r="P25" s="258"/>
      <x:c r="Q25" s="258"/>
      <x:c r="R25" s="258"/>
      <x:c r="S25" s="258"/>
      <x:c r="T25" s="258"/>
      <x:c r="U25" s="258"/>
    </x:row>
    <x:row r="26">
      <x:c r="A26" s="262" t="str">
        <x:v>Çamaşır Makinesi Gri</x:v>
      </x:c>
      <x:c r="B26" s="322" t="n">
        <x:f>SUMIF('VERİ'!$C$2:$C$2890,A26,'VERİ'!$F$2:$F$2890)</x:f>
        <x:v>5008400</x:v>
      </x:c>
      <x:c r="C26" s="322" t="n">
        <x:f>SUMIF('VERİ'!$C$2:$C$2890,A26,'VERİ'!$G$2:$G$2890)</x:f>
        <x:v>1054400</x:v>
      </x:c>
      <x:c r="D26" s="323" t="n">
        <x:f>IFERROR(C26/B26,0)</x:f>
        <x:v>0.21052631578947367</x:v>
      </x:c>
      <x:c r="E26" s="323" t="n">
        <x:f>IFERROR(AVERAGEIF('VERİ'!$C$2:$C$2890,A26,'VERİ'!$J$2:$J$2890),0)</x:f>
        <x:v>0.210526315789473</x:v>
      </x:c>
      <x:c r="F26" s="324" t="n">
        <x:f>SUMIF('VERİ'!$C$2:$C$2890,A26,'VERİ'!$D$2:$D$2890)</x:f>
        <x:v>659</x:v>
      </x:c>
      <x:c r="G26" s="324" t="n">
        <x:f>COUNTIF('VERİ'!$C$2:$C$2890,A26)</x:f>
        <x:v>237</x:v>
      </x:c>
      <x:c r="H26" s="324" t="n">
        <x:f>IFERROR(RANK.EQ(C26,$C$6:$C$28,0),"")</x:f>
        <x:v>3</x:v>
      </x:c>
      <x:c r="I26" s="258"/>
      <x:c r="J26" s="258"/>
      <x:c r="K26" s="258"/>
      <x:c r="L26" s="258"/>
      <x:c r="M26" s="258"/>
      <x:c r="N26" s="258"/>
      <x:c r="O26" s="258"/>
      <x:c r="P26" s="258"/>
      <x:c r="Q26" s="258"/>
      <x:c r="R26" s="258"/>
      <x:c r="S26" s="258"/>
      <x:c r="T26" s="258"/>
      <x:c r="U26" s="258"/>
    </x:row>
    <x:row r="27">
      <x:c r="A27" s="262" t="str">
        <x:v>Ütü Mor</x:v>
      </x:c>
      <x:c r="B27" s="322" t="n">
        <x:f>SUMIF('VERİ'!$C$2:$C$2890,A27,'VERİ'!$F$2:$F$2890)</x:f>
        <x:v>446400</x:v>
      </x:c>
      <x:c r="C27" s="322" t="n">
        <x:f>SUMIF('VERİ'!$C$2:$C$2890,A27,'VERİ'!$G$2:$G$2890)</x:f>
        <x:v>148800</x:v>
      </x:c>
      <x:c r="D27" s="323" t="n">
        <x:f>IFERROR(C27/B27,0)</x:f>
        <x:v>0.3333333333333333</x:v>
      </x:c>
      <x:c r="E27" s="323" t="n">
        <x:f>IFERROR(AVERAGEIF('VERİ'!$C$2:$C$2890,A27,'VERİ'!$J$2:$J$2890),0)</x:f>
        <x:v>0.3333333333333338</x:v>
      </x:c>
      <x:c r="F27" s="324" t="n">
        <x:f>SUMIF('VERİ'!$C$2:$C$2890,A27,'VERİ'!$D$2:$D$2890)</x:f>
        <x:v>372</x:v>
      </x:c>
      <x:c r="G27" s="324" t="n">
        <x:f>COUNTIF('VERİ'!$C$2:$C$2890,A27)</x:f>
        <x:v>146</x:v>
      </x:c>
      <x:c r="H27" s="324" t="n">
        <x:f>IFERROR(RANK.EQ(C27,$C$6:$C$28,0),"")</x:f>
        <x:v>18</x:v>
      </x:c>
      <x:c r="I27" s="258"/>
      <x:c r="J27" s="258"/>
      <x:c r="K27" s="258"/>
      <x:c r="L27" s="258"/>
      <x:c r="M27" s="258"/>
      <x:c r="N27" s="258"/>
      <x:c r="O27" s="258"/>
      <x:c r="P27" s="258"/>
      <x:c r="Q27" s="258"/>
      <x:c r="R27" s="258"/>
      <x:c r="S27" s="258"/>
      <x:c r="T27" s="258"/>
      <x:c r="U27" s="258"/>
    </x:row>
    <x:row r="28">
      <x:c r="A28" s="262" t="str">
        <x:v>Ütü Siyah</x:v>
      </x:c>
      <x:c r="B28" s="322" t="n">
        <x:f>SUMIF('VERİ'!$C$2:$C$2890,A28,'VERİ'!$F$2:$F$2890)</x:f>
        <x:v>554850</x:v>
      </x:c>
      <x:c r="C28" s="322" t="n">
        <x:f>SUMIF('VERİ'!$C$2:$C$2890,A28,'VERİ'!$G$2:$G$2890)</x:f>
        <x:v>226050</x:v>
      </x:c>
      <x:c r="D28" s="323" t="n">
        <x:f>IFERROR(C28/B28,0)</x:f>
        <x:v>0.4074074074074074</x:v>
      </x:c>
      <x:c r="E28" s="323" t="n">
        <x:f>IFERROR(AVERAGEIF('VERİ'!$C$2:$C$2890,A28,'VERİ'!$J$2:$J$2890),0)</x:f>
        <x:v>0.4074074074074061</x:v>
      </x:c>
      <x:c r="F28" s="324" t="n">
        <x:f>SUMIF('VERİ'!$C$2:$C$2890,A28,'VERİ'!$D$2:$D$2890)</x:f>
        <x:v>411</x:v>
      </x:c>
      <x:c r="G28" s="324" t="n">
        <x:f>COUNTIF('VERİ'!$C$2:$C$2890,A28)</x:f>
        <x:v>170</x:v>
      </x:c>
      <x:c r="H28" s="324" t="n">
        <x:f>IFERROR(RANK.EQ(C28,$C$6:$C$28,0),"")</x:f>
        <x:v>14</x:v>
      </x:c>
      <x:c r="I28" s="258"/>
      <x:c r="J28" s="258"/>
      <x:c r="K28" s="258"/>
      <x:c r="L28" s="258"/>
      <x:c r="M28" s="258"/>
      <x:c r="N28" s="258"/>
      <x:c r="O28" s="258"/>
      <x:c r="P28" s="258"/>
      <x:c r="Q28" s="258"/>
      <x:c r="R28" s="258"/>
      <x:c r="S28" s="258"/>
      <x:c r="T28" s="258"/>
      <x:c r="U28" s="258"/>
    </x:row>
    <x:row r="29">
      <x:c r="A29" s="258"/>
      <x:c r="B29" s="258"/>
      <x:c r="C29" s="258"/>
      <x:c r="D29" s="258"/>
      <x:c r="E29" s="258"/>
      <x:c r="F29" s="258"/>
      <x:c r="G29" s="258"/>
      <x:c r="H29" s="258"/>
      <x:c r="I29" s="258"/>
      <x:c r="J29" s="258"/>
      <x:c r="K29" s="258"/>
      <x:c r="L29" s="258"/>
      <x:c r="M29" s="258"/>
      <x:c r="N29" s="258"/>
      <x:c r="O29" s="258"/>
      <x:c r="P29" s="258"/>
      <x:c r="Q29" s="258"/>
      <x:c r="R29" s="258"/>
      <x:c r="S29" s="258"/>
      <x:c r="T29" s="258"/>
      <x:c r="U29" s="258"/>
    </x:row>
    <x:row r="30">
      <x:c r="A30" s="258"/>
      <x:c r="B30" s="258"/>
      <x:c r="C30" s="258"/>
      <x:c r="D30" s="258"/>
      <x:c r="E30" s="258"/>
      <x:c r="F30" s="258"/>
      <x:c r="G30" s="258"/>
      <x:c r="H30" s="258"/>
      <x:c r="I30" s="258"/>
      <x:c r="J30" s="258"/>
      <x:c r="K30" s="258"/>
      <x:c r="L30" s="258"/>
      <x:c r="M30" s="258"/>
      <x:c r="N30" s="258"/>
      <x:c r="O30" s="258"/>
      <x:c r="P30" s="258"/>
      <x:c r="Q30" s="258"/>
      <x:c r="R30" s="258"/>
      <x:c r="S30" s="258"/>
      <x:c r="T30" s="258"/>
      <x:c r="U30" s="258"/>
    </x:row>
    <x:row r="31">
      <x:c r="A31" s="260" t="str">
        <x:v>Seçili Ürün • Personel Katkısı</x:v>
      </x:c>
      <x:c r="B31" s="260"/>
      <x:c r="C31" s="260"/>
      <x:c r="D31" s="260"/>
      <x:c r="E31" s="260"/>
      <x:c r="F31" s="260"/>
      <x:c r="G31" s="258"/>
      <x:c r="H31" s="260" t="str">
        <x:v>Kâra Göre Ürün Öncelikleri</x:v>
      </x:c>
      <x:c r="I31" s="260"/>
      <x:c r="J31" s="260"/>
      <x:c r="K31" s="260"/>
      <x:c r="L31" s="260"/>
      <x:c r="M31" s="258"/>
      <x:c r="N31" s="258"/>
      <x:c r="O31" s="258"/>
      <x:c r="P31" s="258"/>
      <x:c r="Q31" s="258"/>
      <x:c r="R31" s="258"/>
      <x:c r="S31" s="258"/>
      <x:c r="T31" s="258"/>
      <x:c r="U31" s="258"/>
    </x:row>
    <x:row r="32">
      <x:c r="A32" s="261" t="str">
        <x:v>Personel</x:v>
      </x:c>
      <x:c r="B32" s="261" t="str">
        <x:v>Ciro</x:v>
      </x:c>
      <x:c r="C32" s="261" t="str">
        <x:v>Kâr</x:v>
      </x:c>
      <x:c r="D32" s="261" t="str">
        <x:v>Kâr Marjı</x:v>
      </x:c>
      <x:c r="E32" s="261" t="str">
        <x:v>Satış Adedi</x:v>
      </x:c>
      <x:c r="F32" s="261" t="str">
        <x:v>Sipariş</x:v>
      </x:c>
      <x:c r="G32" s="258"/>
      <x:c r="H32" s="261" t="str">
        <x:v>Sıra</x:v>
      </x:c>
      <x:c r="I32" s="261" t="str">
        <x:v>Ürün</x:v>
      </x:c>
      <x:c r="J32" s="261" t="str">
        <x:v>Kâr</x:v>
      </x:c>
      <x:c r="K32" s="258"/>
      <x:c r="L32" s="258"/>
      <x:c r="M32" s="258"/>
      <x:c r="N32" s="258"/>
      <x:c r="O32" s="258"/>
      <x:c r="P32" s="258"/>
      <x:c r="Q32" s="258"/>
      <x:c r="R32" s="258"/>
      <x:c r="S32" s="258"/>
      <x:c r="T32" s="258"/>
      <x:c r="U32" s="258"/>
    </x:row>
    <x:row r="33">
      <x:c r="A33" s="262" t="str">
        <x:v>Ali Kandemir</x:v>
      </x:c>
      <x:c r="B33" s="322" t="n">
        <x:f>SUMIFS('VERİ'!$F$2:$F$2890,'VERİ'!$C$2:$C$2890,$B$2,'VERİ'!$B$2:$B$2890,A33)</x:f>
        <x:v>0</x:v>
      </x:c>
      <x:c r="C33" s="322" t="n">
        <x:f>SUMIFS('VERİ'!$G$2:$G$2890,'VERİ'!$C$2:$C$2890,$B$2,'VERİ'!$B$2:$B$2890,A33)</x:f>
        <x:v>0</x:v>
      </x:c>
      <x:c r="D33" s="323" t="n">
        <x:f>IFERROR(C33/B33,0)</x:f>
        <x:v>0</x:v>
      </x:c>
      <x:c r="E33" s="324" t="n">
        <x:f>SUMIFS('VERİ'!$D$2:$D$2890,'VERİ'!$C$2:$C$2890,$B$2,'VERİ'!$B$2:$B$2890,A33)</x:f>
        <x:v>0</x:v>
      </x:c>
      <x:c r="F33" s="324" t="n">
        <x:f>COUNTIFS('VERİ'!$C$2:$C$2890,$B$2,'VERİ'!$B$2:$B$2890,A33)</x:f>
        <x:v>0</x:v>
      </x:c>
      <x:c r="G33" s="258"/>
      <x:c r="H33" s="262" t="n">
        <x:v>1</x:v>
      </x:c>
      <x:c r="I33" s="262" t="str">
        <x:f>IFERROR(INDEX($A$6:$A$28,MATCH(H33,$H$6:$H$28,0)),"-")</x:f>
        <x:v>Derin Dondurucu Gri</x:v>
      </x:c>
      <x:c r="J33" s="322" t="n">
        <x:f>IFERROR(INDEX($C$6:$C$28,MATCH(H33,$H$6:$H$28,0)),0)</x:f>
        <x:v>1374750</x:v>
      </x:c>
      <x:c r="K33" s="258"/>
      <x:c r="L33" s="258"/>
      <x:c r="M33" s="258"/>
      <x:c r="N33" s="258"/>
      <x:c r="O33" s="258"/>
      <x:c r="P33" s="258"/>
      <x:c r="Q33" s="258"/>
      <x:c r="R33" s="258"/>
      <x:c r="S33" s="258"/>
      <x:c r="T33" s="258"/>
      <x:c r="U33" s="258"/>
    </x:row>
    <x:row r="34">
      <x:c r="A34" s="262" t="str">
        <x:v>Bedriye Vural</x:v>
      </x:c>
      <x:c r="B34" s="322" t="n">
        <x:f>SUMIFS('VERİ'!$F$2:$F$2890,'VERİ'!$C$2:$C$2890,$B$2,'VERİ'!$B$2:$B$2890,A34)</x:f>
        <x:v>0</x:v>
      </x:c>
      <x:c r="C34" s="322" t="n">
        <x:f>SUMIFS('VERİ'!$G$2:$G$2890,'VERİ'!$C$2:$C$2890,$B$2,'VERİ'!$B$2:$B$2890,A34)</x:f>
        <x:v>0</x:v>
      </x:c>
      <x:c r="D34" s="323" t="n">
        <x:f>IFERROR(C34/B34,0)</x:f>
        <x:v>0</x:v>
      </x:c>
      <x:c r="E34" s="324" t="n">
        <x:f>SUMIFS('VERİ'!$D$2:$D$2890,'VERİ'!$C$2:$C$2890,$B$2,'VERİ'!$B$2:$B$2890,A34)</x:f>
        <x:v>0</x:v>
      </x:c>
      <x:c r="F34" s="324" t="n">
        <x:f>COUNTIFS('VERİ'!$C$2:$C$2890,$B$2,'VERİ'!$B$2:$B$2890,A34)</x:f>
        <x:v>0</x:v>
      </x:c>
      <x:c r="G34" s="258"/>
      <x:c r="H34" s="262" t="n">
        <x:v>2</x:v>
      </x:c>
      <x:c r="I34" s="262" t="str">
        <x:f>IFERROR(INDEX($A$6:$A$28,MATCH(H34,$H$6:$H$28,0)),"-")</x:f>
        <x:v>Buzdolabı Dört Kapılı Gri</x:v>
      </x:c>
      <x:c r="J34" s="322" t="n">
        <x:f>IFERROR(INDEX($C$6:$C$28,MATCH(H34,$H$6:$H$28,0)),0)</x:f>
        <x:v>1230800</x:v>
      </x:c>
      <x:c r="K34" s="258"/>
      <x:c r="L34" s="258"/>
      <x:c r="M34" s="258"/>
      <x:c r="N34" s="258"/>
      <x:c r="O34" s="258"/>
      <x:c r="P34" s="258"/>
      <x:c r="Q34" s="258"/>
      <x:c r="R34" s="258"/>
      <x:c r="S34" s="258"/>
      <x:c r="T34" s="258"/>
      <x:c r="U34" s="258"/>
    </x:row>
    <x:row r="35">
      <x:c r="A35" s="262" t="str">
        <x:v>Bilinmeyen Personel</x:v>
      </x:c>
      <x:c r="B35" s="322" t="n">
        <x:f>SUMIFS('VERİ'!$F$2:$F$2890,'VERİ'!$C$2:$C$2890,$B$2,'VERİ'!$B$2:$B$2890,A35)</x:f>
        <x:v>0</x:v>
      </x:c>
      <x:c r="C35" s="322" t="n">
        <x:f>SUMIFS('VERİ'!$G$2:$G$2890,'VERİ'!$C$2:$C$2890,$B$2,'VERİ'!$B$2:$B$2890,A35)</x:f>
        <x:v>0</x:v>
      </x:c>
      <x:c r="D35" s="323" t="n">
        <x:f>IFERROR(C35/B35,0)</x:f>
        <x:v>0</x:v>
      </x:c>
      <x:c r="E35" s="324" t="n">
        <x:f>SUMIFS('VERİ'!$D$2:$D$2890,'VERİ'!$C$2:$C$2890,$B$2,'VERİ'!$B$2:$B$2890,A35)</x:f>
        <x:v>0</x:v>
      </x:c>
      <x:c r="F35" s="324" t="n">
        <x:f>COUNTIFS('VERİ'!$C$2:$C$2890,$B$2,'VERİ'!$B$2:$B$2890,A35)</x:f>
        <x:v>0</x:v>
      </x:c>
      <x:c r="G35" s="258"/>
      <x:c r="H35" s="262" t="n">
        <x:v>3</x:v>
      </x:c>
      <x:c r="I35" s="262" t="str">
        <x:f>IFERROR(INDEX($A$6:$A$28,MATCH(H35,$H$6:$H$28,0)),"-")</x:f>
        <x:v>Çamaşır Makinesi Gri</x:v>
      </x:c>
      <x:c r="J35" s="322" t="n">
        <x:f>IFERROR(INDEX($C$6:$C$28,MATCH(H35,$H$6:$H$28,0)),0)</x:f>
        <x:v>1054400</x:v>
      </x:c>
      <x:c r="K35" s="258"/>
      <x:c r="L35" s="258"/>
      <x:c r="M35" s="258"/>
      <x:c r="N35" s="258"/>
      <x:c r="O35" s="258"/>
      <x:c r="P35" s="258"/>
      <x:c r="Q35" s="258"/>
      <x:c r="R35" s="258"/>
      <x:c r="S35" s="258"/>
      <x:c r="T35" s="258"/>
      <x:c r="U35" s="258"/>
    </x:row>
    <x:row r="36">
      <x:c r="A36" s="262" t="str">
        <x:v>Ferdi Dede</x:v>
      </x:c>
      <x:c r="B36" s="322" t="n">
        <x:f>SUMIFS('VERİ'!$F$2:$F$2890,'VERİ'!$C$2:$C$2890,$B$2,'VERİ'!$B$2:$B$2890,A36)</x:f>
        <x:v>0</x:v>
      </x:c>
      <x:c r="C36" s="322" t="n">
        <x:f>SUMIFS('VERİ'!$G$2:$G$2890,'VERİ'!$C$2:$C$2890,$B$2,'VERİ'!$B$2:$B$2890,A36)</x:f>
        <x:v>0</x:v>
      </x:c>
      <x:c r="D36" s="323" t="n">
        <x:f>IFERROR(C36/B36,0)</x:f>
        <x:v>0</x:v>
      </x:c>
      <x:c r="E36" s="324" t="n">
        <x:f>SUMIFS('VERİ'!$D$2:$D$2890,'VERİ'!$C$2:$C$2890,$B$2,'VERİ'!$B$2:$B$2890,A36)</x:f>
        <x:v>0</x:v>
      </x:c>
      <x:c r="F36" s="324" t="n">
        <x:f>COUNTIFS('VERİ'!$C$2:$C$2890,$B$2,'VERİ'!$B$2:$B$2890,A36)</x:f>
        <x:v>0</x:v>
      </x:c>
      <x:c r="G36" s="258"/>
      <x:c r="H36" s="262" t="n">
        <x:v>4</x:v>
      </x:c>
      <x:c r="I36" s="262" t="str">
        <x:f>IFERROR(INDEX($A$6:$A$28,MATCH(H36,$H$6:$H$28,0)),"-")</x:f>
        <x:v>Bulaşık Makinesi Beyaz</x:v>
      </x:c>
      <x:c r="J36" s="322" t="n">
        <x:f>IFERROR(INDEX($C$6:$C$28,MATCH(H36,$H$6:$H$28,0)),0)</x:f>
        <x:v>800000</x:v>
      </x:c>
      <x:c r="K36" s="258"/>
      <x:c r="L36" s="258"/>
      <x:c r="M36" s="258"/>
      <x:c r="N36" s="258"/>
      <x:c r="O36" s="258"/>
      <x:c r="P36" s="258"/>
      <x:c r="Q36" s="258"/>
      <x:c r="R36" s="258"/>
      <x:c r="S36" s="258"/>
      <x:c r="T36" s="258"/>
      <x:c r="U36" s="258"/>
    </x:row>
    <x:row r="37">
      <x:c r="A37" s="262" t="str">
        <x:v>Gamze Erkuran</x:v>
      </x:c>
      <x:c r="B37" s="322" t="n">
        <x:f>SUMIFS('VERİ'!$F$2:$F$2890,'VERİ'!$C$2:$C$2890,$B$2,'VERİ'!$B$2:$B$2890,A37)</x:f>
        <x:v>414000</x:v>
      </x:c>
      <x:c r="C37" s="322" t="n">
        <x:f>SUMIFS('VERİ'!$G$2:$G$2890,'VERİ'!$C$2:$C$2890,$B$2,'VERİ'!$B$2:$B$2890,A37)</x:f>
        <x:v>138000</x:v>
      </x:c>
      <x:c r="D37" s="323" t="n">
        <x:f>IFERROR(C37/B37,0)</x:f>
        <x:v>0.3333333333333333</x:v>
      </x:c>
      <x:c r="E37" s="324" t="n">
        <x:f>SUMIFS('VERİ'!$D$2:$D$2890,'VERİ'!$C$2:$C$2890,$B$2,'VERİ'!$B$2:$B$2890,A37)</x:f>
        <x:v>69</x:v>
      </x:c>
      <x:c r="F37" s="324" t="n">
        <x:f>COUNTIFS('VERİ'!$C$2:$C$2890,$B$2,'VERİ'!$B$2:$B$2890,A37)</x:f>
        <x:v>32</x:v>
      </x:c>
      <x:c r="G37" s="258"/>
      <x:c r="H37" s="262" t="n">
        <x:v>5</x:v>
      </x:c>
      <x:c r="I37" s="262" t="str">
        <x:f>IFERROR(INDEX($A$6:$A$28,MATCH(H37,$H$6:$H$28,0)),"-")</x:f>
        <x:v>Buzdolabı İki Kapaklı Beyaz</x:v>
      </x:c>
      <x:c r="J37" s="322" t="n">
        <x:f>IFERROR(INDEX($C$6:$C$28,MATCH(H37,$H$6:$H$28,0)),0)</x:f>
        <x:v>570850</x:v>
      </x:c>
      <x:c r="K37" s="258"/>
      <x:c r="L37" s="258"/>
      <x:c r="M37" s="258"/>
      <x:c r="N37" s="258"/>
      <x:c r="O37" s="258"/>
      <x:c r="P37" s="258"/>
      <x:c r="Q37" s="258"/>
      <x:c r="R37" s="258"/>
      <x:c r="S37" s="258"/>
      <x:c r="T37" s="258"/>
      <x:c r="U37" s="258"/>
    </x:row>
    <x:row r="38">
      <x:c r="A38" s="262" t="str">
        <x:v>Gülşah Akbulut</x:v>
      </x:c>
      <x:c r="B38" s="322" t="n">
        <x:f>SUMIFS('VERİ'!$F$2:$F$2890,'VERİ'!$C$2:$C$2890,$B$2,'VERİ'!$B$2:$B$2890,A38)</x:f>
        <x:v>282000</x:v>
      </x:c>
      <x:c r="C38" s="322" t="n">
        <x:f>SUMIFS('VERİ'!$G$2:$G$2890,'VERİ'!$C$2:$C$2890,$B$2,'VERİ'!$B$2:$B$2890,A38)</x:f>
        <x:v>94000</x:v>
      </x:c>
      <x:c r="D38" s="323" t="n">
        <x:f>IFERROR(C38/B38,0)</x:f>
        <x:v>0.3333333333333333</x:v>
      </x:c>
      <x:c r="E38" s="324" t="n">
        <x:f>SUMIFS('VERİ'!$D$2:$D$2890,'VERİ'!$C$2:$C$2890,$B$2,'VERİ'!$B$2:$B$2890,A38)</x:f>
        <x:v>47</x:v>
      </x:c>
      <x:c r="F38" s="324" t="n">
        <x:f>COUNTIFS('VERİ'!$C$2:$C$2890,$B$2,'VERİ'!$B$2:$B$2890,A38)</x:f>
        <x:v>16</x:v>
      </x:c>
      <x:c r="G38" s="258"/>
      <x:c r="H38" s="262"/>
      <x:c r="I38" s="262"/>
      <x:c r="J38" s="322"/>
      <x:c r="K38" s="258"/>
      <x:c r="L38" s="258"/>
      <x:c r="M38" s="258"/>
      <x:c r="N38" s="258"/>
      <x:c r="O38" s="258"/>
      <x:c r="P38" s="258"/>
      <x:c r="Q38" s="258"/>
      <x:c r="R38" s="258"/>
      <x:c r="S38" s="258"/>
      <x:c r="T38" s="258"/>
      <x:c r="U38" s="258"/>
    </x:row>
    <x:row r="39">
      <x:c r="A39" s="262" t="str">
        <x:v>Mertcan Ülker</x:v>
      </x:c>
      <x:c r="B39" s="322" t="n">
        <x:f>SUMIFS('VERİ'!$F$2:$F$2890,'VERİ'!$C$2:$C$2890,$B$2,'VERİ'!$B$2:$B$2890,A39)</x:f>
        <x:v>720000</x:v>
      </x:c>
      <x:c r="C39" s="322" t="n">
        <x:f>SUMIFS('VERİ'!$G$2:$G$2890,'VERİ'!$C$2:$C$2890,$B$2,'VERİ'!$B$2:$B$2890,A39)</x:f>
        <x:v>240000</x:v>
      </x:c>
      <x:c r="D39" s="323" t="n">
        <x:f>IFERROR(C39/B39,0)</x:f>
        <x:v>0.3333333333333333</x:v>
      </x:c>
      <x:c r="E39" s="324" t="n">
        <x:f>SUMIFS('VERİ'!$D$2:$D$2890,'VERİ'!$C$2:$C$2890,$B$2,'VERİ'!$B$2:$B$2890,A39)</x:f>
        <x:v>120</x:v>
      </x:c>
      <x:c r="F39" s="324" t="n">
        <x:f>COUNTIFS('VERİ'!$C$2:$C$2890,$B$2,'VERİ'!$B$2:$B$2890,A39)</x:f>
        <x:v>40</x:v>
      </x:c>
      <x:c r="G39" s="258"/>
      <x:c r="H39" s="265" t="str">
        <x:v>Düşük</x:v>
      </x:c>
      <x:c r="I39" s="265" t="str">
        <x:v>Ürün</x:v>
      </x:c>
      <x:c r="J39" s="325" t="str">
        <x:v>Kâr</x:v>
      </x:c>
      <x:c r="K39" s="258"/>
      <x:c r="L39" s="258"/>
      <x:c r="M39" s="258"/>
      <x:c r="N39" s="258"/>
      <x:c r="O39" s="258"/>
      <x:c r="P39" s="258"/>
      <x:c r="Q39" s="258"/>
      <x:c r="R39" s="258"/>
      <x:c r="S39" s="258"/>
      <x:c r="T39" s="258"/>
      <x:c r="U39" s="258"/>
    </x:row>
    <x:row r="40">
      <x:c r="A40" s="262" t="str">
        <x:v>Miraç Tüten</x:v>
      </x:c>
      <x:c r="B40" s="322" t="n">
        <x:f>SUMIFS('VERİ'!$F$2:$F$2890,'VERİ'!$C$2:$C$2890,$B$2,'VERİ'!$B$2:$B$2890,A40)</x:f>
        <x:v>390000</x:v>
      </x:c>
      <x:c r="C40" s="322" t="n">
        <x:f>SUMIFS('VERİ'!$G$2:$G$2890,'VERİ'!$C$2:$C$2890,$B$2,'VERİ'!$B$2:$B$2890,A40)</x:f>
        <x:v>130000</x:v>
      </x:c>
      <x:c r="D40" s="323" t="n">
        <x:f>IFERROR(C40/B40,0)</x:f>
        <x:v>0.3333333333333333</x:v>
      </x:c>
      <x:c r="E40" s="324" t="n">
        <x:f>SUMIFS('VERİ'!$D$2:$D$2890,'VERİ'!$C$2:$C$2890,$B$2,'VERİ'!$B$2:$B$2890,A40)</x:f>
        <x:v>65</x:v>
      </x:c>
      <x:c r="F40" s="324" t="n">
        <x:f>COUNTIFS('VERİ'!$C$2:$C$2890,$B$2,'VERİ'!$B$2:$B$2890,A40)</x:f>
        <x:v>24</x:v>
      </x:c>
      <x:c r="G40" s="258"/>
      <x:c r="H40" s="262" t="n">
        <x:f>ROW()-39</x:f>
        <x:v>1</x:v>
      </x:c>
      <x:c r="I40" s="262" t="str">
        <x:f>IFERROR(INDEX($A$6:$A$28,MATCH(24-H40,$H$6:$H$28,0)),"-")</x:f>
        <x:v>Kahve Makinesi X Marka</x:v>
      </x:c>
      <x:c r="J40" s="322" t="n">
        <x:f>IFERROR(INDEX($C$6:$C$28,MATCH(24-H40,$H$6:$H$28,0)),0)</x:f>
        <x:v>65850</x:v>
      </x:c>
      <x:c r="K40" s="258"/>
      <x:c r="L40" s="258"/>
      <x:c r="M40" s="258"/>
      <x:c r="N40" s="258"/>
      <x:c r="O40" s="258"/>
      <x:c r="P40" s="258"/>
      <x:c r="Q40" s="258"/>
      <x:c r="R40" s="258"/>
      <x:c r="S40" s="258"/>
      <x:c r="T40" s="258"/>
      <x:c r="U40" s="258"/>
    </x:row>
    <x:row r="41">
      <x:c r="A41" s="262" t="str">
        <x:v>Reyhan Uyanık</x:v>
      </x:c>
      <x:c r="B41" s="322" t="n">
        <x:f>SUMIFS('VERİ'!$F$2:$F$2890,'VERİ'!$C$2:$C$2890,$B$2,'VERİ'!$B$2:$B$2890,A41)</x:f>
        <x:v>0</x:v>
      </x:c>
      <x:c r="C41" s="322" t="n">
        <x:f>SUMIFS('VERİ'!$G$2:$G$2890,'VERİ'!$C$2:$C$2890,$B$2,'VERİ'!$B$2:$B$2890,A41)</x:f>
        <x:v>0</x:v>
      </x:c>
      <x:c r="D41" s="323" t="n">
        <x:f>IFERROR(C41/B41,0)</x:f>
        <x:v>0</x:v>
      </x:c>
      <x:c r="E41" s="324" t="n">
        <x:f>SUMIFS('VERİ'!$D$2:$D$2890,'VERİ'!$C$2:$C$2890,$B$2,'VERİ'!$B$2:$B$2890,A41)</x:f>
        <x:v>0</x:v>
      </x:c>
      <x:c r="F41" s="324" t="n">
        <x:f>COUNTIFS('VERİ'!$C$2:$C$2890,$B$2,'VERİ'!$B$2:$B$2890,A41)</x:f>
        <x:v>0</x:v>
      </x:c>
      <x:c r="G41" s="258"/>
      <x:c r="H41" s="262" t="n">
        <x:f>ROW()-39</x:f>
        <x:v>2</x:v>
      </x:c>
      <x:c r="I41" s="262" t="str">
        <x:f>IFERROR(INDEX($A$6:$A$28,MATCH(24-H41,$H$6:$H$28,0)),"-")</x:f>
        <x:v>Ocak Siyah</x:v>
      </x:c>
      <x:c r="J41" s="322" t="n">
        <x:f>IFERROR(INDEX($C$6:$C$28,MATCH(24-H41,$H$6:$H$28,0)),0)</x:f>
        <x:v>96750</x:v>
      </x:c>
      <x:c r="K41" s="258"/>
      <x:c r="L41" s="258"/>
      <x:c r="M41" s="258"/>
      <x:c r="N41" s="258"/>
      <x:c r="O41" s="258"/>
      <x:c r="P41" s="258"/>
      <x:c r="Q41" s="258"/>
      <x:c r="R41" s="258"/>
      <x:c r="S41" s="258"/>
      <x:c r="T41" s="258"/>
      <x:c r="U41" s="258"/>
    </x:row>
    <x:row r="42">
      <x:c r="A42" s="262" t="str">
        <x:v>Serdal Yücel</x:v>
      </x:c>
      <x:c r="B42" s="322" t="n">
        <x:f>SUMIFS('VERİ'!$F$2:$F$2890,'VERİ'!$C$2:$C$2890,$B$2,'VERİ'!$B$2:$B$2890,A42)</x:f>
        <x:v>336000</x:v>
      </x:c>
      <x:c r="C42" s="322" t="n">
        <x:f>SUMIFS('VERİ'!$G$2:$G$2890,'VERİ'!$C$2:$C$2890,$B$2,'VERİ'!$B$2:$B$2890,A42)</x:f>
        <x:v>112000</x:v>
      </x:c>
      <x:c r="D42" s="323" t="n">
        <x:f>IFERROR(C42/B42,0)</x:f>
        <x:v>0.3333333333333333</x:v>
      </x:c>
      <x:c r="E42" s="324" t="n">
        <x:f>SUMIFS('VERİ'!$D$2:$D$2890,'VERİ'!$C$2:$C$2890,$B$2,'VERİ'!$B$2:$B$2890,A42)</x:f>
        <x:v>56</x:v>
      </x:c>
      <x:c r="F42" s="324" t="n">
        <x:f>COUNTIFS('VERİ'!$C$2:$C$2890,$B$2,'VERİ'!$B$2:$B$2890,A42)</x:f>
        <x:v>22</x:v>
      </x:c>
      <x:c r="G42" s="258"/>
      <x:c r="H42" s="262" t="n">
        <x:f>ROW()-39</x:f>
        <x:v>3</x:v>
      </x:c>
      <x:c r="I42" s="262" t="str">
        <x:f>IFERROR(INDEX($A$6:$A$28,MATCH(24-H42,$H$6:$H$28,0)),"-")</x:f>
        <x:v>Ocak Beyaz</x:v>
      </x:c>
      <x:c r="J42" s="322" t="n">
        <x:f>IFERROR(INDEX($C$6:$C$28,MATCH(24-H42,$H$6:$H$28,0)),0)</x:f>
        <x:v>115800</x:v>
      </x:c>
      <x:c r="K42" s="258"/>
      <x:c r="L42" s="258"/>
      <x:c r="M42" s="258"/>
      <x:c r="N42" s="258"/>
      <x:c r="O42" s="258"/>
      <x:c r="P42" s="258"/>
      <x:c r="Q42" s="258"/>
      <x:c r="R42" s="258"/>
      <x:c r="S42" s="258"/>
      <x:c r="T42" s="258"/>
      <x:c r="U42" s="258"/>
    </x:row>
    <x:row r="43">
      <x:c r="A43" s="262" t="str">
        <x:v>Yücel Öztürk</x:v>
      </x:c>
      <x:c r="B43" s="322" t="n">
        <x:f>SUMIFS('VERİ'!$F$2:$F$2890,'VERİ'!$C$2:$C$2890,$B$2,'VERİ'!$B$2:$B$2890,A43)</x:f>
        <x:v>0</x:v>
      </x:c>
      <x:c r="C43" s="322" t="n">
        <x:f>SUMIFS('VERİ'!$G$2:$G$2890,'VERİ'!$C$2:$C$2890,$B$2,'VERİ'!$B$2:$B$2890,A43)</x:f>
        <x:v>0</x:v>
      </x:c>
      <x:c r="D43" s="323" t="n">
        <x:f>IFERROR(C43/B43,0)</x:f>
        <x:v>0</x:v>
      </x:c>
      <x:c r="E43" s="324" t="n">
        <x:f>SUMIFS('VERİ'!$D$2:$D$2890,'VERİ'!$C$2:$C$2890,$B$2,'VERİ'!$B$2:$B$2890,A43)</x:f>
        <x:v>0</x:v>
      </x:c>
      <x:c r="F43" s="324" t="n">
        <x:f>COUNTIFS('VERİ'!$C$2:$C$2890,$B$2,'VERİ'!$B$2:$B$2890,A43)</x:f>
        <x:v>0</x:v>
      </x:c>
      <x:c r="G43" s="258"/>
      <x:c r="H43" s="258"/>
      <x:c r="I43" s="258"/>
      <x:c r="J43" s="258"/>
      <x:c r="K43" s="258"/>
      <x:c r="L43" s="258"/>
      <x:c r="M43" s="258"/>
      <x:c r="N43" s="258"/>
      <x:c r="O43" s="258"/>
      <x:c r="P43" s="258"/>
      <x:c r="Q43" s="258"/>
      <x:c r="R43" s="258"/>
      <x:c r="S43" s="258"/>
      <x:c r="T43" s="258"/>
      <x:c r="U43" s="258"/>
    </x:row>
    <x:row r="44">
      <x:c r="A44" s="262" t="str">
        <x:v>Zeynep Şen</x:v>
      </x:c>
      <x:c r="B44" s="322" t="n">
        <x:f>SUMIFS('VERİ'!$F$2:$F$2890,'VERİ'!$C$2:$C$2890,$B$2,'VERİ'!$B$2:$B$2890,A44)</x:f>
        <x:v>0</x:v>
      </x:c>
      <x:c r="C44" s="322" t="n">
        <x:f>SUMIFS('VERİ'!$G$2:$G$2890,'VERİ'!$C$2:$C$2890,$B$2,'VERİ'!$B$2:$B$2890,A44)</x:f>
        <x:v>0</x:v>
      </x:c>
      <x:c r="D44" s="323" t="n">
        <x:f>IFERROR(C44/B44,0)</x:f>
        <x:v>0</x:v>
      </x:c>
      <x:c r="E44" s="324" t="n">
        <x:f>SUMIFS('VERİ'!$D$2:$D$2890,'VERİ'!$C$2:$C$2890,$B$2,'VERİ'!$B$2:$B$2890,A44)</x:f>
        <x:v>0</x:v>
      </x:c>
      <x:c r="F44" s="324" t="n">
        <x:f>COUNTIFS('VERİ'!$C$2:$C$2890,$B$2,'VERİ'!$B$2:$B$2890,A44)</x:f>
        <x:v>0</x:v>
      </x:c>
      <x:c r="G44" s="258"/>
      <x:c r="H44" s="258"/>
      <x:c r="I44" s="258"/>
      <x:c r="J44" s="258"/>
      <x:c r="K44" s="258"/>
      <x:c r="L44" s="258"/>
      <x:c r="M44" s="258"/>
      <x:c r="N44" s="258"/>
      <x:c r="O44" s="258"/>
      <x:c r="P44" s="258"/>
      <x:c r="Q44" s="258"/>
      <x:c r="R44" s="258"/>
      <x:c r="S44" s="258"/>
      <x:c r="T44" s="258"/>
      <x:c r="U44" s="258"/>
    </x:row>
    <x:row r="45">
      <x:c r="A45" s="262" t="str">
        <x:v>Özgür Ertekin</x:v>
      </x:c>
      <x:c r="B45" s="322" t="n">
        <x:f>SUMIFS('VERİ'!$F$2:$F$2890,'VERİ'!$C$2:$C$2890,$B$2,'VERİ'!$B$2:$B$2890,A45)</x:f>
        <x:v>258000</x:v>
      </x:c>
      <x:c r="C45" s="322" t="n">
        <x:f>SUMIFS('VERİ'!$G$2:$G$2890,'VERİ'!$C$2:$C$2890,$B$2,'VERİ'!$B$2:$B$2890,A45)</x:f>
        <x:v>86000</x:v>
      </x:c>
      <x:c r="D45" s="323" t="n">
        <x:f>IFERROR(C45/B45,0)</x:f>
        <x:v>0.3333333333333333</x:v>
      </x:c>
      <x:c r="E45" s="324" t="n">
        <x:f>SUMIFS('VERİ'!$D$2:$D$2890,'VERİ'!$C$2:$C$2890,$B$2,'VERİ'!$B$2:$B$2890,A45)</x:f>
        <x:v>43</x:v>
      </x:c>
      <x:c r="F45" s="324" t="n">
        <x:f>COUNTIFS('VERİ'!$C$2:$C$2890,$B$2,'VERİ'!$B$2:$B$2890,A45)</x:f>
        <x:v>15</x:v>
      </x:c>
      <x:c r="G45" s="258"/>
      <x:c r="H45" s="258"/>
      <x:c r="I45" s="258"/>
      <x:c r="J45" s="258"/>
      <x:c r="K45" s="258"/>
      <x:c r="L45" s="258"/>
      <x:c r="M45" s="258"/>
      <x:c r="N45" s="258"/>
      <x:c r="O45" s="258"/>
      <x:c r="P45" s="258"/>
      <x:c r="Q45" s="258"/>
      <x:c r="R45" s="258"/>
      <x:c r="S45" s="258"/>
      <x:c r="T45" s="258"/>
      <x:c r="U45" s="258"/>
    </x:row>
    <x:row r="46">
      <x:c r="A46" s="258"/>
      <x:c r="B46" s="258"/>
      <x:c r="C46" s="258"/>
      <x:c r="D46" s="258"/>
      <x:c r="E46" s="258"/>
      <x:c r="F46" s="258"/>
      <x:c r="G46" s="258"/>
      <x:c r="H46" s="258"/>
      <x:c r="I46" s="258"/>
      <x:c r="J46" s="258"/>
      <x:c r="K46" s="258"/>
      <x:c r="L46" s="258"/>
      <x:c r="M46" s="258"/>
      <x:c r="N46" s="258"/>
      <x:c r="O46" s="258"/>
      <x:c r="P46" s="258"/>
      <x:c r="Q46" s="258"/>
      <x:c r="R46" s="258"/>
      <x:c r="S46" s="258"/>
      <x:c r="T46" s="258"/>
      <x:c r="U46" s="258"/>
    </x:row>
    <x:row r="47">
      <x:c r="A47" s="258"/>
      <x:c r="B47" s="258"/>
      <x:c r="C47" s="258"/>
      <x:c r="D47" s="258"/>
      <x:c r="E47" s="258"/>
      <x:c r="F47" s="258"/>
      <x:c r="G47" s="258"/>
      <x:c r="H47" s="258"/>
      <x:c r="I47" s="258"/>
      <x:c r="J47" s="258"/>
      <x:c r="K47" s="258"/>
      <x:c r="L47" s="258"/>
      <x:c r="M47" s="258"/>
      <x:c r="N47" s="258"/>
      <x:c r="O47" s="258"/>
      <x:c r="P47" s="258"/>
      <x:c r="Q47" s="258"/>
      <x:c r="R47" s="258"/>
      <x:c r="S47" s="258"/>
      <x:c r="T47" s="258"/>
      <x:c r="U47" s="258"/>
    </x:row>
    <x:row r="48">
      <x:c r="A48" s="258"/>
      <x:c r="B48" s="258"/>
      <x:c r="C48" s="258"/>
      <x:c r="D48" s="258"/>
      <x:c r="E48" s="258"/>
      <x:c r="F48" s="258"/>
      <x:c r="G48" s="258"/>
      <x:c r="H48" s="258"/>
      <x:c r="I48" s="258"/>
      <x:c r="J48" s="258"/>
      <x:c r="K48" s="258"/>
      <x:c r="L48" s="258"/>
      <x:c r="M48" s="258"/>
      <x:c r="N48" s="258"/>
      <x:c r="O48" s="258"/>
      <x:c r="P48" s="258"/>
      <x:c r="Q48" s="258"/>
      <x:c r="R48" s="258"/>
      <x:c r="S48" s="258"/>
      <x:c r="T48" s="258"/>
      <x:c r="U48" s="258"/>
    </x:row>
    <x:row r="49">
      <x:c r="A49" s="258"/>
      <x:c r="B49" s="258"/>
      <x:c r="C49" s="258"/>
      <x:c r="D49" s="258"/>
      <x:c r="E49" s="258"/>
      <x:c r="F49" s="258"/>
      <x:c r="G49" s="258"/>
      <x:c r="H49" s="258"/>
      <x:c r="I49" s="258"/>
      <x:c r="J49" s="258"/>
      <x:c r="K49" s="258"/>
      <x:c r="L49" s="258"/>
      <x:c r="M49" s="258"/>
      <x:c r="N49" s="258"/>
      <x:c r="O49" s="258"/>
      <x:c r="P49" s="258"/>
      <x:c r="Q49" s="258"/>
      <x:c r="R49" s="258"/>
      <x:c r="S49" s="258"/>
      <x:c r="T49" s="258"/>
      <x:c r="U49" s="258"/>
    </x:row>
    <x:row r="50">
      <x:c r="A50" s="258"/>
      <x:c r="B50" s="258"/>
      <x:c r="C50" s="258"/>
      <x:c r="D50" s="258"/>
      <x:c r="E50" s="258"/>
      <x:c r="F50" s="258"/>
      <x:c r="G50" s="258"/>
      <x:c r="H50" s="258"/>
      <x:c r="I50" s="258"/>
      <x:c r="J50" s="258"/>
      <x:c r="K50" s="258"/>
      <x:c r="L50" s="258"/>
      <x:c r="M50" s="258"/>
      <x:c r="N50" s="258"/>
      <x:c r="O50" s="258"/>
      <x:c r="P50" s="258"/>
      <x:c r="Q50" s="258"/>
      <x:c r="R50" s="258"/>
      <x:c r="S50" s="258"/>
      <x:c r="T50" s="258"/>
      <x:c r="U50" s="258"/>
    </x:row>
    <x:row r="51">
      <x:c r="A51" s="258"/>
      <x:c r="B51" s="258"/>
      <x:c r="C51" s="258"/>
      <x:c r="D51" s="258"/>
      <x:c r="E51" s="258"/>
      <x:c r="F51" s="258"/>
      <x:c r="G51" s="258"/>
      <x:c r="H51" s="258"/>
      <x:c r="I51" s="258"/>
      <x:c r="J51" s="258"/>
      <x:c r="K51" s="258"/>
      <x:c r="L51" s="258"/>
      <x:c r="M51" s="258"/>
      <x:c r="N51" s="258"/>
      <x:c r="O51" s="258"/>
      <x:c r="P51" s="258"/>
      <x:c r="Q51" s="258"/>
      <x:c r="R51" s="258"/>
      <x:c r="S51" s="258"/>
      <x:c r="T51" s="258"/>
      <x:c r="U51" s="258"/>
    </x:row>
    <x:row r="52">
      <x:c r="A52" s="258"/>
      <x:c r="B52" s="258"/>
      <x:c r="C52" s="258"/>
      <x:c r="D52" s="258"/>
      <x:c r="E52" s="258"/>
      <x:c r="F52" s="258"/>
      <x:c r="G52" s="258"/>
      <x:c r="H52" s="258"/>
      <x:c r="I52" s="258"/>
      <x:c r="J52" s="258"/>
      <x:c r="K52" s="258"/>
      <x:c r="L52" s="258"/>
      <x:c r="M52" s="258"/>
      <x:c r="N52" s="258"/>
      <x:c r="O52" s="258"/>
      <x:c r="P52" s="258"/>
      <x:c r="Q52" s="258"/>
      <x:c r="R52" s="258"/>
      <x:c r="S52" s="258"/>
      <x:c r="T52" s="258"/>
      <x:c r="U52" s="258"/>
    </x:row>
    <x:row r="53">
      <x:c r="A53" s="258"/>
      <x:c r="B53" s="258"/>
      <x:c r="C53" s="258"/>
      <x:c r="D53" s="258"/>
      <x:c r="E53" s="258"/>
      <x:c r="F53" s="258"/>
      <x:c r="G53" s="258"/>
      <x:c r="H53" s="258"/>
      <x:c r="I53" s="258"/>
      <x:c r="J53" s="258"/>
      <x:c r="K53" s="258"/>
      <x:c r="L53" s="258"/>
      <x:c r="M53" s="258"/>
      <x:c r="N53" s="258"/>
      <x:c r="O53" s="258"/>
      <x:c r="P53" s="258"/>
      <x:c r="Q53" s="258"/>
      <x:c r="R53" s="258"/>
      <x:c r="S53" s="258"/>
      <x:c r="T53" s="258"/>
      <x:c r="U53" s="258"/>
    </x:row>
    <x:row r="54">
      <x:c r="A54" s="258"/>
      <x:c r="B54" s="258"/>
      <x:c r="C54" s="258"/>
      <x:c r="D54" s="258"/>
      <x:c r="E54" s="258"/>
      <x:c r="F54" s="258"/>
      <x:c r="G54" s="258"/>
      <x:c r="H54" s="258"/>
      <x:c r="I54" s="258"/>
      <x:c r="J54" s="258"/>
      <x:c r="K54" s="258"/>
      <x:c r="L54" s="258"/>
      <x:c r="M54" s="258"/>
      <x:c r="N54" s="258"/>
      <x:c r="O54" s="258"/>
      <x:c r="P54" s="258"/>
      <x:c r="Q54" s="258"/>
      <x:c r="R54" s="258"/>
      <x:c r="S54" s="258"/>
      <x:c r="T54" s="258"/>
      <x:c r="U54" s="258"/>
    </x:row>
    <x:row r="55">
      <x:c r="A55" s="258"/>
      <x:c r="B55" s="258"/>
      <x:c r="C55" s="258"/>
      <x:c r="D55" s="258"/>
      <x:c r="E55" s="258"/>
      <x:c r="F55" s="258"/>
      <x:c r="G55" s="258"/>
      <x:c r="H55" s="258"/>
      <x:c r="I55" s="258"/>
      <x:c r="J55" s="258"/>
      <x:c r="K55" s="258"/>
      <x:c r="L55" s="258"/>
      <x:c r="M55" s="258"/>
      <x:c r="N55" s="258"/>
      <x:c r="O55" s="258"/>
      <x:c r="P55" s="258"/>
      <x:c r="Q55" s="258"/>
      <x:c r="R55" s="258"/>
      <x:c r="S55" s="258"/>
      <x:c r="T55" s="258"/>
      <x:c r="U55" s="258"/>
    </x:row>
    <x:row r="56">
      <x:c r="A56" s="258"/>
      <x:c r="B56" s="258"/>
      <x:c r="C56" s="258"/>
      <x:c r="D56" s="258"/>
      <x:c r="E56" s="258"/>
      <x:c r="F56" s="258"/>
      <x:c r="G56" s="258"/>
      <x:c r="H56" s="258"/>
      <x:c r="I56" s="258"/>
      <x:c r="J56" s="258"/>
      <x:c r="K56" s="258"/>
      <x:c r="L56" s="258"/>
      <x:c r="M56" s="258"/>
      <x:c r="N56" s="258"/>
      <x:c r="O56" s="258"/>
      <x:c r="P56" s="258"/>
      <x:c r="Q56" s="258"/>
      <x:c r="R56" s="258"/>
      <x:c r="S56" s="258"/>
      <x:c r="T56" s="258"/>
      <x:c r="U56" s="258"/>
    </x:row>
    <x:row r="57">
      <x:c r="A57" s="258"/>
      <x:c r="B57" s="258"/>
      <x:c r="C57" s="258"/>
      <x:c r="D57" s="258"/>
      <x:c r="E57" s="258"/>
      <x:c r="F57" s="258"/>
      <x:c r="G57" s="258"/>
      <x:c r="H57" s="258"/>
      <x:c r="I57" s="258"/>
      <x:c r="J57" s="258"/>
      <x:c r="K57" s="258"/>
      <x:c r="L57" s="258"/>
      <x:c r="M57" s="258"/>
      <x:c r="N57" s="258"/>
      <x:c r="O57" s="258"/>
      <x:c r="P57" s="258"/>
      <x:c r="Q57" s="258"/>
      <x:c r="R57" s="258"/>
      <x:c r="S57" s="258"/>
      <x:c r="T57" s="258"/>
      <x:c r="U57" s="258"/>
    </x:row>
    <x:row r="58">
      <x:c r="A58" s="258"/>
      <x:c r="B58" s="258"/>
      <x:c r="C58" s="258"/>
      <x:c r="D58" s="258"/>
      <x:c r="E58" s="258"/>
      <x:c r="F58" s="258"/>
      <x:c r="G58" s="258"/>
      <x:c r="H58" s="258"/>
      <x:c r="I58" s="258"/>
      <x:c r="J58" s="258"/>
      <x:c r="K58" s="258"/>
      <x:c r="L58" s="258"/>
      <x:c r="M58" s="258"/>
      <x:c r="N58" s="258"/>
      <x:c r="O58" s="258"/>
      <x:c r="P58" s="258"/>
      <x:c r="Q58" s="258"/>
      <x:c r="R58" s="258"/>
      <x:c r="S58" s="258"/>
      <x:c r="T58" s="258"/>
      <x:c r="U58" s="258"/>
    </x:row>
    <x:row r="59">
      <x:c r="A59" s="258"/>
      <x:c r="B59" s="258"/>
      <x:c r="C59" s="258"/>
      <x:c r="D59" s="258"/>
      <x:c r="E59" s="258"/>
      <x:c r="F59" s="258"/>
      <x:c r="G59" s="258"/>
      <x:c r="H59" s="258"/>
      <x:c r="I59" s="258"/>
      <x:c r="J59" s="258"/>
      <x:c r="K59" s="258"/>
      <x:c r="L59" s="258"/>
      <x:c r="M59" s="258"/>
      <x:c r="N59" s="258"/>
      <x:c r="O59" s="258"/>
      <x:c r="P59" s="258"/>
      <x:c r="Q59" s="258"/>
      <x:c r="R59" s="258"/>
      <x:c r="S59" s="258"/>
      <x:c r="T59" s="258"/>
      <x:c r="U59" s="258"/>
    </x:row>
    <x:row r="60">
      <x:c r="A60" s="258"/>
      <x:c r="B60" s="258"/>
      <x:c r="C60" s="258"/>
      <x:c r="D60" s="258"/>
      <x:c r="E60" s="258"/>
      <x:c r="F60" s="258"/>
      <x:c r="G60" s="258"/>
      <x:c r="H60" s="258"/>
      <x:c r="I60" s="258"/>
      <x:c r="J60" s="258"/>
      <x:c r="K60" s="258"/>
      <x:c r="L60" s="258"/>
      <x:c r="M60" s="258"/>
      <x:c r="N60" s="258"/>
      <x:c r="O60" s="258"/>
      <x:c r="P60" s="258"/>
      <x:c r="Q60" s="258"/>
      <x:c r="R60" s="258"/>
      <x:c r="S60" s="258"/>
      <x:c r="T60" s="258"/>
      <x:c r="U60" s="258"/>
    </x:row>
    <x:row r="61">
      <x:c r="A61" s="258"/>
      <x:c r="B61" s="258"/>
      <x:c r="C61" s="258"/>
      <x:c r="D61" s="258"/>
      <x:c r="E61" s="258"/>
      <x:c r="F61" s="258"/>
      <x:c r="G61" s="258"/>
      <x:c r="H61" s="258"/>
      <x:c r="I61" s="258"/>
      <x:c r="J61" s="258"/>
      <x:c r="K61" s="258"/>
      <x:c r="L61" s="258"/>
      <x:c r="M61" s="258"/>
      <x:c r="N61" s="258"/>
      <x:c r="O61" s="258"/>
      <x:c r="P61" s="258"/>
      <x:c r="Q61" s="258"/>
      <x:c r="R61" s="258"/>
      <x:c r="S61" s="258"/>
      <x:c r="T61" s="258"/>
      <x:c r="U61" s="258"/>
    </x:row>
    <x:row r="62">
      <x:c r="A62" s="258"/>
      <x:c r="B62" s="258"/>
      <x:c r="C62" s="258"/>
      <x:c r="D62" s="258"/>
      <x:c r="E62" s="258"/>
      <x:c r="F62" s="258"/>
      <x:c r="G62" s="258"/>
      <x:c r="H62" s="258"/>
      <x:c r="I62" s="258"/>
      <x:c r="J62" s="258"/>
      <x:c r="K62" s="258"/>
      <x:c r="L62" s="258"/>
      <x:c r="M62" s="258"/>
      <x:c r="N62" s="258"/>
      <x:c r="O62" s="258"/>
      <x:c r="P62" s="258"/>
      <x:c r="Q62" s="258"/>
      <x:c r="R62" s="258"/>
      <x:c r="S62" s="258"/>
      <x:c r="T62" s="258"/>
      <x:c r="U62" s="258"/>
    </x:row>
    <x:row r="63">
      <x:c r="B63"/>
      <x:c r="C63"/>
      <x:c r="D63"/>
      <x:c r="E63"/>
      <x:c r="F63"/>
      <x:c r="G63"/>
      <x:c r="H63"/>
      <x:c r="I63"/>
    </x:row>
    <x:row r="64">
      <x:c r="B64"/>
      <x:c r="C64"/>
      <x:c r="D64"/>
      <x:c r="E64"/>
      <x:c r="F64"/>
      <x:c r="G64"/>
      <x:c r="H64"/>
      <x:c r="I64"/>
    </x:row>
    <x:row r="65">
      <x:c r="B65"/>
      <x:c r="C65"/>
      <x:c r="D65"/>
      <x:c r="E65"/>
      <x:c r="F65"/>
      <x:c r="G65"/>
      <x:c r="H65"/>
      <x:c r="I65"/>
    </x:row>
    <x:row r="66">
      <x:c r="B66"/>
      <x:c r="C66"/>
      <x:c r="D66"/>
      <x:c r="E66"/>
      <x:c r="F66"/>
      <x:c r="G66"/>
      <x:c r="H66"/>
      <x:c r="I66"/>
    </x:row>
    <x:row r="67">
      <x:c r="B67"/>
      <x:c r="C67"/>
      <x:c r="D67"/>
      <x:c r="E67"/>
      <x:c r="F67"/>
      <x:c r="G67"/>
      <x:c r="H67"/>
      <x:c r="I67"/>
    </x:row>
    <x:row r="68">
      <x:c r="B68"/>
      <x:c r="C68"/>
      <x:c r="D68"/>
      <x:c r="E68"/>
      <x:c r="F68"/>
      <x:c r="G68"/>
      <x:c r="H68"/>
      <x:c r="I68"/>
    </x:row>
    <x:row r="69">
      <x:c r="B69"/>
      <x:c r="C69"/>
      <x:c r="D69"/>
      <x:c r="E69"/>
      <x:c r="F69"/>
      <x:c r="G69"/>
      <x:c r="H69"/>
      <x:c r="I69"/>
    </x:row>
    <x:row r="70">
      <x:c r="B70"/>
      <x:c r="C70"/>
      <x:c r="D70"/>
      <x:c r="E70"/>
      <x:c r="F70"/>
      <x:c r="G70"/>
      <x:c r="H70"/>
      <x:c r="I70"/>
    </x:row>
    <x:row r="71">
      <x:c r="B71"/>
      <x:c r="C71"/>
      <x:c r="D71"/>
      <x:c r="E71"/>
      <x:c r="F71"/>
      <x:c r="G71"/>
      <x:c r="H71"/>
      <x:c r="I71"/>
    </x:row>
    <x:row r="72">
      <x:c r="B72"/>
      <x:c r="C72"/>
      <x:c r="D72"/>
      <x:c r="E72"/>
      <x:c r="F72"/>
      <x:c r="G72"/>
      <x:c r="H72"/>
      <x:c r="I72"/>
    </x:row>
    <x:row r="73">
      <x:c r="B73"/>
      <x:c r="C73"/>
      <x:c r="D73"/>
      <x:c r="E73"/>
      <x:c r="F73"/>
      <x:c r="G73"/>
      <x:c r="H73"/>
      <x:c r="I73"/>
    </x:row>
    <x:row r="74">
      <x:c r="B74"/>
      <x:c r="C74"/>
      <x:c r="D74"/>
      <x:c r="E74"/>
      <x:c r="F74"/>
      <x:c r="G74"/>
      <x:c r="H74"/>
      <x:c r="I74"/>
    </x:row>
    <x:row r="75">
      <x:c r="B75"/>
      <x:c r="C75"/>
      <x:c r="D75"/>
      <x:c r="E75"/>
      <x:c r="F75"/>
      <x:c r="G75"/>
      <x:c r="H75"/>
      <x:c r="I75"/>
    </x:row>
    <x:row r="76">
      <x:c r="B76"/>
      <x:c r="C76"/>
      <x:c r="D76"/>
      <x:c r="E76"/>
      <x:c r="F76"/>
      <x:c r="G76"/>
      <x:c r="H76"/>
      <x:c r="I76"/>
    </x:row>
    <x:row r="77">
      <x:c r="B77"/>
      <x:c r="C77"/>
      <x:c r="D77"/>
      <x:c r="E77"/>
      <x:c r="F77"/>
      <x:c r="G77"/>
      <x:c r="H77"/>
      <x:c r="I77"/>
    </x:row>
    <x:row r="78">
      <x:c r="B78"/>
      <x:c r="C78"/>
      <x:c r="D78"/>
      <x:c r="E78"/>
      <x:c r="F78"/>
      <x:c r="G78"/>
      <x:c r="H78"/>
      <x:c r="I78"/>
    </x:row>
    <x:row r="79">
      <x:c r="B79"/>
      <x:c r="C79"/>
      <x:c r="D79"/>
      <x:c r="E79"/>
      <x:c r="F79"/>
      <x:c r="G79"/>
      <x:c r="H79"/>
      <x:c r="I79"/>
    </x:row>
    <x:row r="80">
      <x:c r="B80"/>
      <x:c r="C80"/>
      <x:c r="D80"/>
      <x:c r="E80"/>
      <x:c r="F80"/>
      <x:c r="G80"/>
      <x:c r="H80"/>
      <x:c r="I80"/>
    </x:row>
    <x:row r="81">
      <x:c r="B81"/>
      <x:c r="C81"/>
      <x:c r="D81"/>
      <x:c r="E81"/>
      <x:c r="F81"/>
      <x:c r="G81"/>
      <x:c r="H81"/>
      <x:c r="I81"/>
    </x:row>
    <x:row r="82">
      <x:c r="B82"/>
      <x:c r="C82"/>
      <x:c r="D82"/>
      <x:c r="E82"/>
      <x:c r="F82"/>
      <x:c r="G82"/>
      <x:c r="H82"/>
      <x:c r="I82"/>
    </x:row>
    <x:row r="83">
      <x:c r="B83"/>
      <x:c r="C83"/>
      <x:c r="D83"/>
      <x:c r="E83"/>
      <x:c r="F83"/>
      <x:c r="G83"/>
      <x:c r="H83"/>
      <x:c r="I83"/>
    </x:row>
    <x:row r="84">
      <x:c r="B84"/>
      <x:c r="C84"/>
      <x:c r="D84"/>
      <x:c r="E84"/>
      <x:c r="F84"/>
      <x:c r="G84"/>
      <x:c r="H84"/>
      <x:c r="I84"/>
    </x:row>
    <x:row r="85">
      <x:c r="B85"/>
      <x:c r="C85"/>
      <x:c r="D85"/>
      <x:c r="E85"/>
      <x:c r="F85"/>
      <x:c r="G85"/>
      <x:c r="H85"/>
      <x:c r="I85"/>
    </x:row>
    <x:row r="86">
      <x:c r="B86"/>
      <x:c r="C86"/>
      <x:c r="D86"/>
      <x:c r="E86"/>
      <x:c r="F86"/>
      <x:c r="G86"/>
      <x:c r="H86"/>
      <x:c r="I86"/>
    </x:row>
    <x:row r="87">
      <x:c r="B87"/>
      <x:c r="C87"/>
      <x:c r="D87"/>
      <x:c r="E87"/>
      <x:c r="F87"/>
      <x:c r="G87"/>
      <x:c r="H87"/>
      <x:c r="I87"/>
    </x:row>
    <x:row r="88">
      <x:c r="B88"/>
      <x:c r="C88"/>
      <x:c r="D88"/>
      <x:c r="E88"/>
      <x:c r="F88"/>
      <x:c r="G88"/>
      <x:c r="H88"/>
      <x:c r="I88"/>
    </x:row>
    <x:row r="89">
      <x:c r="B89"/>
      <x:c r="C89"/>
      <x:c r="D89"/>
      <x:c r="E89"/>
      <x:c r="F89"/>
      <x:c r="G89"/>
      <x:c r="H89"/>
      <x:c r="I89"/>
    </x:row>
    <x:row r="90">
      <x:c r="B90"/>
      <x:c r="C90"/>
      <x:c r="D90"/>
      <x:c r="E90"/>
      <x:c r="F90"/>
      <x:c r="G90"/>
      <x:c r="H90"/>
      <x:c r="I90"/>
    </x:row>
    <x:row r="91">
      <x:c r="B91"/>
      <x:c r="C91"/>
      <x:c r="D91"/>
      <x:c r="E91"/>
      <x:c r="F91"/>
      <x:c r="G91"/>
      <x:c r="H91"/>
      <x:c r="I91"/>
    </x:row>
    <x:row r="92">
      <x:c r="B92"/>
      <x:c r="C92"/>
      <x:c r="D92"/>
      <x:c r="E92"/>
      <x:c r="F92"/>
      <x:c r="G92"/>
      <x:c r="H92"/>
      <x:c r="I92"/>
    </x:row>
    <x:row r="93">
      <x:c r="B93"/>
      <x:c r="C93"/>
      <x:c r="D93"/>
      <x:c r="E93"/>
      <x:c r="F93"/>
      <x:c r="G93"/>
      <x:c r="H93"/>
      <x:c r="I93"/>
    </x:row>
    <x:row r="94">
      <x:c r="B94"/>
      <x:c r="C94"/>
      <x:c r="D94"/>
      <x:c r="E94"/>
      <x:c r="F94"/>
      <x:c r="G94"/>
      <x:c r="H94"/>
      <x:c r="I94"/>
    </x:row>
    <x:row r="95">
      <x:c r="B95"/>
      <x:c r="C95"/>
      <x:c r="D95"/>
      <x:c r="E95"/>
      <x:c r="F95"/>
      <x:c r="G95"/>
      <x:c r="H95"/>
      <x:c r="I95"/>
    </x:row>
    <x:row r="96">
      <x:c r="B96"/>
      <x:c r="C96"/>
      <x:c r="D96"/>
      <x:c r="E96"/>
      <x:c r="F96"/>
      <x:c r="G96"/>
      <x:c r="H96"/>
      <x:c r="I96"/>
    </x:row>
    <x:row r="97">
      <x:c r="B97"/>
      <x:c r="C97"/>
      <x:c r="D97"/>
      <x:c r="E97"/>
      <x:c r="F97"/>
      <x:c r="G97"/>
      <x:c r="H97"/>
      <x:c r="I97"/>
    </x:row>
    <x:row r="98">
      <x:c r="B98"/>
      <x:c r="C98"/>
      <x:c r="D98"/>
      <x:c r="E98"/>
      <x:c r="F98"/>
      <x:c r="G98"/>
      <x:c r="H98"/>
      <x:c r="I98"/>
    </x:row>
    <x:row r="99">
      <x:c r="B99"/>
      <x:c r="C99"/>
      <x:c r="D99"/>
      <x:c r="E99"/>
      <x:c r="F99"/>
      <x:c r="G99"/>
      <x:c r="H99"/>
      <x:c r="I99"/>
    </x:row>
    <x:row r="100">
      <x:c r="B100"/>
      <x:c r="C100"/>
      <x:c r="D100"/>
      <x:c r="E100"/>
      <x:c r="F100"/>
      <x:c r="G100"/>
      <x:c r="H100"/>
      <x:c r="I100"/>
    </x:row>
  </x:sheetData>
  <x:mergeCells>
    <x:mergeCell ref="A1:L1"/>
    <x:mergeCell ref="A4:H4"/>
    <x:mergeCell ref="J4:L4"/>
    <x:mergeCell ref="A31:F31"/>
    <x:mergeCell ref="H31:L31"/>
  </x:mergeCells>
  <x:dataValidations count="1">
    <x:dataValidation type="list" sqref="B2">
      <x:formula1>ANALİZ!$Y$2:$Y$24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e6a42cc9a9074773"/>
    <x:tablePart xmlns:r="http://schemas.openxmlformats.org/officeDocument/2006/relationships" r:id="Ree184458cb874209"/>
  </x:tableParts>
</x:worksheet>
</file>

<file path=xl/worksheets/sheet3.xml><?xml version="1.0" encoding="utf-8"?>
<x:worksheet xmlns:x="http://schemas.openxmlformats.org/spreadsheetml/2006/main">
  <x:sheetPr>
    <x:tabColor theme="4"/>
  </x:sheetPr>
  <x:sheetFormatPr defaultRowHeight="21"/>
  <x:cols>
    <x:col min="1" max="1" width="18" style="3" hidden="0" customWidth="1"/>
    <x:col min="2" max="2" width="15" style="3" hidden="0" customWidth="1"/>
    <x:col min="3" max="3" width="15" style="3" hidden="0" customWidth="1"/>
    <x:col min="4" max="4" width="18" style="3" hidden="0" customWidth="1"/>
    <x:col min="5" max="5" width="15" style="3" hidden="0" customWidth="1"/>
    <x:col min="6" max="6" width="15" style="3" hidden="0" customWidth="1"/>
    <x:col min="7" max="7" width="15" style="3" hidden="0" customWidth="1"/>
    <x:col min="8" max="8" width="15" style="3" hidden="0" customWidth="1"/>
    <x:col min="9" max="9" width="15" style="3" hidden="0" customWidth="1"/>
    <x:col min="10" max="10" width="15" style="3" hidden="0" customWidth="1"/>
    <x:col min="11" max="11" width="15" style="3" hidden="0" customWidth="1"/>
    <x:col min="12" max="12" width="18" style="3" hidden="0" customWidth="1"/>
    <x:col min="13" max="13" width="15" style="3" hidden="0" customWidth="1"/>
    <x:col min="15" max="15" width="15" style="3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13" max="13" width="16" hidden="0" customWidth="1"/>
    <x:col min="14" max="14" width="15" hidden="0" customWidth="1"/>
    <x:col min="15" max="15" width="14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8" hidden="0" customWidth="1"/>
    <x:col min="28" max="28" width="6.889999866485596" hidden="0" customWidth="1"/>
    <x:col min="29" max="29" width="8.329999923706055" hidden="0" customWidth="1"/>
    <x:col min="30" max="30" width="7.78000020980835" hidden="0" customWidth="1"/>
    <x:col min="32" max="32" width="15.329999923706055" hidden="0" customWidth="1"/>
    <x:col min="33" max="33" width="8.329999923706055" hidden="0" customWidth="1"/>
    <x:col min="35" max="35" width="7.889999866485596" hidden="0" customWidth="1"/>
    <x:col min="36" max="36" width="7.78000020980835" hidden="0" customWidth="1"/>
    <x:col min="37" max="37" width="8.329999923706055" hidden="0" customWidth="1"/>
    <x:col min="38" max="38" width="20.670000076293945" hidden="0" customWidth="1"/>
    <x:col min="39" max="39" width="8.779999732971191" hidden="0" customWidth="1"/>
    <x:col min="40" max="40" width="3.440000057220459" hidden="0" customWidth="1"/>
    <x:col min="41" max="41" width="3" hidden="0" customWidth="1"/>
    <x:col min="42" max="42" width="3.6700000762939453" hidden="0" customWidth="1"/>
    <x:col min="43" max="43" width="8.890000343322754" hidden="0" customWidth="1"/>
    <x:col min="44" max="44" width="7.889999866485596" hidden="0" customWidth="1"/>
    <x:col min="45" max="45" width="3.440000057220459" hidden="0" customWidth="1"/>
    <x:col min="46" max="46" width="3" hidden="0" customWidth="1"/>
    <x:col min="47" max="47" width="3.6700000762939453" hidden="0" customWidth="1"/>
    <x:col min="48" max="48" width="3.6700000762939453" hidden="0" customWidth="1"/>
    <x:col min="49" max="49" width="7.78000020980835" hidden="0" customWidth="1"/>
  </x:cols>
  <x:sheetData>
    <x:row r="1" ht="30" customHeight="1">
      <x:c r="A1" s="257" t="str">
        <x:v>ANALİZ • KPI, VERİMLİLİK &amp; RİSK MODELİ</x:v>
      </x:c>
      <x:c r="B1" s="257"/>
      <x:c r="C1" s="257"/>
      <x:c r="D1" s="257"/>
      <x:c r="E1" s="257"/>
      <x:c r="F1" s="257"/>
      <x:c r="G1" s="257"/>
      <x:c r="H1" s="257"/>
      <x:c r="I1" s="257"/>
      <x:c r="J1" s="257"/>
      <x:c r="K1" s="257"/>
      <x:c r="L1" s="257"/>
      <x:c r="M1" s="257"/>
      <x:c r="N1" s="257"/>
      <x:c r="O1" s="257"/>
      <x:c r="P1" s="257"/>
      <x:c r="Q1" s="257"/>
      <x:c r="R1" s="257"/>
      <x:c r="S1" s="257"/>
      <x:c r="T1" s="257"/>
      <x:c r="U1" s="257"/>
      <x:c r="V1" s="326" t="str">
        <x:v>Ay Listesi</x:v>
      </x:c>
      <x:c r="W1" s="326" t="str">
        <x:v>Şehir Listesi</x:v>
      </x:c>
      <x:c r="X1" s="326" t="str">
        <x:v>Personel Listesi</x:v>
      </x:c>
      <x:c r="Y1" s="326" t="str">
        <x:v>Ürün Listesi</x:v>
      </x:c>
      <x:c r="Z1" s="326" t="str">
        <x:v>Risk Dönemi</x:v>
      </x:c>
      <x:c r="AB1" t="str">
        <x:v>Ay</x:v>
      </x:c>
      <x:c r="AC1" t="str">
        <x:v>Filtreli Ciro</x:v>
      </x:c>
      <x:c r="AD1" t="str">
        <x:v>Filtreli Kâr</x:v>
      </x:c>
      <x:c r="AE1"/>
      <x:c r="AF1" t="str">
        <x:v>Personel</x:v>
      </x:c>
      <x:c r="AG1" t="str">
        <x:v>Filtreli Ciro</x:v>
      </x:c>
      <x:c r="AH1"/>
      <x:c r="AI1" t="str">
        <x:v>Şehir</x:v>
      </x:c>
      <x:c r="AJ1" t="str">
        <x:v>Filtreli Kâr</x:v>
      </x:c>
      <x:c r="AK1" t="str">
        <x:v>Filtreli Ciro</x:v>
      </x:c>
      <x:c r="AL1" t="str">
        <x:v>Ürün</x:v>
      </x:c>
      <x:c r="AM1" t="str">
        <x:v>Satış Adedi</x:v>
      </x:c>
      <x:c r="AN1" t="str">
        <x:v>Ciro</x:v>
      </x:c>
      <x:c r="AO1" t="str">
        <x:v>Kâr</x:v>
      </x:c>
      <x:c r="AP1" t="str">
        <x:v>Marj</x:v>
      </x:c>
      <x:c r="AQ1" t="str">
        <x:v>Satış Sırası</x:v>
      </x:c>
      <x:c r="AR1" t="str">
        <x:v>Şehir</x:v>
      </x:c>
      <x:c r="AS1" t="str">
        <x:v>Ciro</x:v>
      </x:c>
      <x:c r="AT1" t="str">
        <x:v>Kâr</x:v>
      </x:c>
      <x:c r="AU1" t="str">
        <x:v>Marj</x:v>
      </x:c>
      <x:c r="AV1" t="str">
        <x:v>Risk</x:v>
      </x:c>
      <x:c r="AW1" t="str">
        <x:v>Kâr Sırası</x:v>
      </x:c>
    </x:row>
    <x:row r="2">
      <x:c r="A2" s="327"/>
      <x:c r="B2" s="327"/>
      <x:c r="C2" s="327"/>
      <x:c r="D2" s="327"/>
      <x:c r="E2" s="327"/>
      <x:c r="F2" s="327"/>
      <x:c r="G2" s="327"/>
      <x:c r="H2" s="327"/>
      <x:c r="I2" s="327"/>
      <x:c r="J2" s="327"/>
      <x:c r="K2" s="327"/>
      <x:c r="L2" s="327"/>
      <x:c r="M2" s="327"/>
      <x:c r="N2" s="327"/>
      <x:c r="O2" s="327"/>
      <x:c r="P2" s="327"/>
      <x:c r="Q2" s="327"/>
      <x:c r="R2" s="327"/>
      <x:c r="S2" s="327"/>
      <x:c r="T2" s="327"/>
      <x:c r="U2" s="327"/>
      <x:c r="V2" s="326" t="str">
        <x:v>Ocak</x:v>
      </x:c>
      <x:c r="W2" s="326" t="str">
        <x:v>Adana</x:v>
      </x:c>
      <x:c r="X2" s="326" t="str">
        <x:v>Ali Kandemir</x:v>
      </x:c>
      <x:c r="Y2" s="326" t="str">
        <x:v>Bulaşık Makinesi Beyaz</x:v>
      </x:c>
      <x:c r="Z2" s="326" t="str">
        <x:v>Ocak</x:v>
      </x:c>
      <x:c r="AB2" t="str">
        <x:f>IFERROR(INDEX($V$2:$V$13,ROW()-1),"")</x:f>
        <x:v>Ocak</x:v>
      </x:c>
      <x:c r="AC2" s="343" t="n">
        <x:f>IFERROR(IF(OR('DASHBOARD'!$B$3="Tümü",'DASHBOARD'!$B$3=AB2),SUMIFS('VERİ'!$F$2:$F$2890,'VERİ'!$H$2:$H$2890,AB2,'VERİ'!$I$2:$I$2890,IF('DASHBOARD'!$E$3="Tümü","*",'DASHBOARD'!$E$3),'VERİ'!$B$2:$B$2890,IF('DASHBOARD'!$I$3="Tümü","*",'DASHBOARD'!$I$3),'VERİ'!$C$2:$C$2890,IF('DASHBOARD'!$L$3="Tümü","*",'DASHBOARD'!$L$3)),0),0)</x:f>
        <x:v>1274290</x:v>
      </x:c>
      <x:c r="AD2" s="343" t="n">
        <x:f>IFERROR(IF(OR('DASHBOARD'!$B$3="Tümü",'DASHBOARD'!$B$3=AB2),SUMIFS('VERİ'!$G$2:$G$2890,'VERİ'!$H$2:$H$2890,AB2,'VERİ'!$I$2:$I$2890,IF('DASHBOARD'!$E$3="Tümü","*",'DASHBOARD'!$E$3),'VERİ'!$B$2:$B$2890,IF('DASHBOARD'!$I$3="Tümü","*",'DASHBOARD'!$I$3),'VERİ'!$C$2:$C$2890,IF('DASHBOARD'!$L$3="Tümü","*",'DASHBOARD'!$L$3)),0),0)</x:f>
        <x:v>407090</x:v>
      </x:c>
      <x:c r="AF2" t="str">
        <x:f>IFERROR(INDEX($X$2:$X$14,ROW()-1),"")</x:f>
        <x:v>Ali Kandemir</x:v>
      </x:c>
      <x:c r="AG2" s="343" t="n">
        <x:f>IFERROR(IF(OR('DASHBOARD'!$I$3="Tümü",'DASHBOARD'!$I$3=AF2),SUMIFS('VERİ'!$F$2:$F$2890,'VERİ'!$B$2:$B$2890,AF2,'VERİ'!$H$2:$H$2890,IF('DASHBOARD'!$B$3="Tümü","*",'DASHBOARD'!$B$3),'VERİ'!$I$2:$I$2890,IF('DASHBOARD'!$E$3="Tümü","*",'DASHBOARD'!$E$3),'VERİ'!$C$2:$C$2890,IF('DASHBOARD'!$L$3="Tümü","*",'DASHBOARD'!$L$3)),0),0)</x:f>
        <x:v>2255130</x:v>
      </x:c>
      <x:c r="AI2" t="str">
        <x:f>IFERROR(INDEX($W$2:$W$14,ROW()-1),"")</x:f>
        <x:v>Adana</x:v>
      </x:c>
      <x:c r="AJ2" s="343" t="n">
        <x:f>IFERROR(IF(OR('DASHBOARD'!$E$3="Tümü",'DASHBOARD'!$E$3=AI2),SUMIFS('VERİ'!$G$2:$G$2890,'VERİ'!$I$2:$I$2890,AI2,'VERİ'!$H$2:$H$2890,IF('DASHBOARD'!$B$3="Tümü","*",'DASHBOARD'!$B$3),'VERİ'!$B$2:$B$2890,IF('DASHBOARD'!$I$3="Tümü","*",'DASHBOARD'!$I$3),'VERİ'!$C$2:$C$2890,IF('DASHBOARD'!$L$3="Tümü","*",'DASHBOARD'!$L$3)),0),0)</x:f>
        <x:v>808240</x:v>
      </x:c>
      <x:c r="AK2" s="343" t="n">
        <x:f>IFERROR(IF(OR('DASHBOARD'!$E$3="Tümü",'DASHBOARD'!$E$3=AI2),SUMIFS('VERİ'!$F$2:$F$2890,'VERİ'!$I$2:$I$2890,AI2,'VERİ'!$H$2:$H$2890,IF('DASHBOARD'!$B$3="Tümü","*",'DASHBOARD'!$B$3),'VERİ'!$B$2:$B$2890,IF('DASHBOARD'!$I$3="Tümü","*",'DASHBOARD'!$I$3),'VERİ'!$C$2:$C$2890,IF('DASHBOARD'!$L$3="Tümü","*",'DASHBOARD'!$L$3)),0),0)</x:f>
        <x:v>2777940</x:v>
      </x:c>
      <x:c r="AL2" t="str">
        <x:f>IFERROR(INDEX($Y$2:$Y$24,ROW()-1),"")</x:f>
        <x:v>Bulaşık Makinesi Beyaz</x:v>
      </x:c>
      <x:c r="AM2" s="154" t="n">
        <x:f>IFERROR(IF(OR('DASHBOARD'!$L$3="Tümü",'DASHBOARD'!$L$3=AL2),SUMIFS('VERİ'!$D$2:$D$2890,'VERİ'!$C$2:$C$2890,AL2,'VERİ'!$H$2:$H$2890,IF('DASHBOARD'!$B$3="Tümü","*",'DASHBOARD'!$B$3),'VERİ'!$I$2:$I$2890,IF('DASHBOARD'!$E$3="Tümü","*",'DASHBOARD'!$E$3),'VERİ'!$B$2:$B$2890,IF('DASHBOARD'!$I$3="Tümü","*",'DASHBOARD'!$I$3)),0),0)</x:f>
        <x:v>400</x:v>
      </x:c>
      <x:c r="AN2" s="343" t="n">
        <x:f>IFERROR(IF(OR('DASHBOARD'!$L$3="Tümü",'DASHBOARD'!$L$3=AL2),SUMIFS('VERİ'!$F$2:$F$2890,'VERİ'!$C$2:$C$2890,AL2,'VERİ'!$H$2:$H$2890,IF('DASHBOARD'!$B$3="Tümü","*",'DASHBOARD'!$B$3),'VERİ'!$I$2:$I$2890,IF('DASHBOARD'!$E$3="Tümü","*",'DASHBOARD'!$E$3),'VERİ'!$B$2:$B$2890,IF('DASHBOARD'!$I$3="Tümü","*",'DASHBOARD'!$I$3)),0),0)</x:f>
        <x:v>2400000</x:v>
      </x:c>
      <x:c r="AO2" s="343" t="n">
        <x:f>IFERROR(IF(OR('DASHBOARD'!$L$3="Tümü",'DASHBOARD'!$L$3=AL2),SUMIFS('VERİ'!$G$2:$G$2890,'VERİ'!$C$2:$C$2890,AL2,'VERİ'!$H$2:$H$2890,IF('DASHBOARD'!$B$3="Tümü","*",'DASHBOARD'!$B$3),'VERİ'!$I$2:$I$2890,IF('DASHBOARD'!$E$3="Tümü","*",'DASHBOARD'!$E$3),'VERİ'!$B$2:$B$2890,IF('DASHBOARD'!$I$3="Tümü","*",'DASHBOARD'!$I$3)),0),0)</x:f>
        <x:v>800000</x:v>
      </x:c>
      <x:c r="AP2" s="193" t="n">
        <x:f>IFERROR(AO2/AN2,0)</x:f>
        <x:v>0.3333333333333333</x:v>
      </x:c>
      <x:c r="AQ2" t="n">
        <x:f>IFERROR(IF(AM2=0,"",RANK.EQ(AM2,$AM$2:$AM$24,0)+COUNTIF($AM$2:AM2,AM2)-1),"")</x:f>
        <x:v>7</x:v>
      </x:c>
      <x:c r="AR2" t="str">
        <x:f>IFERROR(INDEX($W$2:$W$14,ROW()-1),"")</x:f>
        <x:v>Adana</x:v>
      </x:c>
      <x:c r="AS2" s="343" t="n">
        <x:f>IFERROR(IF(OR('DASHBOARD'!$E$3="Tümü",'DASHBOARD'!$E$3=AR2),SUMIFS('VERİ'!$F$2:$F$2890,'VERİ'!$I$2:$I$2890,AR2,'VERİ'!$H$2:$H$2890,IF('DASHBOARD'!$B$3="Tümü","*",'DASHBOARD'!$B$3),'VERİ'!$B$2:$B$2890,IF('DASHBOARD'!$I$3="Tümü","*",'DASHBOARD'!$I$3),'VERİ'!$C$2:$C$2890,IF('DASHBOARD'!$L$3="Tümü","*",'DASHBOARD'!$L$3)),0),0)</x:f>
        <x:v>2777940</x:v>
      </x:c>
      <x:c r="AT2" s="343" t="n">
        <x:f>IFERROR(IF(OR('DASHBOARD'!$E$3="Tümü",'DASHBOARD'!$E$3=AR2),SUMIFS('VERİ'!$G$2:$G$2890,'VERİ'!$I$2:$I$2890,AR2,'VERİ'!$H$2:$H$2890,IF('DASHBOARD'!$B$3="Tümü","*",'DASHBOARD'!$B$3),'VERİ'!$B$2:$B$2890,IF('DASHBOARD'!$I$3="Tümü","*",'DASHBOARD'!$I$3),'VERİ'!$C$2:$C$2890,IF('DASHBOARD'!$L$3="Tümü","*",'DASHBOARD'!$L$3)),0),0)</x:f>
        <x:v>808240</x:v>
      </x:c>
      <x:c r="AU2" s="193" t="n">
        <x:f>IFERROR(AT2/AS2,0)</x:f>
        <x:v>0.29094940855454043</x:v>
      </x:c>
      <x:c r="AV2" t="str">
        <x:f>IFERROR(INDEX($U$5:$U$17,MATCH(AR2,$L$5:$L$17,0)),"-")</x:f>
        <x:v>Yüksek</x:v>
      </x:c>
      <x:c r="AW2" t="n">
        <x:f>IFERROR(IF(AT2=0,"",RANK.EQ(AT2,$AT$2:$AT$14,0)+COUNTIF($AT$2:AT2,AT2)-1),"")</x:f>
        <x:v>1</x:v>
      </x:c>
    </x:row>
    <x:row r="3">
      <x:c r="A3" s="328" t="str">
        <x:v>Model Parametreleri</x:v>
      </x:c>
      <x:c r="B3" s="328"/>
      <x:c r="C3" s="327"/>
      <x:c r="D3" s="328" t="str">
        <x:v>Aylık KPI Özeti</x:v>
      </x:c>
      <x:c r="E3" s="328"/>
      <x:c r="F3" s="328"/>
      <x:c r="G3" s="328"/>
      <x:c r="H3" s="328"/>
      <x:c r="I3" s="328"/>
      <x:c r="J3" s="328"/>
      <x:c r="K3" s="327"/>
      <x:c r="L3" s="329" t="str">
        <x:v>Şehir Performansı &amp; Konsantrasyon</x:v>
      </x:c>
      <x:c r="M3" s="329"/>
      <x:c r="N3" s="329"/>
      <x:c r="O3" s="329"/>
      <x:c r="P3" s="329"/>
      <x:c r="Q3" s="329"/>
      <x:c r="R3" s="329"/>
      <x:c r="S3" s="329"/>
      <x:c r="T3" s="329"/>
      <x:c r="U3" s="329"/>
      <x:c r="V3" s="326" t="str">
        <x:v>Şubat</x:v>
      </x:c>
      <x:c r="W3" s="326" t="str">
        <x:v>Ankara</x:v>
      </x:c>
      <x:c r="X3" s="326" t="str">
        <x:v>Bedriye Vural</x:v>
      </x:c>
      <x:c r="Y3" s="326" t="str">
        <x:v>Bulaşık Makinesi Gri</x:v>
      </x:c>
      <x:c r="Z3" s="326" t="str">
        <x:v>Şubat</x:v>
      </x:c>
      <x:c r="AB3" t="str">
        <x:f>IFERROR(INDEX($V$2:$V$13,ROW()-1),"")</x:f>
        <x:v>Şubat</x:v>
      </x:c>
      <x:c r="AC3" s="343" t="n">
        <x:f>IFERROR(IF(OR('DASHBOARD'!$B$3="Tümü",'DASHBOARD'!$B$3=AB3),SUMIFS('VERİ'!$F$2:$F$2890,'VERİ'!$H$2:$H$2890,AB3,'VERİ'!$I$2:$I$2890,IF('DASHBOARD'!$E$3="Tümü","*",'DASHBOARD'!$E$3),'VERİ'!$B$2:$B$2890,IF('DASHBOARD'!$I$3="Tümü","*",'DASHBOARD'!$I$3),'VERİ'!$C$2:$C$2890,IF('DASHBOARD'!$L$3="Tümü","*",'DASHBOARD'!$L$3)),0),0)</x:f>
        <x:v>1582010</x:v>
      </x:c>
      <x:c r="AD3" s="343" t="n">
        <x:f>IFERROR(IF(OR('DASHBOARD'!$B$3="Tümü",'DASHBOARD'!$B$3=AB3),SUMIFS('VERİ'!$G$2:$G$2890,'VERİ'!$H$2:$H$2890,AB3,'VERİ'!$I$2:$I$2890,IF('DASHBOARD'!$E$3="Tümü","*",'DASHBOARD'!$E$3),'VERİ'!$B$2:$B$2890,IF('DASHBOARD'!$I$3="Tümü","*",'DASHBOARD'!$I$3),'VERİ'!$C$2:$C$2890,IF('DASHBOARD'!$L$3="Tümü","*",'DASHBOARD'!$L$3)),0),0)</x:f>
        <x:v>490410</x:v>
      </x:c>
      <x:c r="AF3" t="str">
        <x:f>IFERROR(INDEX($X$2:$X$14,ROW()-1),"")</x:f>
        <x:v>Bedriye Vural</x:v>
      </x:c>
      <x:c r="AG3" s="343" t="n">
        <x:f>IFERROR(IF(OR('DASHBOARD'!$I$3="Tümü",'DASHBOARD'!$I$3=AF3),SUMIFS('VERİ'!$F$2:$F$2890,'VERİ'!$B$2:$B$2890,AF3,'VERİ'!$H$2:$H$2890,IF('DASHBOARD'!$B$3="Tümü","*",'DASHBOARD'!$B$3),'VERİ'!$I$2:$I$2890,IF('DASHBOARD'!$E$3="Tümü","*",'DASHBOARD'!$E$3),'VERİ'!$C$2:$C$2890,IF('DASHBOARD'!$L$3="Tümü","*",'DASHBOARD'!$L$3)),0),0)</x:f>
        <x:v>3166730</x:v>
      </x:c>
      <x:c r="AI3" t="str">
        <x:f>IFERROR(INDEX($W$2:$W$14,ROW()-1),"")</x:f>
        <x:v>Ankara</x:v>
      </x:c>
      <x:c r="AJ3" s="343" t="n">
        <x:f>IFERROR(IF(OR('DASHBOARD'!$E$3="Tümü",'DASHBOARD'!$E$3=AI3),SUMIFS('VERİ'!$G$2:$G$2890,'VERİ'!$I$2:$I$2890,AI3,'VERİ'!$H$2:$H$2890,IF('DASHBOARD'!$B$3="Tümü","*",'DASHBOARD'!$B$3),'VERİ'!$B$2:$B$2890,IF('DASHBOARD'!$I$3="Tümü","*",'DASHBOARD'!$I$3),'VERİ'!$C$2:$C$2890,IF('DASHBOARD'!$L$3="Tümü","*",'DASHBOARD'!$L$3)),0),0)</x:f>
        <x:v>686145</x:v>
      </x:c>
      <x:c r="AK3" s="343" t="n">
        <x:f>IFERROR(IF(OR('DASHBOARD'!$E$3="Tümü",'DASHBOARD'!$E$3=AI3),SUMIFS('VERİ'!$F$2:$F$2890,'VERİ'!$I$2:$I$2890,AI3,'VERİ'!$H$2:$H$2890,IF('DASHBOARD'!$B$3="Tümü","*",'DASHBOARD'!$B$3),'VERİ'!$B$2:$B$2890,IF('DASHBOARD'!$I$3="Tümü","*",'DASHBOARD'!$I$3),'VERİ'!$C$2:$C$2890,IF('DASHBOARD'!$L$3="Tümü","*",'DASHBOARD'!$L$3)),0),0)</x:f>
        <x:v>2216245</x:v>
      </x:c>
      <x:c r="AL3" t="str">
        <x:f>IFERROR(INDEX($Y$2:$Y$24,ROW()-1),"")</x:f>
        <x:v>Bulaşık Makinesi Gri</x:v>
      </x:c>
      <x:c r="AM3" s="154" t="n">
        <x:f>IFERROR(IF(OR('DASHBOARD'!$L$3="Tümü",'DASHBOARD'!$L$3=AL3),SUMIFS('VERİ'!$D$2:$D$2890,'VERİ'!$C$2:$C$2890,AL3,'VERİ'!$H$2:$H$2890,IF('DASHBOARD'!$B$3="Tümü","*",'DASHBOARD'!$B$3),'VERİ'!$I$2:$I$2890,IF('DASHBOARD'!$E$3="Tümü","*",'DASHBOARD'!$E$3),'VERİ'!$B$2:$B$2890,IF('DASHBOARD'!$I$3="Tümü","*",'DASHBOARD'!$I$3)),0),0)</x:f>
        <x:v>232</x:v>
      </x:c>
      <x:c r="AN3" s="343" t="n">
        <x:f>IFERROR(IF(OR('DASHBOARD'!$L$3="Tümü",'DASHBOARD'!$L$3=AL3),SUMIFS('VERİ'!$F$2:$F$2890,'VERİ'!$C$2:$C$2890,AL3,'VERİ'!$H$2:$H$2890,IF('DASHBOARD'!$B$3="Tümü","*",'DASHBOARD'!$B$3),'VERİ'!$I$2:$I$2890,IF('DASHBOARD'!$E$3="Tümü","*",'DASHBOARD'!$E$3),'VERİ'!$B$2:$B$2890,IF('DASHBOARD'!$I$3="Tümü","*",'DASHBOARD'!$I$3)),0),0)</x:f>
        <x:v>1229600</x:v>
      </x:c>
      <x:c r="AO3" s="343" t="n">
        <x:f>IFERROR(IF(OR('DASHBOARD'!$L$3="Tümü",'DASHBOARD'!$L$3=AL3),SUMIFS('VERİ'!$G$2:$G$2890,'VERİ'!$C$2:$C$2890,AL3,'VERİ'!$H$2:$H$2890,IF('DASHBOARD'!$B$3="Tümü","*",'DASHBOARD'!$B$3),'VERİ'!$I$2:$I$2890,IF('DASHBOARD'!$E$3="Tümü","*",'DASHBOARD'!$E$3),'VERİ'!$B$2:$B$2890,IF('DASHBOARD'!$I$3="Tümü","*",'DASHBOARD'!$I$3)),0),0)</x:f>
        <x:v>301600</x:v>
      </x:c>
      <x:c r="AP3" s="193" t="n">
        <x:f>IFERROR(AO3/AN3,0)</x:f>
        <x:v>0.24528301886792453</x:v>
      </x:c>
      <x:c r="AQ3" t="n">
        <x:f>IFERROR(IF(AM3=0,"",RANK.EQ(AM3,$AM$2:$AM$24,0)+COUNTIF($AM$2:AM3,AM3)-1),"")</x:f>
        <x:v>19</x:v>
      </x:c>
      <x:c r="AR3" t="str">
        <x:f>IFERROR(INDEX($W$2:$W$14,ROW()-1),"")</x:f>
        <x:v>Ankara</x:v>
      </x:c>
      <x:c r="AS3" s="343" t="n">
        <x:f>IFERROR(IF(OR('DASHBOARD'!$E$3="Tümü",'DASHBOARD'!$E$3=AR3),SUMIFS('VERİ'!$F$2:$F$2890,'VERİ'!$I$2:$I$2890,AR3,'VERİ'!$H$2:$H$2890,IF('DASHBOARD'!$B$3="Tümü","*",'DASHBOARD'!$B$3),'VERİ'!$B$2:$B$2890,IF('DASHBOARD'!$I$3="Tümü","*",'DASHBOARD'!$I$3),'VERİ'!$C$2:$C$2890,IF('DASHBOARD'!$L$3="Tümü","*",'DASHBOARD'!$L$3)),0),0)</x:f>
        <x:v>2216245</x:v>
      </x:c>
      <x:c r="AT3" s="343" t="n">
        <x:f>IFERROR(IF(OR('DASHBOARD'!$E$3="Tümü",'DASHBOARD'!$E$3=AR3),SUMIFS('VERİ'!$G$2:$G$2890,'VERİ'!$I$2:$I$2890,AR3,'VERİ'!$H$2:$H$2890,IF('DASHBOARD'!$B$3="Tümü","*",'DASHBOARD'!$B$3),'VERİ'!$B$2:$B$2890,IF('DASHBOARD'!$I$3="Tümü","*",'DASHBOARD'!$I$3),'VERİ'!$C$2:$C$2890,IF('DASHBOARD'!$L$3="Tümü","*",'DASHBOARD'!$L$3)),0),0)</x:f>
        <x:v>686145</x:v>
      </x:c>
      <x:c r="AU3" s="193" t="n">
        <x:f>IFERROR(AT3/AS3,0)</x:f>
        <x:v>0.30959799119682163</x:v>
      </x:c>
      <x:c r="AV3" t="str">
        <x:f>IFERROR(INDEX($U$5:$U$17,MATCH(AR3,$L$5:$L$17,0)),"-")</x:f>
        <x:v>Düşük</x:v>
      </x:c>
      <x:c r="AW3" t="n">
        <x:f>IFERROR(IF(AT3=0,"",RANK.EQ(AT3,$AT$2:$AT$14,0)+COUNTIF($AT$2:AT3,AT3)-1),"")</x:f>
        <x:v>9</x:v>
      </x:c>
    </x:row>
    <x:row r="4">
      <x:c r="A4" s="330" t="str">
        <x:v>Risk Son Dönem</x:v>
      </x:c>
      <x:c r="B4" s="330" t="str">
        <x:f>IFERROR('DASHBOARD (2)'!$B$3,"Aralık")</x:f>
        <x:v>Aralık</x:v>
      </x:c>
      <x:c r="C4" s="327"/>
      <x:c r="D4" s="261" t="str">
        <x:v>Ay</x:v>
      </x:c>
      <x:c r="E4" s="261" t="str">
        <x:v>Ciro</x:v>
      </x:c>
      <x:c r="F4" s="261" t="str">
        <x:v>Kâr</x:v>
      </x:c>
      <x:c r="G4" s="261" t="str">
        <x:v>Kâr Marjı</x:v>
      </x:c>
      <x:c r="H4" s="261" t="str">
        <x:v>Sipariş</x:v>
      </x:c>
      <x:c r="I4" s="261" t="str">
        <x:v>Satış Adedi</x:v>
      </x:c>
      <x:c r="J4" s="261" t="str">
        <x:v>Önceki Aya Göre Ciro</x:v>
      </x:c>
      <x:c r="K4" s="327"/>
      <x:c r="L4" s="192" t="str">
        <x:v>Şehir</x:v>
      </x:c>
      <x:c r="M4" s="192" t="str">
        <x:v>Ciro</x:v>
      </x:c>
      <x:c r="N4" s="192" t="str">
        <x:v>Kâr</x:v>
      </x:c>
      <x:c r="O4" s="192" t="str">
        <x:v>Kâr Marjı</x:v>
      </x:c>
      <x:c r="P4" s="192" t="str">
        <x:v>Konsantrasyon</x:v>
      </x:c>
      <x:c r="Q4" s="192" t="str">
        <x:v>Satış Adedi</x:v>
      </x:c>
      <x:c r="R4" s="192" t="str">
        <x:v>Sipariş</x:v>
      </x:c>
      <x:c r="S4" s="192" t="str">
        <x:v>Ort. Sipariş</x:v>
      </x:c>
      <x:c r="T4" s="192" t="str">
        <x:v>Risk Skoru</x:v>
      </x:c>
      <x:c r="U4" s="192" t="str">
        <x:v>Risk</x:v>
      </x:c>
      <x:c r="V4" s="326" t="str">
        <x:v>Mart</x:v>
      </x:c>
      <x:c r="W4" s="326" t="str">
        <x:v>Antalya</x:v>
      </x:c>
      <x:c r="X4" s="326" t="str">
        <x:v>Bilinmeyen Personel</x:v>
      </x:c>
      <x:c r="Y4" s="326" t="str">
        <x:v>Buzdolabı Dört Kapılı Gri</x:v>
      </x:c>
      <x:c r="Z4" s="326" t="str">
        <x:v>Mart</x:v>
      </x:c>
      <x:c r="AB4" t="str">
        <x:f>IFERROR(INDEX($V$2:$V$13,ROW()-1),"")</x:f>
        <x:v>Mart</x:v>
      </x:c>
      <x:c r="AC4" s="343" t="n">
        <x:f>IFERROR(IF(OR('DASHBOARD'!$B$3="Tümü",'DASHBOARD'!$B$3=AB4),SUMIFS('VERİ'!$F$2:$F$2890,'VERİ'!$H$2:$H$2890,AB4,'VERİ'!$I$2:$I$2890,IF('DASHBOARD'!$E$3="Tümü","*",'DASHBOARD'!$E$3),'VERİ'!$B$2:$B$2890,IF('DASHBOARD'!$I$3="Tümü","*",'DASHBOARD'!$I$3),'VERİ'!$C$2:$C$2890,IF('DASHBOARD'!$L$3="Tümü","*",'DASHBOARD'!$L$3)),0),0)</x:f>
        <x:v>668410</x:v>
      </x:c>
      <x:c r="AD4" s="343" t="n">
        <x:f>IFERROR(IF(OR('DASHBOARD'!$B$3="Tümü",'DASHBOARD'!$B$3=AB4),SUMIFS('VERİ'!$G$2:$G$2890,'VERİ'!$H$2:$H$2890,AB4,'VERİ'!$I$2:$I$2890,IF('DASHBOARD'!$E$3="Tümü","*",'DASHBOARD'!$E$3),'VERİ'!$B$2:$B$2890,IF('DASHBOARD'!$I$3="Tümü","*",'DASHBOARD'!$I$3),'VERİ'!$C$2:$C$2890,IF('DASHBOARD'!$L$3="Tümü","*",'DASHBOARD'!$L$3)),0),0)</x:f>
        <x:v>190510</x:v>
      </x:c>
      <x:c r="AF4" t="str">
        <x:f>IFERROR(INDEX($X$2:$X$14,ROW()-1),"")</x:f>
        <x:v>Bilinmeyen Personel</x:v>
      </x:c>
      <x:c r="AG4" s="343" t="n">
        <x:f>IFERROR(IF(OR('DASHBOARD'!$I$3="Tümü",'DASHBOARD'!$I$3=AF4),SUMIFS('VERİ'!$F$2:$F$2890,'VERİ'!$B$2:$B$2890,AF4,'VERİ'!$H$2:$H$2890,IF('DASHBOARD'!$B$3="Tümü","*",'DASHBOARD'!$B$3),'VERİ'!$I$2:$I$2890,IF('DASHBOARD'!$E$3="Tümü","*",'DASHBOARD'!$E$3),'VERİ'!$C$2:$C$2890,IF('DASHBOARD'!$L$3="Tümü","*",'DASHBOARD'!$L$3)),0),0)</x:f>
        <x:v>8000</x:v>
      </x:c>
      <x:c r="AI4" t="str">
        <x:f>IFERROR(INDEX($W$2:$W$14,ROW()-1),"")</x:f>
        <x:v>Antalya</x:v>
      </x:c>
      <x:c r="AJ4" s="343" t="n">
        <x:f>IFERROR(IF(OR('DASHBOARD'!$E$3="Tümü",'DASHBOARD'!$E$3=AI4),SUMIFS('VERİ'!$G$2:$G$2890,'VERİ'!$I$2:$I$2890,AI4,'VERİ'!$H$2:$H$2890,IF('DASHBOARD'!$B$3="Tümü","*",'DASHBOARD'!$B$3),'VERİ'!$B$2:$B$2890,IF('DASHBOARD'!$I$3="Tümü","*",'DASHBOARD'!$I$3),'VERİ'!$C$2:$C$2890,IF('DASHBOARD'!$L$3="Tümü","*",'DASHBOARD'!$L$3)),0),0)</x:f>
        <x:v>760790</x:v>
      </x:c>
      <x:c r="AK4" s="343" t="n">
        <x:f>IFERROR(IF(OR('DASHBOARD'!$E$3="Tümü",'DASHBOARD'!$E$3=AI4),SUMIFS('VERİ'!$F$2:$F$2890,'VERİ'!$I$2:$I$2890,AI4,'VERİ'!$H$2:$H$2890,IF('DASHBOARD'!$B$3="Tümü","*",'DASHBOARD'!$B$3),'VERİ'!$B$2:$B$2890,IF('DASHBOARD'!$I$3="Tümü","*",'DASHBOARD'!$I$3),'VERİ'!$C$2:$C$2890,IF('DASHBOARD'!$L$3="Tümü","*",'DASHBOARD'!$L$3)),0),0)</x:f>
        <x:v>2534590</x:v>
      </x:c>
      <x:c r="AL4" t="str">
        <x:f>IFERROR(INDEX($Y$2:$Y$24,ROW()-1),"")</x:f>
        <x:v>Buzdolabı Dört Kapılı Gri</x:v>
      </x:c>
      <x:c r="AM4" s="154" t="n">
        <x:f>IFERROR(IF(OR('DASHBOARD'!$L$3="Tümü",'DASHBOARD'!$L$3=AL4),SUMIFS('VERİ'!$D$2:$D$2890,'VERİ'!$C$2:$C$2890,AL4,'VERİ'!$H$2:$H$2890,IF('DASHBOARD'!$B$3="Tümü","*",'DASHBOARD'!$B$3),'VERİ'!$I$2:$I$2890,IF('DASHBOARD'!$E$3="Tümü","*",'DASHBOARD'!$E$3),'VERİ'!$B$2:$B$2890,IF('DASHBOARD'!$I$3="Tümü","*",'DASHBOARD'!$I$3)),0),0)</x:f>
        <x:v>269</x:v>
      </x:c>
      <x:c r="AN4" s="343" t="n">
        <x:f>IFERROR(IF(OR('DASHBOARD'!$L$3="Tümü",'DASHBOARD'!$L$3=AL4),SUMIFS('VERİ'!$F$2:$F$2890,'VERİ'!$C$2:$C$2890,AL4,'VERİ'!$H$2:$H$2890,IF('DASHBOARD'!$B$3="Tümü","*",'DASHBOARD'!$B$3),'VERİ'!$I$2:$I$2890,IF('DASHBOARD'!$E$3="Tümü","*",'DASHBOARD'!$E$3),'VERİ'!$B$2:$B$2890,IF('DASHBOARD'!$I$3="Tümü","*",'DASHBOARD'!$I$3)),0),0)</x:f>
        <x:v>2840300</x:v>
      </x:c>
      <x:c r="AO4" s="343" t="n">
        <x:f>IFERROR(IF(OR('DASHBOARD'!$L$3="Tümü",'DASHBOARD'!$L$3=AL4),SUMIFS('VERİ'!$G$2:$G$2890,'VERİ'!$C$2:$C$2890,AL4,'VERİ'!$H$2:$H$2890,IF('DASHBOARD'!$B$3="Tümü","*",'DASHBOARD'!$B$3),'VERİ'!$I$2:$I$2890,IF('DASHBOARD'!$E$3="Tümü","*",'DASHBOARD'!$E$3),'VERİ'!$B$2:$B$2890,IF('DASHBOARD'!$I$3="Tümü","*",'DASHBOARD'!$I$3)),0),0)</x:f>
        <x:v>1230800</x:v>
      </x:c>
      <x:c r="AP4" s="193" t="n">
        <x:f>IFERROR(AO4/AN4,0)</x:f>
        <x:v>0.4333345069182833</x:v>
      </x:c>
      <x:c r="AQ4" t="n">
        <x:f>IFERROR(IF(AM4=0,"",RANK.EQ(AM4,$AM$2:$AM$24,0)+COUNTIF($AM$2:AM4,AM4)-1),"")</x:f>
        <x:v>16</x:v>
      </x:c>
      <x:c r="AR4" t="str">
        <x:f>IFERROR(INDEX($W$2:$W$14,ROW()-1),"")</x:f>
        <x:v>Antalya</x:v>
      </x:c>
      <x:c r="AS4" s="343" t="n">
        <x:f>IFERROR(IF(OR('DASHBOARD'!$E$3="Tümü",'DASHBOARD'!$E$3=AR4),SUMIFS('VERİ'!$F$2:$F$2890,'VERİ'!$I$2:$I$2890,AR4,'VERİ'!$H$2:$H$2890,IF('DASHBOARD'!$B$3="Tümü","*",'DASHBOARD'!$B$3),'VERİ'!$B$2:$B$2890,IF('DASHBOARD'!$I$3="Tümü","*",'DASHBOARD'!$I$3),'VERİ'!$C$2:$C$2890,IF('DASHBOARD'!$L$3="Tümü","*",'DASHBOARD'!$L$3)),0),0)</x:f>
        <x:v>2534590</x:v>
      </x:c>
      <x:c r="AT4" s="343" t="n">
        <x:f>IFERROR(IF(OR('DASHBOARD'!$E$3="Tümü",'DASHBOARD'!$E$3=AR4),SUMIFS('VERİ'!$G$2:$G$2890,'VERİ'!$I$2:$I$2890,AR4,'VERİ'!$H$2:$H$2890,IF('DASHBOARD'!$B$3="Tümü","*",'DASHBOARD'!$B$3),'VERİ'!$B$2:$B$2890,IF('DASHBOARD'!$I$3="Tümü","*",'DASHBOARD'!$I$3),'VERİ'!$C$2:$C$2890,IF('DASHBOARD'!$L$3="Tümü","*",'DASHBOARD'!$L$3)),0),0)</x:f>
        <x:v>760790</x:v>
      </x:c>
      <x:c r="AU4" s="193" t="n">
        <x:f>IFERROR(AT4/AS4,0)</x:f>
        <x:v>0.3001629454862522</x:v>
      </x:c>
      <x:c r="AV4" t="str">
        <x:f>IFERROR(INDEX($U$5:$U$17,MATCH(AR4,$L$5:$L$17,0)),"-")</x:f>
        <x:v>Yüksek</x:v>
      </x:c>
      <x:c r="AW4" t="n">
        <x:f>IFERROR(IF(AT4=0,"",RANK.EQ(AT4,$AT$2:$AT$14,0)+COUNTIF($AT$2:AT4,AT4)-1),"")</x:f>
        <x:v>3</x:v>
      </x:c>
    </x:row>
    <x:row r="5">
      <x:c r="A5" s="330" t="str">
        <x:v>Risk Önceki Dönem</x:v>
      </x:c>
      <x:c r="B5" s="330" t="str">
        <x:f>IFERROR('DASHBOARD (2)'!$E$3,"Kasım")</x:f>
        <x:v>Kasım</x:v>
      </x:c>
      <x:c r="C5" s="327"/>
      <x:c r="D5" s="330" t="str">
        <x:v>Ocak</x:v>
      </x:c>
      <x:c r="E5" s="322" t="n">
        <x:f>SUMIF('VERİ'!$H$2:$H$2890,D5,'VERİ'!$F$2:$F$2890)</x:f>
        <x:v>1274290</x:v>
      </x:c>
      <x:c r="F5" s="322" t="n">
        <x:f>SUMIF('VERİ'!$H$2:$H$2890,D5,'VERİ'!$G$2:$G$2890)</x:f>
        <x:v>407090</x:v>
      </x:c>
      <x:c r="G5" s="323" t="n">
        <x:f>IFERROR(F5/E5,0)</x:f>
        <x:v>0.31946417220569884</x:v>
      </x:c>
      <x:c r="H5" s="324" t="n">
        <x:f>COUNTIF('VERİ'!$H$2:$H$2890,D5)</x:f>
        <x:v>127</x:v>
      </x:c>
      <x:c r="I5" s="324" t="n">
        <x:f>SUMIF('VERİ'!$H$2:$H$2890,D5,'VERİ'!$D$2:$D$2890)</x:f>
        <x:v>304</x:v>
      </x:c>
      <x:c r="J5" s="323" t="str">
        <x:v>—</x:v>
      </x:c>
      <x:c r="K5" s="327"/>
      <x:c r="L5" s="332" t="str">
        <x:v>Adana</x:v>
      </x:c>
      <x:c r="M5" s="337" t="n">
        <x:f>SUMIF('VERİ'!$I$2:$I$2890,L5,'VERİ'!$F$2:$F$2890)</x:f>
        <x:v>2777940</x:v>
      </x:c>
      <x:c r="N5" s="337" t="n">
        <x:f>SUMIF('VERİ'!$I$2:$I$2890,L5,'VERİ'!$G$2:$G$2890)</x:f>
        <x:v>808240</x:v>
      </x:c>
      <x:c r="O5" s="334" t="n">
        <x:f>IFERROR(N5/M5,0)</x:f>
        <x:v>0.29094940855454043</x:v>
      </x:c>
      <x:c r="P5" s="334" t="n">
        <x:f>IFERROR(M5/SUM('VERİ'!$F$2:$F$2890),0)</x:f>
        <x:v>0.09127687374226673</x:v>
      </x:c>
      <x:c r="Q5" s="341" t="n">
        <x:f>SUMIF('VERİ'!$I$2:$I$2890,L5,'VERİ'!$D$2:$D$2890)</x:f>
        <x:v>655</x:v>
      </x:c>
      <x:c r="R5" s="341" t="n">
        <x:f>COUNTIF('VERİ'!$I$2:$I$2890,L5)</x:f>
        <x:v>235</x:v>
      </x:c>
      <x:c r="S5" s="342" t="n">
        <x:f>IFERROR(M5/R5,0)</x:f>
        <x:v>11821.021276595744</x:v>
      </x:c>
      <x:c r="T5" s="332" t="n">
        <x:f>MIN(10,1+IF(O5&lt;$B$9,4,0)+IF(M5&gt;$B$11,2,0)+IF(P5&gt;$B$10,2,0))</x:f>
        <x:v>5</x:v>
      </x:c>
      <x:c r="U5" s="332" t="str">
        <x:f>IFERROR(IF(T5&gt;='DASHBOARD (2)'!$I$3,"Yüksek",IF(T5&gt;=2,"Orta","Düşük")),"-")</x:f>
        <x:v>Yüksek</x:v>
      </x:c>
      <x:c r="V5" s="326" t="str">
        <x:v>Nisan</x:v>
      </x:c>
      <x:c r="W5" s="326" t="str">
        <x:v>Bursa</x:v>
      </x:c>
      <x:c r="X5" s="326" t="str">
        <x:v>Ferdi Dede</x:v>
      </x:c>
      <x:c r="Y5" s="326" t="str">
        <x:v>Buzdolabı İki Kapaklı Beyaz</x:v>
      </x:c>
      <x:c r="Z5" s="326" t="str">
        <x:v>Nisan</x:v>
      </x:c>
      <x:c r="AB5" t="str">
        <x:f>IFERROR(INDEX($V$2:$V$13,ROW()-1),"")</x:f>
        <x:v>Nisan</x:v>
      </x:c>
      <x:c r="AC5" s="343" t="n">
        <x:f>IFERROR(IF(OR('DASHBOARD'!$B$3="Tümü",'DASHBOARD'!$B$3=AB5),SUMIFS('VERİ'!$F$2:$F$2890,'VERİ'!$H$2:$H$2890,AB5,'VERİ'!$I$2:$I$2890,IF('DASHBOARD'!$E$3="Tümü","*",'DASHBOARD'!$E$3),'VERİ'!$B$2:$B$2890,IF('DASHBOARD'!$I$3="Tümü","*",'DASHBOARD'!$I$3),'VERİ'!$C$2:$C$2890,IF('DASHBOARD'!$L$3="Tümü","*",'DASHBOARD'!$L$3)),0),0)</x:f>
        <x:v>2405475</x:v>
      </x:c>
      <x:c r="AD5" s="343" t="n">
        <x:f>IFERROR(IF(OR('DASHBOARD'!$B$3="Tümü",'DASHBOARD'!$B$3=AB5),SUMIFS('VERİ'!$G$2:$G$2890,'VERİ'!$H$2:$H$2890,AB5,'VERİ'!$I$2:$I$2890,IF('DASHBOARD'!$E$3="Tümü","*",'DASHBOARD'!$E$3),'VERİ'!$B$2:$B$2890,IF('DASHBOARD'!$I$3="Tümü","*",'DASHBOARD'!$I$3),'VERİ'!$C$2:$C$2890,IF('DASHBOARD'!$L$3="Tümü","*",'DASHBOARD'!$L$3)),0),0)</x:f>
        <x:v>742775</x:v>
      </x:c>
      <x:c r="AF5" t="str">
        <x:f>IFERROR(INDEX($X$2:$X$14,ROW()-1),"")</x:f>
        <x:v>Ferdi Dede</x:v>
      </x:c>
      <x:c r="AG5" s="343" t="n">
        <x:f>IFERROR(IF(OR('DASHBOARD'!$I$3="Tümü",'DASHBOARD'!$I$3=AF5),SUMIFS('VERİ'!$F$2:$F$2890,'VERİ'!$B$2:$B$2890,AF5,'VERİ'!$H$2:$H$2890,IF('DASHBOARD'!$B$3="Tümü","*",'DASHBOARD'!$B$3),'VERİ'!$I$2:$I$2890,IF('DASHBOARD'!$E$3="Tümü","*",'DASHBOARD'!$E$3),'VERİ'!$C$2:$C$2890,IF('DASHBOARD'!$L$3="Tümü","*",'DASHBOARD'!$L$3)),0),0)</x:f>
        <x:v>1903115</x:v>
      </x:c>
      <x:c r="AI5" t="str">
        <x:f>IFERROR(INDEX($W$2:$W$14,ROW()-1),"")</x:f>
        <x:v>Bursa</x:v>
      </x:c>
      <x:c r="AJ5" s="343" t="n">
        <x:f>IFERROR(IF(OR('DASHBOARD'!$E$3="Tümü",'DASHBOARD'!$E$3=AI5),SUMIFS('VERİ'!$G$2:$G$2890,'VERİ'!$I$2:$I$2890,AI5,'VERİ'!$H$2:$H$2890,IF('DASHBOARD'!$B$3="Tümü","*",'DASHBOARD'!$B$3),'VERİ'!$B$2:$B$2890,IF('DASHBOARD'!$I$3="Tümü","*",'DASHBOARD'!$I$3),'VERİ'!$C$2:$C$2890,IF('DASHBOARD'!$L$3="Tümü","*",'DASHBOARD'!$L$3)),0),0)</x:f>
        <x:v>756385</x:v>
      </x:c>
      <x:c r="AK5" s="343" t="n">
        <x:f>IFERROR(IF(OR('DASHBOARD'!$E$3="Tümü",'DASHBOARD'!$E$3=AI5),SUMIFS('VERİ'!$F$2:$F$2890,'VERİ'!$I$2:$I$2890,AI5,'VERİ'!$H$2:$H$2890,IF('DASHBOARD'!$B$3="Tümü","*",'DASHBOARD'!$B$3),'VERİ'!$B$2:$B$2890,IF('DASHBOARD'!$I$3="Tümü","*",'DASHBOARD'!$I$3),'VERİ'!$C$2:$C$2890,IF('DASHBOARD'!$L$3="Tümü","*",'DASHBOARD'!$L$3)),0),0)</x:f>
        <x:v>2450585</x:v>
      </x:c>
      <x:c r="AL5" t="str">
        <x:f>IFERROR(INDEX($Y$2:$Y$24,ROW()-1),"")</x:f>
        <x:v>Buzdolabı İki Kapaklı Beyaz</x:v>
      </x:c>
      <x:c r="AM5" s="154" t="n">
        <x:f>IFERROR(IF(OR('DASHBOARD'!$L$3="Tümü",'DASHBOARD'!$L$3=AL5),SUMIFS('VERİ'!$D$2:$D$2890,'VERİ'!$C$2:$C$2890,AL5,'VERİ'!$H$2:$H$2890,IF('DASHBOARD'!$B$3="Tümü","*",'DASHBOARD'!$B$3),'VERİ'!$I$2:$I$2890,IF('DASHBOARD'!$E$3="Tümü","*",'DASHBOARD'!$E$3),'VERİ'!$B$2:$B$2890,IF('DASHBOARD'!$I$3="Tümü","*",'DASHBOARD'!$I$3)),0),0)</x:f>
        <x:v>233</x:v>
      </x:c>
      <x:c r="AN5" s="343" t="n">
        <x:f>IFERROR(IF(OR('DASHBOARD'!$L$3="Tümü",'DASHBOARD'!$L$3=AL5),SUMIFS('VERİ'!$F$2:$F$2890,'VERİ'!$C$2:$C$2890,AL5,'VERİ'!$H$2:$H$2890,IF('DASHBOARD'!$B$3="Tümü","*",'DASHBOARD'!$B$3),'VERİ'!$I$2:$I$2890,IF('DASHBOARD'!$E$3="Tümü","*",'DASHBOARD'!$E$3),'VERİ'!$B$2:$B$2890,IF('DASHBOARD'!$I$3="Tümü","*",'DASHBOARD'!$I$3)),0),0)</x:f>
        <x:v>1968850</x:v>
      </x:c>
      <x:c r="AO5" s="343" t="n">
        <x:f>IFERROR(IF(OR('DASHBOARD'!$L$3="Tümü",'DASHBOARD'!$L$3=AL5),SUMIFS('VERİ'!$G$2:$G$2890,'VERİ'!$C$2:$C$2890,AL5,'VERİ'!$H$2:$H$2890,IF('DASHBOARD'!$B$3="Tümü","*",'DASHBOARD'!$B$3),'VERİ'!$I$2:$I$2890,IF('DASHBOARD'!$E$3="Tümü","*",'DASHBOARD'!$E$3),'VERİ'!$B$2:$B$2890,IF('DASHBOARD'!$I$3="Tümü","*",'DASHBOARD'!$I$3)),0),0)</x:f>
        <x:v>570850</x:v>
      </x:c>
      <x:c r="AP5" s="193" t="n">
        <x:f>IFERROR(AO5/AN5,0)</x:f>
        <x:v>0.28994082840236685</x:v>
      </x:c>
      <x:c r="AQ5" t="n">
        <x:f>IFERROR(IF(AM5=0,"",RANK.EQ(AM5,$AM$2:$AM$24,0)+COUNTIF($AM$2:AM5,AM5)-1),"")</x:f>
        <x:v>18</x:v>
      </x:c>
      <x:c r="AR5" t="str">
        <x:f>IFERROR(INDEX($W$2:$W$14,ROW()-1),"")</x:f>
        <x:v>Bursa</x:v>
      </x:c>
      <x:c r="AS5" s="343" t="n">
        <x:f>IFERROR(IF(OR('DASHBOARD'!$E$3="Tümü",'DASHBOARD'!$E$3=AR5),SUMIFS('VERİ'!$F$2:$F$2890,'VERİ'!$I$2:$I$2890,AR5,'VERİ'!$H$2:$H$2890,IF('DASHBOARD'!$B$3="Tümü","*",'DASHBOARD'!$B$3),'VERİ'!$B$2:$B$2890,IF('DASHBOARD'!$I$3="Tümü","*",'DASHBOARD'!$I$3),'VERİ'!$C$2:$C$2890,IF('DASHBOARD'!$L$3="Tümü","*",'DASHBOARD'!$L$3)),0),0)</x:f>
        <x:v>2450585</x:v>
      </x:c>
      <x:c r="AT5" s="343" t="n">
        <x:f>IFERROR(IF(OR('DASHBOARD'!$E$3="Tümü",'DASHBOARD'!$E$3=AR5),SUMIFS('VERİ'!$G$2:$G$2890,'VERİ'!$I$2:$I$2890,AR5,'VERİ'!$H$2:$H$2890,IF('DASHBOARD'!$B$3="Tümü","*",'DASHBOARD'!$B$3),'VERİ'!$B$2:$B$2890,IF('DASHBOARD'!$I$3="Tümü","*",'DASHBOARD'!$I$3),'VERİ'!$C$2:$C$2890,IF('DASHBOARD'!$L$3="Tümü","*",'DASHBOARD'!$L$3)),0),0)</x:f>
        <x:v>756385</x:v>
      </x:c>
      <x:c r="AU5" s="193" t="n">
        <x:f>IFERROR(AT5/AS5,0)</x:f>
        <x:v>0.30865487220398397</x:v>
      </x:c>
      <x:c r="AV5" t="str">
        <x:f>IFERROR(INDEX($U$5:$U$17,MATCH(AR5,$L$5:$L$17,0)),"-")</x:f>
        <x:v>Yüksek</x:v>
      </x:c>
      <x:c r="AW5" t="n">
        <x:f>IFERROR(IF(AT5=0,"",RANK.EQ(AT5,$AT$2:$AT$14,0)+COUNTIF($AT$2:AT5,AT5)-1),"")</x:f>
        <x:v>4</x:v>
      </x:c>
    </x:row>
    <x:row r="6">
      <x:c r="A6" s="330" t="str">
        <x:v>Hedef Katsayısı</x:v>
      </x:c>
      <x:c r="B6" s="323" t="n">
        <x:v>0.9</x:v>
      </x:c>
      <x:c r="C6" s="327"/>
      <x:c r="D6" s="330" t="str">
        <x:v>Şubat</x:v>
      </x:c>
      <x:c r="E6" s="322" t="n">
        <x:f>SUMIF('VERİ'!$H$2:$H$2890,D6,'VERİ'!$F$2:$F$2890)</x:f>
        <x:v>1582010</x:v>
      </x:c>
      <x:c r="F6" s="322" t="n">
        <x:f>SUMIF('VERİ'!$H$2:$H$2890,D6,'VERİ'!$G$2:$G$2890)</x:f>
        <x:v>490410</x:v>
      </x:c>
      <x:c r="G6" s="323" t="n">
        <x:f>IFERROR(F6/E6,0)</x:f>
        <x:v>0.3099917193949469</x:v>
      </x:c>
      <x:c r="H6" s="324" t="n">
        <x:f>COUNTIF('VERİ'!$H$2:$H$2890,D6)</x:f>
        <x:v>150</x:v>
      </x:c>
      <x:c r="I6" s="324" t="n">
        <x:f>SUMIF('VERİ'!$H$2:$H$2890,D6,'VERİ'!$D$2:$D$2890)</x:f>
        <x:v>411</x:v>
      </x:c>
      <x:c r="J6" s="323" t="n">
        <x:f>IFERROR(E6/E5-1,0)</x:f>
        <x:v>0.2414834927685221</x:v>
      </x:c>
      <x:c r="K6" s="327"/>
      <x:c r="L6" s="332" t="str">
        <x:v>Ankara</x:v>
      </x:c>
      <x:c r="M6" s="337" t="n">
        <x:f>SUMIF('VERİ'!$I$2:$I$2890,L6,'VERİ'!$F$2:$F$2890)</x:f>
        <x:v>2216245</x:v>
      </x:c>
      <x:c r="N6" s="337" t="n">
        <x:f>SUMIF('VERİ'!$I$2:$I$2890,L6,'VERİ'!$G$2:$G$2890)</x:f>
        <x:v>686145</x:v>
      </x:c>
      <x:c r="O6" s="334" t="n">
        <x:f>IFERROR(N6/M6,0)</x:f>
        <x:v>0.30959799119682163</x:v>
      </x:c>
      <x:c r="P6" s="334" t="n">
        <x:f>IFERROR(M6/SUM('VERİ'!$F$2:$F$2890),0)</x:f>
        <x:v>0.07282083668003266</x:v>
      </x:c>
      <x:c r="Q6" s="341" t="n">
        <x:f>SUMIF('VERİ'!$I$2:$I$2890,L6,'VERİ'!$D$2:$D$2890)</x:f>
        <x:v>560</x:v>
      </x:c>
      <x:c r="R6" s="341" t="n">
        <x:f>COUNTIF('VERİ'!$I$2:$I$2890,L6)</x:f>
        <x:v>209</x:v>
      </x:c>
      <x:c r="S6" s="342" t="n">
        <x:f>IFERROR(M6/R6,0)</x:f>
        <x:v>10604.043062200957</x:v>
      </x:c>
      <x:c r="T6" s="332" t="n">
        <x:f>MIN(10,1+IF(O6&lt;$B$9,4,0)+IF(M6&gt;$B$11,2,0)+IF(P6&gt;$B$10,2,0))</x:f>
        <x:v>1</x:v>
      </x:c>
      <x:c r="U6" s="332" t="str">
        <x:f>IFERROR(IF(T6&gt;='DASHBOARD (2)'!$I$3,"Yüksek",IF(T6&gt;=2,"Orta","Düşük")),"-")</x:f>
        <x:v>Düşük</x:v>
      </x:c>
      <x:c r="V6" s="326" t="str">
        <x:v>Mayıs</x:v>
      </x:c>
      <x:c r="W6" s="326" t="str">
        <x:v>Diyarbakır</x:v>
      </x:c>
      <x:c r="X6" s="326" t="str">
        <x:v>Gamze Erkuran</x:v>
      </x:c>
      <x:c r="Y6" s="326" t="str">
        <x:v>Buzdolabı İki Kapılı Gri</x:v>
      </x:c>
      <x:c r="Z6" s="326" t="str">
        <x:v>Mayıs</x:v>
      </x:c>
      <x:c r="AB6" t="str">
        <x:f>IFERROR(INDEX($V$2:$V$13,ROW()-1),"")</x:f>
        <x:v>Mayıs</x:v>
      </x:c>
      <x:c r="AC6" s="343" t="n">
        <x:f>IFERROR(IF(OR('DASHBOARD'!$B$3="Tümü",'DASHBOARD'!$B$3=AB6),SUMIFS('VERİ'!$F$2:$F$2890,'VERİ'!$H$2:$H$2890,AB6,'VERİ'!$I$2:$I$2890,IF('DASHBOARD'!$E$3="Tümü","*",'DASHBOARD'!$E$3),'VERİ'!$B$2:$B$2890,IF('DASHBOARD'!$I$3="Tümü","*",'DASHBOARD'!$I$3),'VERİ'!$C$2:$C$2890,IF('DASHBOARD'!$L$3="Tümü","*",'DASHBOARD'!$L$3)),0),0)</x:f>
        <x:v>3756370</x:v>
      </x:c>
      <x:c r="AD6" s="343" t="n">
        <x:f>IFERROR(IF(OR('DASHBOARD'!$B$3="Tümü",'DASHBOARD'!$B$3=AB6),SUMIFS('VERİ'!$G$2:$G$2890,'VERİ'!$H$2:$H$2890,AB6,'VERİ'!$I$2:$I$2890,IF('DASHBOARD'!$E$3="Tümü","*",'DASHBOARD'!$E$3),'VERİ'!$B$2:$B$2890,IF('DASHBOARD'!$I$3="Tümü","*",'DASHBOARD'!$I$3),'VERİ'!$C$2:$C$2890,IF('DASHBOARD'!$L$3="Tümü","*",'DASHBOARD'!$L$3)),0),0)</x:f>
        <x:v>1135070</x:v>
      </x:c>
      <x:c r="AF6" t="str">
        <x:f>IFERROR(INDEX($X$2:$X$14,ROW()-1),"")</x:f>
        <x:v>Gamze Erkuran</x:v>
      </x:c>
      <x:c r="AG6" s="343" t="n">
        <x:f>IFERROR(IF(OR('DASHBOARD'!$I$3="Tümü",'DASHBOARD'!$I$3=AF6),SUMIFS('VERİ'!$F$2:$F$2890,'VERİ'!$B$2:$B$2890,AF6,'VERİ'!$H$2:$H$2890,IF('DASHBOARD'!$B$3="Tümü","*",'DASHBOARD'!$B$3),'VERİ'!$I$2:$I$2890,IF('DASHBOARD'!$E$3="Tümü","*",'DASHBOARD'!$E$3),'VERİ'!$C$2:$C$2890,IF('DASHBOARD'!$L$3="Tümü","*",'DASHBOARD'!$L$3)),0),0)</x:f>
        <x:v>1008710</x:v>
      </x:c>
      <x:c r="AI6" t="str">
        <x:f>IFERROR(INDEX($W$2:$W$14,ROW()-1),"")</x:f>
        <x:v>Diyarbakır</x:v>
      </x:c>
      <x:c r="AJ6" s="343" t="n">
        <x:f>IFERROR(IF(OR('DASHBOARD'!$E$3="Tümü",'DASHBOARD'!$E$3=AI6),SUMIFS('VERİ'!$G$2:$G$2890,'VERİ'!$I$2:$I$2890,AI6,'VERİ'!$H$2:$H$2890,IF('DASHBOARD'!$B$3="Tümü","*",'DASHBOARD'!$B$3),'VERİ'!$B$2:$B$2890,IF('DASHBOARD'!$I$3="Tümü","*",'DASHBOARD'!$I$3),'VERİ'!$C$2:$C$2890,IF('DASHBOARD'!$L$3="Tümü","*",'DASHBOARD'!$L$3)),0),0)</x:f>
        <x:v>793740</x:v>
      </x:c>
      <x:c r="AK6" s="343" t="n">
        <x:f>IFERROR(IF(OR('DASHBOARD'!$E$3="Tümü",'DASHBOARD'!$E$3=AI6),SUMIFS('VERİ'!$F$2:$F$2890,'VERİ'!$I$2:$I$2890,AI6,'VERİ'!$H$2:$H$2890,IF('DASHBOARD'!$B$3="Tümü","*",'DASHBOARD'!$B$3),'VERİ'!$B$2:$B$2890,IF('DASHBOARD'!$I$3="Tümü","*",'DASHBOARD'!$I$3),'VERİ'!$C$2:$C$2890,IF('DASHBOARD'!$L$3="Tümü","*",'DASHBOARD'!$L$3)),0),0)</x:f>
        <x:v>2709440</x:v>
      </x:c>
      <x:c r="AL6" t="str">
        <x:f>IFERROR(INDEX($Y$2:$Y$24,ROW()-1),"")</x:f>
        <x:v>Buzdolabı İki Kapılı Gri</x:v>
      </x:c>
      <x:c r="AM6" s="154" t="n">
        <x:f>IFERROR(IF(OR('DASHBOARD'!$L$3="Tümü",'DASHBOARD'!$L$3=AL6),SUMIFS('VERİ'!$D$2:$D$2890,'VERİ'!$C$2:$C$2890,AL6,'VERİ'!$H$2:$H$2890,IF('DASHBOARD'!$B$3="Tümü","*",'DASHBOARD'!$B$3),'VERİ'!$I$2:$I$2890,IF('DASHBOARD'!$E$3="Tümü","*",'DASHBOARD'!$E$3),'VERİ'!$B$2:$B$2890,IF('DASHBOARD'!$I$3="Tümü","*",'DASHBOARD'!$I$3)),0),0)</x:f>
        <x:v>271</x:v>
      </x:c>
      <x:c r="AN6" s="343" t="n">
        <x:f>IFERROR(IF(OR('DASHBOARD'!$L$3="Tümü",'DASHBOARD'!$L$3=AL6),SUMIFS('VERİ'!$F$2:$F$2890,'VERİ'!$C$2:$C$2890,AL6,'VERİ'!$H$2:$H$2890,IF('DASHBOARD'!$B$3="Tümü","*",'DASHBOARD'!$B$3),'VERİ'!$I$2:$I$2890,IF('DASHBOARD'!$E$3="Tümü","*",'DASHBOARD'!$E$3),'VERİ'!$B$2:$B$2890,IF('DASHBOARD'!$I$3="Tümü","*",'DASHBOARD'!$I$3)),0),0)</x:f>
        <x:v>2040630</x:v>
      </x:c>
      <x:c r="AO6" s="343" t="n">
        <x:f>IFERROR(IF(OR('DASHBOARD'!$L$3="Tümü",'DASHBOARD'!$L$3=AL6),SUMIFS('VERİ'!$G$2:$G$2890,'VERİ'!$C$2:$C$2890,AL6,'VERİ'!$H$2:$H$2890,IF('DASHBOARD'!$B$3="Tümü","*",'DASHBOARD'!$B$3),'VERİ'!$I$2:$I$2890,IF('DASHBOARD'!$E$3="Tümü","*",'DASHBOARD'!$E$3),'VERİ'!$B$2:$B$2890,IF('DASHBOARD'!$I$3="Tümü","*",'DASHBOARD'!$I$3)),0),0)</x:f>
        <x:v>414630</x:v>
      </x:c>
      <x:c r="AP6" s="193" t="n">
        <x:f>IFERROR(AO6/AN6,0)</x:f>
        <x:v>0.20318725099601595</x:v>
      </x:c>
      <x:c r="AQ6" t="n">
        <x:f>IFERROR(IF(AM6=0,"",RANK.EQ(AM6,$AM$2:$AM$24,0)+COUNTIF($AM$2:AM6,AM6)-1),"")</x:f>
        <x:v>15</x:v>
      </x:c>
      <x:c r="AR6" t="str">
        <x:f>IFERROR(INDEX($W$2:$W$14,ROW()-1),"")</x:f>
        <x:v>Diyarbakır</x:v>
      </x:c>
      <x:c r="AS6" s="343" t="n">
        <x:f>IFERROR(IF(OR('DASHBOARD'!$E$3="Tümü",'DASHBOARD'!$E$3=AR6),SUMIFS('VERİ'!$F$2:$F$2890,'VERİ'!$I$2:$I$2890,AR6,'VERİ'!$H$2:$H$2890,IF('DASHBOARD'!$B$3="Tümü","*",'DASHBOARD'!$B$3),'VERİ'!$B$2:$B$2890,IF('DASHBOARD'!$I$3="Tümü","*",'DASHBOARD'!$I$3),'VERİ'!$C$2:$C$2890,IF('DASHBOARD'!$L$3="Tümü","*",'DASHBOARD'!$L$3)),0),0)</x:f>
        <x:v>2709440</x:v>
      </x:c>
      <x:c r="AT6" s="343" t="n">
        <x:f>IFERROR(IF(OR('DASHBOARD'!$E$3="Tümü",'DASHBOARD'!$E$3=AR6),SUMIFS('VERİ'!$G$2:$G$2890,'VERİ'!$I$2:$I$2890,AR6,'VERİ'!$H$2:$H$2890,IF('DASHBOARD'!$B$3="Tümü","*",'DASHBOARD'!$B$3),'VERİ'!$B$2:$B$2890,IF('DASHBOARD'!$I$3="Tümü","*",'DASHBOARD'!$I$3),'VERİ'!$C$2:$C$2890,IF('DASHBOARD'!$L$3="Tümü","*",'DASHBOARD'!$L$3)),0),0)</x:f>
        <x:v>793740</x:v>
      </x:c>
      <x:c r="AU6" s="193" t="n">
        <x:f>IFERROR(AT6/AS6,0)</x:f>
        <x:v>0.29295352545175385</x:v>
      </x:c>
      <x:c r="AV6" t="str">
        <x:f>IFERROR(INDEX($U$5:$U$17,MATCH(AR6,$L$5:$L$17,0)),"-")</x:f>
        <x:v>Yüksek</x:v>
      </x:c>
      <x:c r="AW6" t="n">
        <x:f>IFERROR(IF(AT6=0,"",RANK.EQ(AT6,$AT$2:$AT$14,0)+COUNTIF($AT$2:AT6,AT6)-1),"")</x:f>
        <x:v>2</x:v>
      </x:c>
    </x:row>
    <x:row r="7">
      <x:c r="A7" s="330" t="str">
        <x:v>Uyarı Düşüşü</x:v>
      </x:c>
      <x:c r="B7" s="323" t="n">
        <x:v>0.1</x:v>
      </x:c>
      <x:c r="C7" s="327"/>
      <x:c r="D7" s="330" t="str">
        <x:v>Mart</x:v>
      </x:c>
      <x:c r="E7" s="322" t="n">
        <x:f>SUMIF('VERİ'!$H$2:$H$2890,D7,'VERİ'!$F$2:$F$2890)</x:f>
        <x:v>668410</x:v>
      </x:c>
      <x:c r="F7" s="322" t="n">
        <x:f>SUMIF('VERİ'!$H$2:$H$2890,D7,'VERİ'!$G$2:$G$2890)</x:f>
        <x:v>190510</x:v>
      </x:c>
      <x:c r="G7" s="323" t="n">
        <x:f>IFERROR(F7/E7,0)</x:f>
        <x:v>0.2850196735536572</x:v>
      </x:c>
      <x:c r="H7" s="324" t="n">
        <x:f>COUNTIF('VERİ'!$H$2:$H$2890,D7)</x:f>
        <x:v>72</x:v>
      </x:c>
      <x:c r="I7" s="324" t="n">
        <x:f>SUMIF('VERİ'!$H$2:$H$2890,D7,'VERİ'!$D$2:$D$2890)</x:f>
        <x:v>185</x:v>
      </x:c>
      <x:c r="J7" s="323" t="n">
        <x:f>IFERROR(E7/E6-1,0)</x:f>
        <x:v>-0.577493189044317</x:v>
      </x:c>
      <x:c r="K7" s="327"/>
      <x:c r="L7" s="332" t="str">
        <x:v>Antalya</x:v>
      </x:c>
      <x:c r="M7" s="337" t="n">
        <x:f>SUMIF('VERİ'!$I$2:$I$2890,L7,'VERİ'!$F$2:$F$2890)</x:f>
        <x:v>2534590</x:v>
      </x:c>
      <x:c r="N7" s="337" t="n">
        <x:f>SUMIF('VERİ'!$I$2:$I$2890,L7,'VERİ'!$G$2:$G$2890)</x:f>
        <x:v>760790</x:v>
      </x:c>
      <x:c r="O7" s="334" t="n">
        <x:f>IFERROR(N7/M7,0)</x:f>
        <x:v>0.3001629454862522</x:v>
      </x:c>
      <x:c r="P7" s="334" t="n">
        <x:f>IFERROR(M7/SUM('VERİ'!$F$2:$F$2890),0)</x:f>
        <x:v>0.08328093890379627</x:v>
      </x:c>
      <x:c r="Q7" s="341" t="n">
        <x:f>SUMIF('VERİ'!$I$2:$I$2890,L7,'VERİ'!$D$2:$D$2890)</x:f>
        <x:v>628</x:v>
      </x:c>
      <x:c r="R7" s="341" t="n">
        <x:f>COUNTIF('VERİ'!$I$2:$I$2890,L7)</x:f>
        <x:v>241</x:v>
      </x:c>
      <x:c r="S7" s="342" t="n">
        <x:f>IFERROR(M7/R7,0)</x:f>
        <x:v>10516.970954356846</x:v>
      </x:c>
      <x:c r="T7" s="332" t="n">
        <x:f>MIN(10,1+IF(O7&lt;$B$9,4,0)+IF(M7&gt;$B$11,2,0)+IF(P7&gt;$B$10,2,0))</x:f>
        <x:v>5</x:v>
      </x:c>
      <x:c r="U7" s="332" t="str">
        <x:f>IFERROR(IF(T7&gt;='DASHBOARD (2)'!$I$3,"Yüksek",IF(T7&gt;=2,"Orta","Düşük")),"-")</x:f>
        <x:v>Yüksek</x:v>
      </x:c>
      <x:c r="V7" s="326" t="str">
        <x:v>Haziran</x:v>
      </x:c>
      <x:c r="W7" s="326" t="str">
        <x:v>Gaziantep</x:v>
      </x:c>
      <x:c r="X7" s="326" t="str">
        <x:v>Gülşah Akbulut</x:v>
      </x:c>
      <x:c r="Y7" s="326" t="str">
        <x:v>Davlumbaz Gri X Marka</x:v>
      </x:c>
      <x:c r="Z7" s="326" t="str">
        <x:v>Haziran</x:v>
      </x:c>
      <x:c r="AB7" t="str">
        <x:f>IFERROR(INDEX($V$2:$V$13,ROW()-1),"")</x:f>
        <x:v>Haziran</x:v>
      </x:c>
      <x:c r="AC7" s="343" t="n">
        <x:f>IFERROR(IF(OR('DASHBOARD'!$B$3="Tümü",'DASHBOARD'!$B$3=AB7),SUMIFS('VERİ'!$F$2:$F$2890,'VERİ'!$H$2:$H$2890,AB7,'VERİ'!$I$2:$I$2890,IF('DASHBOARD'!$E$3="Tümü","*",'DASHBOARD'!$E$3),'VERİ'!$B$2:$B$2890,IF('DASHBOARD'!$I$3="Tümü","*",'DASHBOARD'!$I$3),'VERİ'!$C$2:$C$2890,IF('DASHBOARD'!$L$3="Tümü","*",'DASHBOARD'!$L$3)),0),0)</x:f>
        <x:v>3857420</x:v>
      </x:c>
      <x:c r="AD7" s="343" t="n">
        <x:f>IFERROR(IF(OR('DASHBOARD'!$B$3="Tümü",'DASHBOARD'!$B$3=AB7),SUMIFS('VERİ'!$G$2:$G$2890,'VERİ'!$H$2:$H$2890,AB7,'VERİ'!$I$2:$I$2890,IF('DASHBOARD'!$E$3="Tümü","*",'DASHBOARD'!$E$3),'VERİ'!$B$2:$B$2890,IF('DASHBOARD'!$I$3="Tümü","*",'DASHBOARD'!$I$3),'VERİ'!$C$2:$C$2890,IF('DASHBOARD'!$L$3="Tümü","*",'DASHBOARD'!$L$3)),0),0)</x:f>
        <x:v>1153720</x:v>
      </x:c>
      <x:c r="AF7" t="str">
        <x:f>IFERROR(INDEX($X$2:$X$14,ROW()-1),"")</x:f>
        <x:v>Gülşah Akbulut</x:v>
      </x:c>
      <x:c r="AG7" s="343" t="n">
        <x:f>IFERROR(IF(OR('DASHBOARD'!$I$3="Tümü",'DASHBOARD'!$I$3=AF7),SUMIFS('VERİ'!$F$2:$F$2890,'VERİ'!$B$2:$B$2890,AF7,'VERİ'!$H$2:$H$2890,IF('DASHBOARD'!$B$3="Tümü","*",'DASHBOARD'!$B$3),'VERİ'!$I$2:$I$2890,IF('DASHBOARD'!$E$3="Tümü","*",'DASHBOARD'!$E$3),'VERİ'!$C$2:$C$2890,IF('DASHBOARD'!$L$3="Tümü","*",'DASHBOARD'!$L$3)),0),0)</x:f>
        <x:v>3410970</x:v>
      </x:c>
      <x:c r="AI7" t="str">
        <x:f>IFERROR(INDEX($W$2:$W$14,ROW()-1),"")</x:f>
        <x:v>Gaziantep</x:v>
      </x:c>
      <x:c r="AJ7" s="343" t="n">
        <x:f>IFERROR(IF(OR('DASHBOARD'!$E$3="Tümü",'DASHBOARD'!$E$3=AI7),SUMIFS('VERİ'!$G$2:$G$2890,'VERİ'!$I$2:$I$2890,AI7,'VERİ'!$H$2:$H$2890,IF('DASHBOARD'!$B$3="Tümü","*",'DASHBOARD'!$B$3),'VERİ'!$B$2:$B$2890,IF('DASHBOARD'!$I$3="Tümü","*",'DASHBOARD'!$I$3),'VERİ'!$C$2:$C$2890,IF('DASHBOARD'!$L$3="Tümü","*",'DASHBOARD'!$L$3)),0),0)</x:f>
        <x:v>679185</x:v>
      </x:c>
      <x:c r="AK7" s="343" t="n">
        <x:f>IFERROR(IF(OR('DASHBOARD'!$E$3="Tümü",'DASHBOARD'!$E$3=AI7),SUMIFS('VERİ'!$F$2:$F$2890,'VERİ'!$I$2:$I$2890,AI7,'VERİ'!$H$2:$H$2890,IF('DASHBOARD'!$B$3="Tümü","*",'DASHBOARD'!$B$3),'VERİ'!$B$2:$B$2890,IF('DASHBOARD'!$I$3="Tümü","*",'DASHBOARD'!$I$3),'VERİ'!$C$2:$C$2890,IF('DASHBOARD'!$L$3="Tümü","*",'DASHBOARD'!$L$3)),0),0)</x:f>
        <x:v>2277785</x:v>
      </x:c>
      <x:c r="AL7" t="str">
        <x:f>IFERROR(INDEX($Y$2:$Y$24,ROW()-1),"")</x:f>
        <x:v>Davlumbaz Gri X Marka</x:v>
      </x:c>
      <x:c r="AM7" s="154" t="n">
        <x:f>IFERROR(IF(OR('DASHBOARD'!$L$3="Tümü",'DASHBOARD'!$L$3=AL7),SUMIFS('VERİ'!$D$2:$D$2890,'VERİ'!$C$2:$C$2890,AL7,'VERİ'!$H$2:$H$2890,IF('DASHBOARD'!$B$3="Tümü","*",'DASHBOARD'!$B$3),'VERİ'!$I$2:$I$2890,IF('DASHBOARD'!$E$3="Tümü","*",'DASHBOARD'!$E$3),'VERİ'!$B$2:$B$2890,IF('DASHBOARD'!$I$3="Tümü","*",'DASHBOARD'!$I$3)),0),0)</x:f>
        <x:v>425</x:v>
      </x:c>
      <x:c r="AN7" s="343" t="n">
        <x:f>IFERROR(IF(OR('DASHBOARD'!$L$3="Tümü",'DASHBOARD'!$L$3=AL7),SUMIFS('VERİ'!$F$2:$F$2890,'VERİ'!$C$2:$C$2890,AL7,'VERİ'!$H$2:$H$2890,IF('DASHBOARD'!$B$3="Tümü","*",'DASHBOARD'!$B$3),'VERİ'!$I$2:$I$2890,IF('DASHBOARD'!$E$3="Tümü","*",'DASHBOARD'!$E$3),'VERİ'!$B$2:$B$2890,IF('DASHBOARD'!$I$3="Tümü","*",'DASHBOARD'!$I$3)),0),0)</x:f>
        <x:v>633250</x:v>
      </x:c>
      <x:c r="AO7" s="343" t="n">
        <x:f>IFERROR(IF(OR('DASHBOARD'!$L$3="Tümü",'DASHBOARD'!$L$3=AL7),SUMIFS('VERİ'!$G$2:$G$2890,'VERİ'!$C$2:$C$2890,AL7,'VERİ'!$H$2:$H$2890,IF('DASHBOARD'!$B$3="Tümü","*",'DASHBOARD'!$B$3),'VERİ'!$I$2:$I$2890,IF('DASHBOARD'!$E$3="Tümü","*",'DASHBOARD'!$E$3),'VERİ'!$B$2:$B$2890,IF('DASHBOARD'!$I$3="Tümü","*",'DASHBOARD'!$I$3)),0),0)</x:f>
        <x:v>293250</x:v>
      </x:c>
      <x:c r="AP7" s="193" t="n">
        <x:f>IFERROR(AO7/AN7,0)</x:f>
        <x:v>0.46308724832214765</x:v>
      </x:c>
      <x:c r="AQ7" t="n">
        <x:f>IFERROR(IF(AM7=0,"",RANK.EQ(AM7,$AM$2:$AM$24,0)+COUNTIF($AM$2:AM7,AM7)-1),"")</x:f>
        <x:v>5</x:v>
      </x:c>
      <x:c r="AR7" t="str">
        <x:f>IFERROR(INDEX($W$2:$W$14,ROW()-1),"")</x:f>
        <x:v>Gaziantep</x:v>
      </x:c>
      <x:c r="AS7" s="343" t="n">
        <x:f>IFERROR(IF(OR('DASHBOARD'!$E$3="Tümü",'DASHBOARD'!$E$3=AR7),SUMIFS('VERİ'!$F$2:$F$2890,'VERİ'!$I$2:$I$2890,AR7,'VERİ'!$H$2:$H$2890,IF('DASHBOARD'!$B$3="Tümü","*",'DASHBOARD'!$B$3),'VERİ'!$B$2:$B$2890,IF('DASHBOARD'!$I$3="Tümü","*",'DASHBOARD'!$I$3),'VERİ'!$C$2:$C$2890,IF('DASHBOARD'!$L$3="Tümü","*",'DASHBOARD'!$L$3)),0),0)</x:f>
        <x:v>2277785</x:v>
      </x:c>
      <x:c r="AT7" s="343" t="n">
        <x:f>IFERROR(IF(OR('DASHBOARD'!$E$3="Tümü",'DASHBOARD'!$E$3=AR7),SUMIFS('VERİ'!$G$2:$G$2890,'VERİ'!$I$2:$I$2890,AR7,'VERİ'!$H$2:$H$2890,IF('DASHBOARD'!$B$3="Tümü","*",'DASHBOARD'!$B$3),'VERİ'!$B$2:$B$2890,IF('DASHBOARD'!$I$3="Tümü","*",'DASHBOARD'!$I$3),'VERİ'!$C$2:$C$2890,IF('DASHBOARD'!$L$3="Tümü","*",'DASHBOARD'!$L$3)),0),0)</x:f>
        <x:v>679185</x:v>
      </x:c>
      <x:c r="AU7" s="193" t="n">
        <x:f>IFERROR(AT7/AS7,0)</x:f>
        <x:v>0.2981778350458889</x:v>
      </x:c>
      <x:c r="AV7" t="str">
        <x:f>IFERROR(INDEX($U$5:$U$17,MATCH(AR7,$L$5:$L$17,0)),"-")</x:f>
        <x:v>Düşük</x:v>
      </x:c>
      <x:c r="AW7" t="n">
        <x:f>IFERROR(IF(AT7=0,"",RANK.EQ(AT7,$AT$2:$AT$14,0)+COUNTIF($AT$2:AT7,AT7)-1),"")</x:f>
        <x:v>11</x:v>
      </x:c>
    </x:row>
    <x:row r="8">
      <x:c r="A8" s="330" t="str">
        <x:v>Kritik Düşüş</x:v>
      </x:c>
      <x:c r="B8" s="323" t="n">
        <x:v>0.2</x:v>
      </x:c>
      <x:c r="C8" s="327"/>
      <x:c r="D8" s="330" t="str">
        <x:v>Nisan</x:v>
      </x:c>
      <x:c r="E8" s="322" t="n">
        <x:f>SUMIF('VERİ'!$H$2:$H$2890,D8,'VERİ'!$F$2:$F$2890)</x:f>
        <x:v>2405475</x:v>
      </x:c>
      <x:c r="F8" s="322" t="n">
        <x:f>SUMIF('VERİ'!$H$2:$H$2890,D8,'VERİ'!$G$2:$G$2890)</x:f>
        <x:v>742775</x:v>
      </x:c>
      <x:c r="G8" s="323" t="n">
        <x:f>IFERROR(F8/E8,0)</x:f>
        <x:v>0.30878516717072513</x:v>
      </x:c>
      <x:c r="H8" s="324" t="n">
        <x:f>COUNTIF('VERİ'!$H$2:$H$2890,D8)</x:f>
        <x:v>222</x:v>
      </x:c>
      <x:c r="I8" s="324" t="n">
        <x:f>SUMIF('VERİ'!$H$2:$H$2890,D8,'VERİ'!$D$2:$D$2890)</x:f>
        <x:v>585</x:v>
      </x:c>
      <x:c r="J8" s="323" t="n">
        <x:f>IFERROR(E8/E7-1,0)</x:f>
        <x:v>2.5988016337278017</x:v>
      </x:c>
      <x:c r="K8" s="327"/>
      <x:c r="L8" s="332" t="str">
        <x:v>Bursa</x:v>
      </x:c>
      <x:c r="M8" s="337" t="n">
        <x:f>SUMIF('VERİ'!$I$2:$I$2890,L8,'VERİ'!$F$2:$F$2890)</x:f>
        <x:v>2450585</x:v>
      </x:c>
      <x:c r="N8" s="337" t="n">
        <x:f>SUMIF('VERİ'!$I$2:$I$2890,L8,'VERİ'!$G$2:$G$2890)</x:f>
        <x:v>756385</x:v>
      </x:c>
      <x:c r="O8" s="334" t="n">
        <x:f>IFERROR(N8/M8,0)</x:f>
        <x:v>0.30865487220398397</x:v>
      </x:c>
      <x:c r="P8" s="334" t="n">
        <x:f>IFERROR(M8/SUM('VERİ'!$F$2:$F$2890),0)</x:f>
        <x:v>0.080520723140058</x:v>
      </x:c>
      <x:c r="Q8" s="341" t="n">
        <x:f>SUMIF('VERİ'!$I$2:$I$2890,L8,'VERİ'!$D$2:$D$2890)</x:f>
        <x:v>642</x:v>
      </x:c>
      <x:c r="R8" s="341" t="n">
        <x:f>COUNTIF('VERİ'!$I$2:$I$2890,L8)</x:f>
        <x:v>232</x:v>
      </x:c>
      <x:c r="S8" s="342" t="n">
        <x:f>IFERROR(M8/R8,0)</x:f>
        <x:v>10562.866379310344</x:v>
      </x:c>
      <x:c r="T8" s="332" t="n">
        <x:f>MIN(10,1+IF(O8&lt;$B$9,4,0)+IF(M8&gt;$B$11,2,0)+IF(P8&gt;$B$10,2,0))</x:f>
        <x:v>5</x:v>
      </x:c>
      <x:c r="U8" s="332" t="str">
        <x:f>IFERROR(IF(T8&gt;='DASHBOARD (2)'!$I$3,"Yüksek",IF(T8&gt;=2,"Orta","Düşük")),"-")</x:f>
        <x:v>Yüksek</x:v>
      </x:c>
      <x:c r="V8" s="326" t="str">
        <x:v>Temmuz</x:v>
      </x:c>
      <x:c r="W8" s="326" t="str">
        <x:v>Hatay</x:v>
      </x:c>
      <x:c r="X8" s="326" t="str">
        <x:v>Mertcan Ülker</x:v>
      </x:c>
      <x:c r="Y8" s="326" t="str">
        <x:v>Davlumbaz Gri Y Marka</x:v>
      </x:c>
      <x:c r="Z8" s="326" t="str">
        <x:v>Temmuz</x:v>
      </x:c>
      <x:c r="AB8" t="str">
        <x:f>IFERROR(INDEX($V$2:$V$13,ROW()-1),"")</x:f>
        <x:v>Temmuz</x:v>
      </x:c>
      <x:c r="AC8" s="343" t="n">
        <x:f>IFERROR(IF(OR('DASHBOARD'!$B$3="Tümü",'DASHBOARD'!$B$3=AB8),SUMIFS('VERİ'!$F$2:$F$2890,'VERİ'!$H$2:$H$2890,AB8,'VERİ'!$I$2:$I$2890,IF('DASHBOARD'!$E$3="Tümü","*",'DASHBOARD'!$E$3),'VERİ'!$B$2:$B$2890,IF('DASHBOARD'!$I$3="Tümü","*",'DASHBOARD'!$I$3),'VERİ'!$C$2:$C$2890,IF('DASHBOARD'!$L$3="Tümü","*",'DASHBOARD'!$L$3)),0),0)</x:f>
        <x:v>2057110</x:v>
      </x:c>
      <x:c r="AD8" s="343" t="n">
        <x:f>IFERROR(IF(OR('DASHBOARD'!$B$3="Tümü",'DASHBOARD'!$B$3=AB8),SUMIFS('VERİ'!$G$2:$G$2890,'VERİ'!$H$2:$H$2890,AB8,'VERİ'!$I$2:$I$2890,IF('DASHBOARD'!$E$3="Tümü","*",'DASHBOARD'!$E$3),'VERİ'!$B$2:$B$2890,IF('DASHBOARD'!$I$3="Tümü","*",'DASHBOARD'!$I$3),'VERİ'!$C$2:$C$2890,IF('DASHBOARD'!$L$3="Tümü","*",'DASHBOARD'!$L$3)),0),0)</x:f>
        <x:v>607410</x:v>
      </x:c>
      <x:c r="AF8" t="str">
        <x:f>IFERROR(INDEX($X$2:$X$14,ROW()-1),"")</x:f>
        <x:v>Mertcan Ülker</x:v>
      </x:c>
      <x:c r="AG8" s="343" t="n">
        <x:f>IFERROR(IF(OR('DASHBOARD'!$I$3="Tümü",'DASHBOARD'!$I$3=AF8),SUMIFS('VERİ'!$F$2:$F$2890,'VERİ'!$B$2:$B$2890,AF8,'VERİ'!$H$2:$H$2890,IF('DASHBOARD'!$B$3="Tümü","*",'DASHBOARD'!$B$3),'VERİ'!$I$2:$I$2890,IF('DASHBOARD'!$E$3="Tümü","*",'DASHBOARD'!$E$3),'VERİ'!$C$2:$C$2890,IF('DASHBOARD'!$L$3="Tümü","*",'DASHBOARD'!$L$3)),0),0)</x:f>
        <x:v>2368440</x:v>
      </x:c>
      <x:c r="AI8" t="str">
        <x:f>IFERROR(INDEX($W$2:$W$14,ROW()-1),"")</x:f>
        <x:v>Hatay</x:v>
      </x:c>
      <x:c r="AJ8" s="343" t="n">
        <x:f>IFERROR(IF(OR('DASHBOARD'!$E$3="Tümü",'DASHBOARD'!$E$3=AI8),SUMIFS('VERİ'!$G$2:$G$2890,'VERİ'!$I$2:$I$2890,AI8,'VERİ'!$H$2:$H$2890,IF('DASHBOARD'!$B$3="Tümü","*",'DASHBOARD'!$B$3),'VERİ'!$B$2:$B$2890,IF('DASHBOARD'!$I$3="Tümü","*",'DASHBOARD'!$I$3),'VERİ'!$C$2:$C$2890,IF('DASHBOARD'!$L$3="Tümü","*",'DASHBOARD'!$L$3)),0),0)</x:f>
        <x:v>700610</x:v>
      </x:c>
      <x:c r="AK8" s="343" t="n">
        <x:f>IFERROR(IF(OR('DASHBOARD'!$E$3="Tümü",'DASHBOARD'!$E$3=AI8),SUMIFS('VERİ'!$F$2:$F$2890,'VERİ'!$I$2:$I$2890,AI8,'VERİ'!$H$2:$H$2890,IF('DASHBOARD'!$B$3="Tümü","*",'DASHBOARD'!$B$3),'VERİ'!$B$2:$B$2890,IF('DASHBOARD'!$I$3="Tümü","*",'DASHBOARD'!$I$3),'VERİ'!$C$2:$C$2890,IF('DASHBOARD'!$L$3="Tümü","*",'DASHBOARD'!$L$3)),0),0)</x:f>
        <x:v>2369710</x:v>
      </x:c>
      <x:c r="AL8" t="str">
        <x:f>IFERROR(INDEX($Y$2:$Y$24,ROW()-1),"")</x:f>
        <x:v>Davlumbaz Gri Y Marka</x:v>
      </x:c>
      <x:c r="AM8" s="154" t="n">
        <x:f>IFERROR(IF(OR('DASHBOARD'!$L$3="Tümü",'DASHBOARD'!$L$3=AL8),SUMIFS('VERİ'!$D$2:$D$2890,'VERİ'!$C$2:$C$2890,AL8,'VERİ'!$H$2:$H$2890,IF('DASHBOARD'!$B$3="Tümü","*",'DASHBOARD'!$B$3),'VERİ'!$I$2:$I$2890,IF('DASHBOARD'!$E$3="Tümü","*",'DASHBOARD'!$E$3),'VERİ'!$B$2:$B$2890,IF('DASHBOARD'!$I$3="Tümü","*",'DASHBOARD'!$I$3)),0),0)</x:f>
        <x:v>268</x:v>
      </x:c>
      <x:c r="AN8" s="343" t="n">
        <x:f>IFERROR(IF(OR('DASHBOARD'!$L$3="Tümü",'DASHBOARD'!$L$3=AL8),SUMIFS('VERİ'!$F$2:$F$2890,'VERİ'!$C$2:$C$2890,AL8,'VERİ'!$H$2:$H$2890,IF('DASHBOARD'!$B$3="Tümü","*",'DASHBOARD'!$B$3),'VERİ'!$I$2:$I$2890,IF('DASHBOARD'!$E$3="Tümü","*",'DASHBOARD'!$E$3),'VERİ'!$B$2:$B$2890,IF('DASHBOARD'!$I$3="Tümü","*",'DASHBOARD'!$I$3)),0),0)</x:f>
        <x:v>402000</x:v>
      </x:c>
      <x:c r="AO8" s="343" t="n">
        <x:f>IFERROR(IF(OR('DASHBOARD'!$L$3="Tümü",'DASHBOARD'!$L$3=AL8),SUMIFS('VERİ'!$G$2:$G$2890,'VERİ'!$C$2:$C$2890,AL8,'VERİ'!$H$2:$H$2890,IF('DASHBOARD'!$B$3="Tümü","*",'DASHBOARD'!$B$3),'VERİ'!$I$2:$I$2890,IF('DASHBOARD'!$E$3="Tümü","*",'DASHBOARD'!$E$3),'VERİ'!$B$2:$B$2890,IF('DASHBOARD'!$I$3="Tümü","*",'DASHBOARD'!$I$3)),0),0)</x:f>
        <x:v>187600</x:v>
      </x:c>
      <x:c r="AP8" s="193" t="n">
        <x:f>IFERROR(AO8/AN8,0)</x:f>
        <x:v>0.4666666666666667</x:v>
      </x:c>
      <x:c r="AQ8" t="n">
        <x:f>IFERROR(IF(AM8=0,"",RANK.EQ(AM8,$AM$2:$AM$24,0)+COUNTIF($AM$2:AM8,AM8)-1),"")</x:f>
        <x:v>17</x:v>
      </x:c>
      <x:c r="AR8" t="str">
        <x:f>IFERROR(INDEX($W$2:$W$14,ROW()-1),"")</x:f>
        <x:v>Hatay</x:v>
      </x:c>
      <x:c r="AS8" s="343" t="n">
        <x:f>IFERROR(IF(OR('DASHBOARD'!$E$3="Tümü",'DASHBOARD'!$E$3=AR8),SUMIFS('VERİ'!$F$2:$F$2890,'VERİ'!$I$2:$I$2890,AR8,'VERİ'!$H$2:$H$2890,IF('DASHBOARD'!$B$3="Tümü","*",'DASHBOARD'!$B$3),'VERİ'!$B$2:$B$2890,IF('DASHBOARD'!$I$3="Tümü","*",'DASHBOARD'!$I$3),'VERİ'!$C$2:$C$2890,IF('DASHBOARD'!$L$3="Tümü","*",'DASHBOARD'!$L$3)),0),0)</x:f>
        <x:v>2369710</x:v>
      </x:c>
      <x:c r="AT8" s="343" t="n">
        <x:f>IFERROR(IF(OR('DASHBOARD'!$E$3="Tümü",'DASHBOARD'!$E$3=AR8),SUMIFS('VERİ'!$G$2:$G$2890,'VERİ'!$I$2:$I$2890,AR8,'VERİ'!$H$2:$H$2890,IF('DASHBOARD'!$B$3="Tümü","*",'DASHBOARD'!$B$3),'VERİ'!$B$2:$B$2890,IF('DASHBOARD'!$I$3="Tümü","*",'DASHBOARD'!$I$3),'VERİ'!$C$2:$C$2890,IF('DASHBOARD'!$L$3="Tümü","*",'DASHBOARD'!$L$3)),0),0)</x:f>
        <x:v>700610</x:v>
      </x:c>
      <x:c r="AU8" s="193" t="n">
        <x:f>IFERROR(AT8/AS8,0)</x:f>
        <x:v>0.2956522106080491</x:v>
      </x:c>
      <x:c r="AV8" t="str">
        <x:f>IFERROR(INDEX($U$5:$U$17,MATCH(AR8,$L$5:$L$17,0)),"-")</x:f>
        <x:v>Orta</x:v>
      </x:c>
      <x:c r="AW8" t="n">
        <x:f>IFERROR(IF(AT8=0,"",RANK.EQ(AT8,$AT$2:$AT$14,0)+COUNTIF($AT$2:AT8,AT8)-1),"")</x:f>
        <x:v>5</x:v>
      </x:c>
    </x:row>
    <x:row r="9">
      <x:c r="A9" s="330" t="str">
        <x:v>Kritik Şehir Marjı</x:v>
      </x:c>
      <x:c r="B9" s="323" t="n">
        <x:v>0.28</x:v>
      </x:c>
      <x:c r="C9" s="327"/>
      <x:c r="D9" s="330" t="str">
        <x:v>Mayıs</x:v>
      </x:c>
      <x:c r="E9" s="322" t="n">
        <x:f>SUMIF('VERİ'!$H$2:$H$2890,D9,'VERİ'!$F$2:$F$2890)</x:f>
        <x:v>3756370</x:v>
      </x:c>
      <x:c r="F9" s="322" t="n">
        <x:f>SUMIF('VERİ'!$H$2:$H$2890,D9,'VERİ'!$G$2:$G$2890)</x:f>
        <x:v>1135070</x:v>
      </x:c>
      <x:c r="G9" s="323" t="n">
        <x:f>IFERROR(F9/E9,0)</x:f>
        <x:v>0.30217204375500817</x:v>
      </x:c>
      <x:c r="H9" s="324" t="n">
        <x:f>COUNTIF('VERİ'!$H$2:$H$2890,D9)</x:f>
        <x:v>354</x:v>
      </x:c>
      <x:c r="I9" s="324" t="n">
        <x:f>SUMIF('VERİ'!$H$2:$H$2890,D9,'VERİ'!$D$2:$D$2890)</x:f>
        <x:v>966</x:v>
      </x:c>
      <x:c r="J9" s="323" t="n">
        <x:f>IFERROR(E9/E8-1,0)</x:f>
        <x:v>0.5615917854062087</x:v>
      </x:c>
      <x:c r="K9" s="327"/>
      <x:c r="L9" s="332" t="str">
        <x:v>Diyarbakır</x:v>
      </x:c>
      <x:c r="M9" s="337" t="n">
        <x:f>SUMIF('VERİ'!$I$2:$I$2890,L9,'VERİ'!$F$2:$F$2890)</x:f>
        <x:v>2709440</x:v>
      </x:c>
      <x:c r="N9" s="337" t="n">
        <x:f>SUMIF('VERİ'!$I$2:$I$2890,L9,'VERİ'!$G$2:$G$2890)</x:f>
        <x:v>793740</x:v>
      </x:c>
      <x:c r="O9" s="334" t="n">
        <x:f>IFERROR(N9/M9,0)</x:f>
        <x:v>0.29295352545175385</x:v>
      </x:c>
      <x:c r="P9" s="334" t="n">
        <x:f>IFERROR(M9/SUM('VERİ'!$F$2:$F$2890),0)</x:f>
        <x:v>0.08902611747994814</x:v>
      </x:c>
      <x:c r="Q9" s="341" t="n">
        <x:f>SUMIF('VERİ'!$I$2:$I$2890,L9,'VERİ'!$D$2:$D$2890)</x:f>
        <x:v>680</x:v>
      </x:c>
      <x:c r="R9" s="341" t="n">
        <x:f>COUNTIF('VERİ'!$I$2:$I$2890,L9)</x:f>
        <x:v>246</x:v>
      </x:c>
      <x:c r="S9" s="342" t="n">
        <x:f>IFERROR(M9/R9,0)</x:f>
        <x:v>11013.983739837398</x:v>
      </x:c>
      <x:c r="T9" s="332" t="n">
        <x:f>MIN(10,1+IF(O9&lt;$B$9,4,0)+IF(M9&gt;$B$11,2,0)+IF(P9&gt;$B$10,2,0))</x:f>
        <x:v>5</x:v>
      </x:c>
      <x:c r="U9" s="332" t="str">
        <x:f>IFERROR(IF(T9&gt;='DASHBOARD (2)'!$I$3,"Yüksek",IF(T9&gt;=2,"Orta","Düşük")),"-")</x:f>
        <x:v>Yüksek</x:v>
      </x:c>
      <x:c r="V9" s="326" t="str">
        <x:v>Ağustos</x:v>
      </x:c>
      <x:c r="W9" s="326" t="str">
        <x:v>Kocaeli</x:v>
      </x:c>
      <x:c r="X9" s="326" t="str">
        <x:v>Miraç Tüten</x:v>
      </x:c>
      <x:c r="Y9" s="326" t="str">
        <x:v>Derin Dondurucu Beyaz</x:v>
      </x:c>
      <x:c r="Z9" s="326" t="str">
        <x:v>Ağustos</x:v>
      </x:c>
      <x:c r="AB9" t="str">
        <x:f>IFERROR(INDEX($V$2:$V$13,ROW()-1),"")</x:f>
        <x:v>Ağustos</x:v>
      </x:c>
      <x:c r="AC9" s="343" t="n">
        <x:f>IFERROR(IF(OR('DASHBOARD'!$B$3="Tümü",'DASHBOARD'!$B$3=AB9),SUMIFS('VERİ'!$F$2:$F$2890,'VERİ'!$H$2:$H$2890,AB9,'VERİ'!$I$2:$I$2890,IF('DASHBOARD'!$E$3="Tümü","*",'DASHBOARD'!$E$3),'VERİ'!$B$2:$B$2890,IF('DASHBOARD'!$I$3="Tümü","*",'DASHBOARD'!$I$3),'VERİ'!$C$2:$C$2890,IF('DASHBOARD'!$L$3="Tümü","*",'DASHBOARD'!$L$3)),0),0)</x:f>
        <x:v>4706900</x:v>
      </x:c>
      <x:c r="AD9" s="343" t="n">
        <x:f>IFERROR(IF(OR('DASHBOARD'!$B$3="Tümü",'DASHBOARD'!$B$3=AB9),SUMIFS('VERİ'!$G$2:$G$2890,'VERİ'!$H$2:$H$2890,AB9,'VERİ'!$I$2:$I$2890,IF('DASHBOARD'!$E$3="Tümü","*",'DASHBOARD'!$E$3),'VERİ'!$B$2:$B$2890,IF('DASHBOARD'!$I$3="Tümü","*",'DASHBOARD'!$I$3),'VERİ'!$C$2:$C$2890,IF('DASHBOARD'!$L$3="Tümü","*",'DASHBOARD'!$L$3)),0),0)</x:f>
        <x:v>1471900</x:v>
      </x:c>
      <x:c r="AF9" t="str">
        <x:f>IFERROR(INDEX($X$2:$X$14,ROW()-1),"")</x:f>
        <x:v>Miraç Tüten</x:v>
      </x:c>
      <x:c r="AG9" s="343" t="n">
        <x:f>IFERROR(IF(OR('DASHBOARD'!$I$3="Tümü",'DASHBOARD'!$I$3=AF9),SUMIFS('VERİ'!$F$2:$F$2890,'VERİ'!$B$2:$B$2890,AF9,'VERİ'!$H$2:$H$2890,IF('DASHBOARD'!$B$3="Tümü","*",'DASHBOARD'!$B$3),'VERİ'!$I$2:$I$2890,IF('DASHBOARD'!$E$3="Tümü","*",'DASHBOARD'!$E$3),'VERİ'!$C$2:$C$2890,IF('DASHBOARD'!$L$3="Tümü","*",'DASHBOARD'!$L$3)),0),0)</x:f>
        <x:v>2452505</x:v>
      </x:c>
      <x:c r="AI9" t="str">
        <x:f>IFERROR(INDEX($W$2:$W$14,ROW()-1),"")</x:f>
        <x:v>Kocaeli</x:v>
      </x:c>
      <x:c r="AJ9" s="343" t="n">
        <x:f>IFERROR(IF(OR('DASHBOARD'!$E$3="Tümü",'DASHBOARD'!$E$3=AI9),SUMIFS('VERİ'!$G$2:$G$2890,'VERİ'!$I$2:$I$2890,AI9,'VERİ'!$H$2:$H$2890,IF('DASHBOARD'!$B$3="Tümü","*",'DASHBOARD'!$B$3),'VERİ'!$B$2:$B$2890,IF('DASHBOARD'!$I$3="Tümü","*",'DASHBOARD'!$I$3),'VERİ'!$C$2:$C$2890,IF('DASHBOARD'!$L$3="Tümü","*",'DASHBOARD'!$L$3)),0),0)</x:f>
        <x:v>683740</x:v>
      </x:c>
      <x:c r="AK9" s="343" t="n">
        <x:f>IFERROR(IF(OR('DASHBOARD'!$E$3="Tümü",'DASHBOARD'!$E$3=AI9),SUMIFS('VERİ'!$F$2:$F$2890,'VERİ'!$I$2:$I$2890,AI9,'VERİ'!$H$2:$H$2890,IF('DASHBOARD'!$B$3="Tümü","*",'DASHBOARD'!$B$3),'VERİ'!$B$2:$B$2890,IF('DASHBOARD'!$I$3="Tümü","*",'DASHBOARD'!$I$3),'VERİ'!$C$2:$C$2890,IF('DASHBOARD'!$L$3="Tümü","*",'DASHBOARD'!$L$3)),0),0)</x:f>
        <x:v>2200840</x:v>
      </x:c>
      <x:c r="AL9" t="str">
        <x:f>IFERROR(INDEX($Y$2:$Y$24,ROW()-1),"")</x:f>
        <x:v>Derin Dondurucu Beyaz</x:v>
      </x:c>
      <x:c r="AM9" s="154" t="n">
        <x:f>IFERROR(IF(OR('DASHBOARD'!$L$3="Tümü",'DASHBOARD'!$L$3=AL9),SUMIFS('VERİ'!$D$2:$D$2890,'VERİ'!$C$2:$C$2890,AL9,'VERİ'!$H$2:$H$2890,IF('DASHBOARD'!$B$3="Tümü","*",'DASHBOARD'!$B$3),'VERİ'!$I$2:$I$2890,IF('DASHBOARD'!$E$3="Tümü","*",'DASHBOARD'!$E$3),'VERİ'!$B$2:$B$2890,IF('DASHBOARD'!$I$3="Tümü","*",'DASHBOARD'!$I$3)),0),0)</x:f>
        <x:v>133</x:v>
      </x:c>
      <x:c r="AN9" s="343" t="n">
        <x:f>IFERROR(IF(OR('DASHBOARD'!$L$3="Tümü",'DASHBOARD'!$L$3=AL9),SUMIFS('VERİ'!$F$2:$F$2890,'VERİ'!$C$2:$C$2890,AL9,'VERİ'!$H$2:$H$2890,IF('DASHBOARD'!$B$3="Tümü","*",'DASHBOARD'!$B$3),'VERİ'!$I$2:$I$2890,IF('DASHBOARD'!$E$3="Tümü","*",'DASHBOARD'!$E$3),'VERİ'!$B$2:$B$2890,IF('DASHBOARD'!$I$3="Tümü","*",'DASHBOARD'!$I$3)),0),0)</x:f>
        <x:v>771025</x:v>
      </x:c>
      <x:c r="AO9" s="343" t="n">
        <x:f>IFERROR(IF(OR('DASHBOARD'!$L$3="Tümü",'DASHBOARD'!$L$3=AL9),SUMIFS('VERİ'!$G$2:$G$2890,'VERİ'!$C$2:$C$2890,AL9,'VERİ'!$H$2:$H$2890,IF('DASHBOARD'!$B$3="Tümü","*",'DASHBOARD'!$B$3),'VERİ'!$I$2:$I$2890,IF('DASHBOARD'!$E$3="Tümü","*",'DASHBOARD'!$E$3),'VERİ'!$B$2:$B$2890,IF('DASHBOARD'!$I$3="Tümü","*",'DASHBOARD'!$I$3)),0),0)</x:f>
        <x:v>237025</x:v>
      </x:c>
      <x:c r="AP9" s="193" t="n">
        <x:f>IFERROR(AO9/AN9,0)</x:f>
        <x:v>0.30741545345481663</x:v>
      </x:c>
      <x:c r="AQ9" t="n">
        <x:f>IFERROR(IF(AM9=0,"",RANK.EQ(AM9,$AM$2:$AM$24,0)+COUNTIF($AM$2:AM9,AM9)-1),"")</x:f>
        <x:v>22</x:v>
      </x:c>
      <x:c r="AR9" t="str">
        <x:f>IFERROR(INDEX($W$2:$W$14,ROW()-1),"")</x:f>
        <x:v>Kocaeli</x:v>
      </x:c>
      <x:c r="AS9" s="343" t="n">
        <x:f>IFERROR(IF(OR('DASHBOARD'!$E$3="Tümü",'DASHBOARD'!$E$3=AR9),SUMIFS('VERİ'!$F$2:$F$2890,'VERİ'!$I$2:$I$2890,AR9,'VERİ'!$H$2:$H$2890,IF('DASHBOARD'!$B$3="Tümü","*",'DASHBOARD'!$B$3),'VERİ'!$B$2:$B$2890,IF('DASHBOARD'!$I$3="Tümü","*",'DASHBOARD'!$I$3),'VERİ'!$C$2:$C$2890,IF('DASHBOARD'!$L$3="Tümü","*",'DASHBOARD'!$L$3)),0),0)</x:f>
        <x:v>2200840</x:v>
      </x:c>
      <x:c r="AT9" s="343" t="n">
        <x:f>IFERROR(IF(OR('DASHBOARD'!$E$3="Tümü",'DASHBOARD'!$E$3=AR9),SUMIFS('VERİ'!$G$2:$G$2890,'VERİ'!$I$2:$I$2890,AR9,'VERİ'!$H$2:$H$2890,IF('DASHBOARD'!$B$3="Tümü","*",'DASHBOARD'!$B$3),'VERİ'!$B$2:$B$2890,IF('DASHBOARD'!$I$3="Tümü","*",'DASHBOARD'!$I$3),'VERİ'!$C$2:$C$2890,IF('DASHBOARD'!$L$3="Tümü","*",'DASHBOARD'!$L$3)),0),0)</x:f>
        <x:v>683740</x:v>
      </x:c>
      <x:c r="AU9" s="193" t="n">
        <x:f>IFERROR(AT9/AS9,0)</x:f>
        <x:v>0.3106722887624725</x:v>
      </x:c>
      <x:c r="AV9" t="str">
        <x:f>IFERROR(INDEX($U$5:$U$17,MATCH(AR9,$L$5:$L$17,0)),"-")</x:f>
        <x:v>Düşük</x:v>
      </x:c>
      <x:c r="AW9" t="n">
        <x:f>IFERROR(IF(AT9=0,"",RANK.EQ(AT9,$AT$2:$AT$14,0)+COUNTIF($AT$2:AT9,AT9)-1),"")</x:f>
        <x:v>10</x:v>
      </x:c>
    </x:row>
    <x:row r="10">
      <x:c r="A10" s="330" t="str">
        <x:v>Yüksek Konsantrasyon</x:v>
      </x:c>
      <x:c r="B10" s="323" t="n">
        <x:v>0.08</x:v>
      </x:c>
      <x:c r="C10" s="327"/>
      <x:c r="D10" s="330" t="str">
        <x:v>Haziran</x:v>
      </x:c>
      <x:c r="E10" s="322" t="n">
        <x:f>SUMIF('VERİ'!$H$2:$H$2890,D10,'VERİ'!$F$2:$F$2890)</x:f>
        <x:v>3857420</x:v>
      </x:c>
      <x:c r="F10" s="322" t="n">
        <x:f>SUMIF('VERİ'!$H$2:$H$2890,D10,'VERİ'!$G$2:$G$2890)</x:f>
        <x:v>1153720</x:v>
      </x:c>
      <x:c r="G10" s="323" t="n">
        <x:f>IFERROR(F10/E10,0)</x:f>
        <x:v>0.29909110234301683</x:v>
      </x:c>
      <x:c r="H10" s="324" t="n">
        <x:f>COUNTIF('VERİ'!$H$2:$H$2890,D10)</x:f>
        <x:v>356</x:v>
      </x:c>
      <x:c r="I10" s="324" t="n">
        <x:f>SUMIF('VERİ'!$H$2:$H$2890,D10,'VERİ'!$D$2:$D$2890)</x:f>
        <x:v>965</x:v>
      </x:c>
      <x:c r="J10" s="323" t="n">
        <x:f>IFERROR(E10/E9-1,0)</x:f>
        <x:v>0.026900970884124797</x:v>
      </x:c>
      <x:c r="K10" s="327"/>
      <x:c r="L10" s="332" t="str">
        <x:v>Gaziantep</x:v>
      </x:c>
      <x:c r="M10" s="337" t="n">
        <x:f>SUMIF('VERİ'!$I$2:$I$2890,L10,'VERİ'!$F$2:$F$2890)</x:f>
        <x:v>2277785</x:v>
      </x:c>
      <x:c r="N10" s="337" t="n">
        <x:f>SUMIF('VERİ'!$I$2:$I$2890,L10,'VERİ'!$G$2:$G$2890)</x:f>
        <x:v>679185</x:v>
      </x:c>
      <x:c r="O10" s="334" t="n">
        <x:f>IFERROR(N10/M10,0)</x:f>
        <x:v>0.2981778350458889</x:v>
      </x:c>
      <x:c r="P10" s="334" t="n">
        <x:f>IFERROR(M10/SUM('VERİ'!$F$2:$F$2890),0)</x:f>
        <x:v>0.0748429029629974</x:v>
      </x:c>
      <x:c r="Q10" s="341" t="n">
        <x:f>SUMIF('VERİ'!$I$2:$I$2890,L10,'VERİ'!$D$2:$D$2890)</x:f>
        <x:v>596</x:v>
      </x:c>
      <x:c r="R10" s="341" t="n">
        <x:f>COUNTIF('VERİ'!$I$2:$I$2890,L10)</x:f>
        <x:v>209</x:v>
      </x:c>
      <x:c r="S10" s="342" t="n">
        <x:f>IFERROR(M10/R10,0)</x:f>
        <x:v>10898.492822966507</x:v>
      </x:c>
      <x:c r="T10" s="332" t="n">
        <x:f>MIN(10,1+IF(O10&lt;$B$9,4,0)+IF(M10&gt;$B$11,2,0)+IF(P10&gt;$B$10,2,0))</x:f>
        <x:v>1</x:v>
      </x:c>
      <x:c r="U10" s="332" t="str">
        <x:f>IFERROR(IF(T10&gt;='DASHBOARD (2)'!$I$3,"Yüksek",IF(T10&gt;=2,"Orta","Düşük")),"-")</x:f>
        <x:v>Düşük</x:v>
      </x:c>
      <x:c r="V10" s="326" t="str">
        <x:v>Eylül</x:v>
      </x:c>
      <x:c r="W10" s="326" t="str">
        <x:v>Konya</x:v>
      </x:c>
      <x:c r="X10" s="326" t="str">
        <x:v>Reyhan Uyanık</x:v>
      </x:c>
      <x:c r="Y10" s="326" t="str">
        <x:v>Derin Dondurucu Gri</x:v>
      </x:c>
      <x:c r="Z10" s="326" t="str">
        <x:v>Eylül</x:v>
      </x:c>
      <x:c r="AB10" t="str">
        <x:f>IFERROR(INDEX($V$2:$V$13,ROW()-1),"")</x:f>
        <x:v>Eylül</x:v>
      </x:c>
      <x:c r="AC10" s="343" t="n">
        <x:f>IFERROR(IF(OR('DASHBOARD'!$B$3="Tümü",'DASHBOARD'!$B$3=AB10),SUMIFS('VERİ'!$F$2:$F$2890,'VERİ'!$H$2:$H$2890,AB10,'VERİ'!$I$2:$I$2890,IF('DASHBOARD'!$E$3="Tümü","*",'DASHBOARD'!$E$3),'VERİ'!$B$2:$B$2890,IF('DASHBOARD'!$I$3="Tümü","*",'DASHBOARD'!$I$3),'VERİ'!$C$2:$C$2890,IF('DASHBOARD'!$L$3="Tümü","*",'DASHBOARD'!$L$3)),0),0)</x:f>
        <x:v>2635840</x:v>
      </x:c>
      <x:c r="AD10" s="343" t="n">
        <x:f>IFERROR(IF(OR('DASHBOARD'!$B$3="Tümü",'DASHBOARD'!$B$3=AB10),SUMIFS('VERİ'!$G$2:$G$2890,'VERİ'!$H$2:$H$2890,AB10,'VERİ'!$I$2:$I$2890,IF('DASHBOARD'!$E$3="Tümü","*",'DASHBOARD'!$E$3),'VERİ'!$B$2:$B$2890,IF('DASHBOARD'!$I$3="Tümü","*",'DASHBOARD'!$I$3),'VERİ'!$C$2:$C$2890,IF('DASHBOARD'!$L$3="Tümü","*",'DASHBOARD'!$L$3)),0),0)</x:f>
        <x:v>756740</x:v>
      </x:c>
      <x:c r="AF10" t="str">
        <x:f>IFERROR(INDEX($X$2:$X$14,ROW()-1),"")</x:f>
        <x:v>Reyhan Uyanık</x:v>
      </x:c>
      <x:c r="AG10" s="343" t="n">
        <x:f>IFERROR(IF(OR('DASHBOARD'!$I$3="Tümü",'DASHBOARD'!$I$3=AF10),SUMIFS('VERİ'!$F$2:$F$2890,'VERİ'!$B$2:$B$2890,AF10,'VERİ'!$H$2:$H$2890,IF('DASHBOARD'!$B$3="Tümü","*",'DASHBOARD'!$B$3),'VERİ'!$I$2:$I$2890,IF('DASHBOARD'!$E$3="Tümü","*",'DASHBOARD'!$E$3),'VERİ'!$C$2:$C$2890,IF('DASHBOARD'!$L$3="Tümü","*",'DASHBOARD'!$L$3)),0),0)</x:f>
        <x:v>2960670</x:v>
      </x:c>
      <x:c r="AI10" t="str">
        <x:f>IFERROR(INDEX($W$2:$W$14,ROW()-1),"")</x:f>
        <x:v>Konya</x:v>
      </x:c>
      <x:c r="AJ10" s="343" t="n">
        <x:f>IFERROR(IF(OR('DASHBOARD'!$E$3="Tümü",'DASHBOARD'!$E$3=AI10),SUMIFS('VERİ'!$G$2:$G$2890,'VERİ'!$I$2:$I$2890,AI10,'VERİ'!$H$2:$H$2890,IF('DASHBOARD'!$B$3="Tümü","*",'DASHBOARD'!$B$3),'VERİ'!$B$2:$B$2890,IF('DASHBOARD'!$I$3="Tümü","*",'DASHBOARD'!$I$3),'VERİ'!$C$2:$C$2890,IF('DASHBOARD'!$L$3="Tümü","*",'DASHBOARD'!$L$3)),0),0)</x:f>
        <x:v>601310</x:v>
      </x:c>
      <x:c r="AK10" s="343" t="n">
        <x:f>IFERROR(IF(OR('DASHBOARD'!$E$3="Tümü",'DASHBOARD'!$E$3=AI10),SUMIFS('VERİ'!$F$2:$F$2890,'VERİ'!$I$2:$I$2890,AI10,'VERİ'!$H$2:$H$2890,IF('DASHBOARD'!$B$3="Tümü","*",'DASHBOARD'!$B$3),'VERİ'!$B$2:$B$2890,IF('DASHBOARD'!$I$3="Tümü","*",'DASHBOARD'!$I$3),'VERİ'!$C$2:$C$2890,IF('DASHBOARD'!$L$3="Tümü","*",'DASHBOARD'!$L$3)),0),0)</x:f>
        <x:v>2045210</x:v>
      </x:c>
      <x:c r="AL10" t="str">
        <x:f>IFERROR(INDEX($Y$2:$Y$24,ROW()-1),"")</x:f>
        <x:v>Derin Dondurucu Gri</x:v>
      </x:c>
      <x:c r="AM10" s="154" t="n">
        <x:f>IFERROR(IF(OR('DASHBOARD'!$L$3="Tümü",'DASHBOARD'!$L$3=AL10),SUMIFS('VERİ'!$D$2:$D$2890,'VERİ'!$C$2:$C$2890,AL10,'VERİ'!$H$2:$H$2890,IF('DASHBOARD'!$B$3="Tümü","*",'DASHBOARD'!$B$3),'VERİ'!$I$2:$I$2890,IF('DASHBOARD'!$E$3="Tümü","*",'DASHBOARD'!$E$3),'VERİ'!$B$2:$B$2890,IF('DASHBOARD'!$I$3="Tümü","*",'DASHBOARD'!$I$3)),0),0)</x:f>
        <x:v>611</x:v>
      </x:c>
      <x:c r="AN10" s="343" t="n">
        <x:f>IFERROR(IF(OR('DASHBOARD'!$L$3="Tümü",'DASHBOARD'!$L$3=AL10),SUMIFS('VERİ'!$F$2:$F$2890,'VERİ'!$C$2:$C$2890,AL10,'VERİ'!$H$2:$H$2890,IF('DASHBOARD'!$B$3="Tümü","*",'DASHBOARD'!$B$3),'VERİ'!$I$2:$I$2890,IF('DASHBOARD'!$E$3="Tümü","*",'DASHBOARD'!$E$3),'VERİ'!$B$2:$B$2890,IF('DASHBOARD'!$I$3="Tümü","*",'DASHBOARD'!$I$3)),0),0)</x:f>
        <x:v>4429750</x:v>
      </x:c>
      <x:c r="AO10" s="343" t="n">
        <x:f>IFERROR(IF(OR('DASHBOARD'!$L$3="Tümü",'DASHBOARD'!$L$3=AL10),SUMIFS('VERİ'!$G$2:$G$2890,'VERİ'!$C$2:$C$2890,AL10,'VERİ'!$H$2:$H$2890,IF('DASHBOARD'!$B$3="Tümü","*",'DASHBOARD'!$B$3),'VERİ'!$I$2:$I$2890,IF('DASHBOARD'!$E$3="Tümü","*",'DASHBOARD'!$E$3),'VERİ'!$B$2:$B$2890,IF('DASHBOARD'!$I$3="Tümü","*",'DASHBOARD'!$I$3)),0),0)</x:f>
        <x:v>1374750</x:v>
      </x:c>
      <x:c r="AP10" s="193" t="n">
        <x:f>IFERROR(AO10/AN10,0)</x:f>
        <x:v>0.3103448275862069</x:v>
      </x:c>
      <x:c r="AQ10" t="n">
        <x:f>IFERROR(IF(AM10=0,"",RANK.EQ(AM10,$AM$2:$AM$24,0)+COUNTIF($AM$2:AM10,AM10)-1),"")</x:f>
        <x:v>2</x:v>
      </x:c>
      <x:c r="AR10" t="str">
        <x:f>IFERROR(INDEX($W$2:$W$14,ROW()-1),"")</x:f>
        <x:v>Konya</x:v>
      </x:c>
      <x:c r="AS10" s="343" t="n">
        <x:f>IFERROR(IF(OR('DASHBOARD'!$E$3="Tümü",'DASHBOARD'!$E$3=AR10),SUMIFS('VERİ'!$F$2:$F$2890,'VERİ'!$I$2:$I$2890,AR10,'VERİ'!$H$2:$H$2890,IF('DASHBOARD'!$B$3="Tümü","*",'DASHBOARD'!$B$3),'VERİ'!$B$2:$B$2890,IF('DASHBOARD'!$I$3="Tümü","*",'DASHBOARD'!$I$3),'VERİ'!$C$2:$C$2890,IF('DASHBOARD'!$L$3="Tümü","*",'DASHBOARD'!$L$3)),0),0)</x:f>
        <x:v>2045210</x:v>
      </x:c>
      <x:c r="AT10" s="343" t="n">
        <x:f>IFERROR(IF(OR('DASHBOARD'!$E$3="Tümü",'DASHBOARD'!$E$3=AR10),SUMIFS('VERİ'!$G$2:$G$2890,'VERİ'!$I$2:$I$2890,AR10,'VERİ'!$H$2:$H$2890,IF('DASHBOARD'!$B$3="Tümü","*",'DASHBOARD'!$B$3),'VERİ'!$B$2:$B$2890,IF('DASHBOARD'!$I$3="Tümü","*",'DASHBOARD'!$I$3),'VERİ'!$C$2:$C$2890,IF('DASHBOARD'!$L$3="Tümü","*",'DASHBOARD'!$L$3)),0),0)</x:f>
        <x:v>601310</x:v>
      </x:c>
      <x:c r="AU10" s="193" t="n">
        <x:f>IFERROR(AT10/AS10,0)</x:f>
        <x:v>0.2940089281785245</x:v>
      </x:c>
      <x:c r="AV10" t="str">
        <x:f>IFERROR(INDEX($U$5:$U$17,MATCH(AR10,$L$5:$L$17,0)),"-")</x:f>
        <x:v>Düşük</x:v>
      </x:c>
      <x:c r="AW10" t="n">
        <x:f>IFERROR(IF(AT10=0,"",RANK.EQ(AT10,$AT$2:$AT$14,0)+COUNTIF($AT$2:AT10,AT10)-1),"")</x:f>
        <x:v>13</x:v>
      </x:c>
    </x:row>
    <x:row r="11">
      <x:c r="A11" s="330" t="str">
        <x:v>Yüksek Ciro Eşiği</x:v>
      </x:c>
      <x:c r="B11" s="330" t="n">
        <x:f>AVERAGE(M5:M17)</x:f>
        <x:v>2341093.4615384615</x:v>
      </x:c>
      <x:c r="C11" s="327"/>
      <x:c r="D11" s="330" t="str">
        <x:v>Temmuz</x:v>
      </x:c>
      <x:c r="E11" s="322" t="n">
        <x:f>SUMIF('VERİ'!$H$2:$H$2890,D11,'VERİ'!$F$2:$F$2890)</x:f>
        <x:v>2057110</x:v>
      </x:c>
      <x:c r="F11" s="322" t="n">
        <x:f>SUMIF('VERİ'!$H$2:$H$2890,D11,'VERİ'!$G$2:$G$2890)</x:f>
        <x:v>607410</x:v>
      </x:c>
      <x:c r="G11" s="323" t="n">
        <x:f>IFERROR(F11/E11,0)</x:f>
        <x:v>0.29527346617341804</x:v>
      </x:c>
      <x:c r="H11" s="324" t="n">
        <x:f>COUNTIF('VERİ'!$H$2:$H$2890,D11)</x:f>
        <x:v>192</x:v>
      </x:c>
      <x:c r="I11" s="324" t="n">
        <x:f>SUMIF('VERİ'!$H$2:$H$2890,D11,'VERİ'!$D$2:$D$2890)</x:f>
        <x:v>539</x:v>
      </x:c>
      <x:c r="J11" s="323" t="n">
        <x:f>IFERROR(E11/E10-1,0)</x:f>
        <x:v>-0.46671350280757606</x:v>
      </x:c>
      <x:c r="K11" s="327"/>
      <x:c r="L11" s="332" t="str">
        <x:v>Hatay</x:v>
      </x:c>
      <x:c r="M11" s="337" t="n">
        <x:f>SUMIF('VERİ'!$I$2:$I$2890,L11,'VERİ'!$F$2:$F$2890)</x:f>
        <x:v>2369710</x:v>
      </x:c>
      <x:c r="N11" s="337" t="n">
        <x:f>SUMIF('VERİ'!$I$2:$I$2890,L11,'VERİ'!$G$2:$G$2890)</x:f>
        <x:v>700610</x:v>
      </x:c>
      <x:c r="O11" s="334" t="n">
        <x:f>IFERROR(N11/M11,0)</x:f>
        <x:v>0.2956522106080491</x:v>
      </x:c>
      <x:c r="P11" s="334" t="n">
        <x:f>IFERROR(M11/SUM('VERİ'!$F$2:$F$2890),0)</x:f>
        <x:v>0.07786335215151763</x:v>
      </x:c>
      <x:c r="Q11" s="341" t="n">
        <x:f>SUMIF('VERİ'!$I$2:$I$2890,L11,'VERİ'!$D$2:$D$2890)</x:f>
        <x:v>629</x:v>
      </x:c>
      <x:c r="R11" s="341" t="n">
        <x:f>COUNTIF('VERİ'!$I$2:$I$2890,L11)</x:f>
        <x:v>242</x:v>
      </x:c>
      <x:c r="S11" s="342" t="n">
        <x:f>IFERROR(M11/R11,0)</x:f>
        <x:v>9792.190082644629</x:v>
      </x:c>
      <x:c r="T11" s="332" t="n">
        <x:f>MIN(10,1+IF(O11&lt;$B$9,4,0)+IF(M11&gt;$B$11,2,0)+IF(P11&gt;$B$10,2,0))</x:f>
        <x:v>3</x:v>
      </x:c>
      <x:c r="U11" s="332" t="str">
        <x:f>IFERROR(IF(T11&gt;='DASHBOARD (2)'!$I$3,"Yüksek",IF(T11&gt;=2,"Orta","Düşük")),"-")</x:f>
        <x:v>Orta</x:v>
      </x:c>
      <x:c r="V11" s="326" t="str">
        <x:v>Ekim</x:v>
      </x:c>
      <x:c r="W11" s="326" t="str">
        <x:v>Mersin</x:v>
      </x:c>
      <x:c r="X11" s="326" t="str">
        <x:v>Serdal Yücel</x:v>
      </x:c>
      <x:c r="Y11" s="326" t="str">
        <x:v>Fırın Beyaz</x:v>
      </x:c>
      <x:c r="Z11" s="326" t="str">
        <x:v>Ekim</x:v>
      </x:c>
      <x:c r="AB11" t="str">
        <x:f>IFERROR(INDEX($V$2:$V$13,ROW()-1),"")</x:f>
        <x:v>Ekim</x:v>
      </x:c>
      <x:c r="AC11" s="343" t="n">
        <x:f>IFERROR(IF(OR('DASHBOARD'!$B$3="Tümü",'DASHBOARD'!$B$3=AB11),SUMIFS('VERİ'!$F$2:$F$2890,'VERİ'!$H$2:$H$2890,AB11,'VERİ'!$I$2:$I$2890,IF('DASHBOARD'!$E$3="Tümü","*",'DASHBOARD'!$E$3),'VERİ'!$B$2:$B$2890,IF('DASHBOARD'!$I$3="Tümü","*",'DASHBOARD'!$I$3),'VERİ'!$C$2:$C$2890,IF('DASHBOARD'!$L$3="Tümü","*",'DASHBOARD'!$L$3)),0),0)</x:f>
        <x:v>2571535</x:v>
      </x:c>
      <x:c r="AD11" s="343" t="n">
        <x:f>IFERROR(IF(OR('DASHBOARD'!$B$3="Tümü",'DASHBOARD'!$B$3=AB11),SUMIFS('VERİ'!$G$2:$G$2890,'VERİ'!$H$2:$H$2890,AB11,'VERİ'!$I$2:$I$2890,IF('DASHBOARD'!$E$3="Tümü","*",'DASHBOARD'!$E$3),'VERİ'!$B$2:$B$2890,IF('DASHBOARD'!$I$3="Tümü","*",'DASHBOARD'!$I$3),'VERİ'!$C$2:$C$2890,IF('DASHBOARD'!$L$3="Tümü","*",'DASHBOARD'!$L$3)),0),0)</x:f>
        <x:v>802535</x:v>
      </x:c>
      <x:c r="AF11" t="str">
        <x:f>IFERROR(INDEX($X$2:$X$14,ROW()-1),"")</x:f>
        <x:v>Serdal Yücel</x:v>
      </x:c>
      <x:c r="AG11" s="343" t="n">
        <x:f>IFERROR(IF(OR('DASHBOARD'!$I$3="Tümü",'DASHBOARD'!$I$3=AF11),SUMIFS('VERİ'!$F$2:$F$2890,'VERİ'!$B$2:$B$2890,AF11,'VERİ'!$H$2:$H$2890,IF('DASHBOARD'!$B$3="Tümü","*",'DASHBOARD'!$B$3),'VERİ'!$I$2:$I$2890,IF('DASHBOARD'!$E$3="Tümü","*",'DASHBOARD'!$E$3),'VERİ'!$C$2:$C$2890,IF('DASHBOARD'!$L$3="Tümü","*",'DASHBOARD'!$L$3)),0),0)</x:f>
        <x:v>3820925</x:v>
      </x:c>
      <x:c r="AI11" t="str">
        <x:f>IFERROR(INDEX($W$2:$W$14,ROW()-1),"")</x:f>
        <x:v>Mersin</x:v>
      </x:c>
      <x:c r="AJ11" s="343" t="n">
        <x:f>IFERROR(IF(OR('DASHBOARD'!$E$3="Tümü",'DASHBOARD'!$E$3=AI11),SUMIFS('VERİ'!$G$2:$G$2890,'VERİ'!$I$2:$I$2890,AI11,'VERİ'!$H$2:$H$2890,IF('DASHBOARD'!$B$3="Tümü","*",'DASHBOARD'!$B$3),'VERİ'!$B$2:$B$2890,IF('DASHBOARD'!$I$3="Tümü","*",'DASHBOARD'!$I$3),'VERİ'!$C$2:$C$2890,IF('DASHBOARD'!$L$3="Tümü","*",'DASHBOARD'!$L$3)),0),0)</x:f>
        <x:v>690730</x:v>
      </x:c>
      <x:c r="AK11" s="343" t="n">
        <x:f>IFERROR(IF(OR('DASHBOARD'!$E$3="Tümü",'DASHBOARD'!$E$3=AI11),SUMIFS('VERİ'!$F$2:$F$2890,'VERİ'!$I$2:$I$2890,AI11,'VERİ'!$H$2:$H$2890,IF('DASHBOARD'!$B$3="Tümü","*",'DASHBOARD'!$B$3),'VERİ'!$B$2:$B$2890,IF('DASHBOARD'!$I$3="Tümü","*",'DASHBOARD'!$I$3),'VERİ'!$C$2:$C$2890,IF('DASHBOARD'!$L$3="Tümü","*",'DASHBOARD'!$L$3)),0),0)</x:f>
        <x:v>2221530</x:v>
      </x:c>
      <x:c r="AL11" t="str">
        <x:f>IFERROR(INDEX($Y$2:$Y$24,ROW()-1),"")</x:f>
        <x:v>Fırın Beyaz</x:v>
      </x:c>
      <x:c r="AM11" s="154" t="n">
        <x:f>IFERROR(IF(OR('DASHBOARD'!$L$3="Tümü",'DASHBOARD'!$L$3=AL11),SUMIFS('VERİ'!$D$2:$D$2890,'VERİ'!$C$2:$C$2890,AL11,'VERİ'!$H$2:$H$2890,IF('DASHBOARD'!$B$3="Tümü","*",'DASHBOARD'!$B$3),'VERİ'!$I$2:$I$2890,IF('DASHBOARD'!$E$3="Tümü","*",'DASHBOARD'!$E$3),'VERİ'!$B$2:$B$2890,IF('DASHBOARD'!$I$3="Tümü","*",'DASHBOARD'!$I$3)),0),0)</x:f>
        <x:v>360</x:v>
      </x:c>
      <x:c r="AN11" s="343" t="n">
        <x:f>IFERROR(IF(OR('DASHBOARD'!$L$3="Tümü",'DASHBOARD'!$L$3=AL11),SUMIFS('VERİ'!$F$2:$F$2890,'VERİ'!$C$2:$C$2890,AL11,'VERİ'!$H$2:$H$2890,IF('DASHBOARD'!$B$3="Tümü","*",'DASHBOARD'!$B$3),'VERİ'!$I$2:$I$2890,IF('DASHBOARD'!$E$3="Tümü","*",'DASHBOARD'!$E$3),'VERİ'!$B$2:$B$2890,IF('DASHBOARD'!$I$3="Tümü","*",'DASHBOARD'!$I$3)),0),0)</x:f>
        <x:v>1512000</x:v>
      </x:c>
      <x:c r="AO11" s="343" t="n">
        <x:f>IFERROR(IF(OR('DASHBOARD'!$L$3="Tümü",'DASHBOARD'!$L$3=AL11),SUMIFS('VERİ'!$G$2:$G$2890,'VERİ'!$C$2:$C$2890,AL11,'VERİ'!$H$2:$H$2890,IF('DASHBOARD'!$B$3="Tümü","*",'DASHBOARD'!$B$3),'VERİ'!$I$2:$I$2890,IF('DASHBOARD'!$E$3="Tümü","*",'DASHBOARD'!$E$3),'VERİ'!$B$2:$B$2890,IF('DASHBOARD'!$I$3="Tümü","*",'DASHBOARD'!$I$3)),0),0)</x:f>
        <x:v>432000</x:v>
      </x:c>
      <x:c r="AP11" s="193" t="n">
        <x:f>IFERROR(AO11/AN11,0)</x:f>
        <x:v>0.2857142857142857</x:v>
      </x:c>
      <x:c r="AQ11" t="n">
        <x:f>IFERROR(IF(AM11=0,"",RANK.EQ(AM11,$AM$2:$AM$24,0)+COUNTIF($AM$2:AM11,AM11)-1),"")</x:f>
        <x:v>11</x:v>
      </x:c>
      <x:c r="AR11" t="str">
        <x:f>IFERROR(INDEX($W$2:$W$14,ROW()-1),"")</x:f>
        <x:v>Mersin</x:v>
      </x:c>
      <x:c r="AS11" s="343" t="n">
        <x:f>IFERROR(IF(OR('DASHBOARD'!$E$3="Tümü",'DASHBOARD'!$E$3=AR11),SUMIFS('VERİ'!$F$2:$F$2890,'VERİ'!$I$2:$I$2890,AR11,'VERİ'!$H$2:$H$2890,IF('DASHBOARD'!$B$3="Tümü","*",'DASHBOARD'!$B$3),'VERİ'!$B$2:$B$2890,IF('DASHBOARD'!$I$3="Tümü","*",'DASHBOARD'!$I$3),'VERİ'!$C$2:$C$2890,IF('DASHBOARD'!$L$3="Tümü","*",'DASHBOARD'!$L$3)),0),0)</x:f>
        <x:v>2221530</x:v>
      </x:c>
      <x:c r="AT11" s="343" t="n">
        <x:f>IFERROR(IF(OR('DASHBOARD'!$E$3="Tümü",'DASHBOARD'!$E$3=AR11),SUMIFS('VERİ'!$G$2:$G$2890,'VERİ'!$I$2:$I$2890,AR11,'VERİ'!$H$2:$H$2890,IF('DASHBOARD'!$B$3="Tümü","*",'DASHBOARD'!$B$3),'VERİ'!$B$2:$B$2890,IF('DASHBOARD'!$I$3="Tümü","*",'DASHBOARD'!$I$3),'VERİ'!$C$2:$C$2890,IF('DASHBOARD'!$L$3="Tümü","*",'DASHBOARD'!$L$3)),0),0)</x:f>
        <x:v>690730</x:v>
      </x:c>
      <x:c r="AU11" s="193" t="n">
        <x:f>IFERROR(AT11/AS11,0)</x:f>
        <x:v>0.3109253532475366</x:v>
      </x:c>
      <x:c r="AV11" t="str">
        <x:f>IFERROR(INDEX($U$5:$U$17,MATCH(AR11,$L$5:$L$17,0)),"-")</x:f>
        <x:v>Düşük</x:v>
      </x:c>
      <x:c r="AW11" t="n">
        <x:f>IFERROR(IF(AT11=0,"",RANK.EQ(AT11,$AT$2:$AT$14,0)+COUNTIF($AT$2:AT11,AT11)-1),"")</x:f>
        <x:v>8</x:v>
      </x:c>
    </x:row>
    <x:row r="12">
      <x:c r="A12" s="327"/>
      <x:c r="B12" s="327"/>
      <x:c r="C12" s="327"/>
      <x:c r="D12" s="330" t="str">
        <x:v>Ağustos</x:v>
      </x:c>
      <x:c r="E12" s="322" t="n">
        <x:f>SUMIF('VERİ'!$H$2:$H$2890,D12,'VERİ'!$F$2:$F$2890)</x:f>
        <x:v>4706900</x:v>
      </x:c>
      <x:c r="F12" s="322" t="n">
        <x:f>SUMIF('VERİ'!$H$2:$H$2890,D12,'VERİ'!$G$2:$G$2890)</x:f>
        <x:v>1471900</x:v>
      </x:c>
      <x:c r="G12" s="323" t="n">
        <x:f>IFERROR(F12/E12,0)</x:f>
        <x:v>0.31271112621895514</x:v>
      </x:c>
      <x:c r="H12" s="324" t="n">
        <x:f>COUNTIF('VERİ'!$H$2:$H$2890,D12)</x:f>
        <x:v>452</x:v>
      </x:c>
      <x:c r="I12" s="324" t="n">
        <x:f>SUMIF('VERİ'!$H$2:$H$2890,D12,'VERİ'!$D$2:$D$2890)</x:f>
        <x:v>1225</x:v>
      </x:c>
      <x:c r="J12" s="323" t="n">
        <x:f>IFERROR(E12/E11-1,0)</x:f>
        <x:v>1.2881129351371583</x:v>
      </x:c>
      <x:c r="K12" s="327"/>
      <x:c r="L12" s="332" t="str">
        <x:v>Kocaeli</x:v>
      </x:c>
      <x:c r="M12" s="337" t="n">
        <x:f>SUMIF('VERİ'!$I$2:$I$2890,L12,'VERİ'!$F$2:$F$2890)</x:f>
        <x:v>2200840</x:v>
      </x:c>
      <x:c r="N12" s="337" t="n">
        <x:f>SUMIF('VERİ'!$I$2:$I$2890,L12,'VERİ'!$G$2:$G$2890)</x:f>
        <x:v>683740</x:v>
      </x:c>
      <x:c r="O12" s="334" t="n">
        <x:f>IFERROR(N12/M12,0)</x:f>
        <x:v>0.3106722887624725</x:v>
      </x:c>
      <x:c r="P12" s="334" t="n">
        <x:f>IFERROR(M12/SUM('VERİ'!$F$2:$F$2890),0)</x:f>
        <x:v>0.07231466295417838</x:v>
      </x:c>
      <x:c r="Q12" s="341" t="n">
        <x:f>SUMIF('VERİ'!$I$2:$I$2890,L12,'VERİ'!$D$2:$D$2890)</x:f>
        <x:v>552</x:v>
      </x:c>
      <x:c r="R12" s="341" t="n">
        <x:f>COUNTIF('VERİ'!$I$2:$I$2890,L12)</x:f>
        <x:v>210</x:v>
      </x:c>
      <x:c r="S12" s="342" t="n">
        <x:f>IFERROR(M12/R12,0)</x:f>
        <x:v>10480.190476190477</x:v>
      </x:c>
      <x:c r="T12" s="332" t="n">
        <x:f>MIN(10,1+IF(O12&lt;$B$9,4,0)+IF(M12&gt;$B$11,2,0)+IF(P12&gt;$B$10,2,0))</x:f>
        <x:v>1</x:v>
      </x:c>
      <x:c r="U12" s="332" t="str">
        <x:f>IFERROR(IF(T12&gt;='DASHBOARD (2)'!$I$3,"Yüksek",IF(T12&gt;=2,"Orta","Düşük")),"-")</x:f>
        <x:v>Düşük</x:v>
      </x:c>
      <x:c r="V12" s="326" t="str">
        <x:v>Kasım</x:v>
      </x:c>
      <x:c r="W12" s="326" t="str">
        <x:v>İstanbul</x:v>
      </x:c>
      <x:c r="X12" s="326" t="str">
        <x:v>Yücel Öztürk</x:v>
      </x:c>
      <x:c r="Y12" s="326" t="str">
        <x:v>Fırın Siyah</x:v>
      </x:c>
      <x:c r="Z12" s="326" t="str">
        <x:v>Kasım</x:v>
      </x:c>
      <x:c r="AB12" t="str">
        <x:f>IFERROR(INDEX($V$2:$V$13,ROW()-1),"")</x:f>
        <x:v>Kasım</x:v>
      </x:c>
      <x:c r="AC12" s="343" t="n">
        <x:f>IFERROR(IF(OR('DASHBOARD'!$B$3="Tümü",'DASHBOARD'!$B$3=AB12),SUMIFS('VERİ'!$F$2:$F$2890,'VERİ'!$H$2:$H$2890,AB12,'VERİ'!$I$2:$I$2890,IF('DASHBOARD'!$E$3="Tümü","*",'DASHBOARD'!$E$3),'VERİ'!$B$2:$B$2890,IF('DASHBOARD'!$I$3="Tümü","*",'DASHBOARD'!$I$3),'VERİ'!$C$2:$C$2890,IF('DASHBOARD'!$L$3="Tümü","*",'DASHBOARD'!$L$3)),0),0)</x:f>
        <x:v>2075190</x:v>
      </x:c>
      <x:c r="AD12" s="343" t="n">
        <x:f>IFERROR(IF(OR('DASHBOARD'!$B$3="Tümü",'DASHBOARD'!$B$3=AB12),SUMIFS('VERİ'!$G$2:$G$2890,'VERİ'!$H$2:$H$2890,AB12,'VERİ'!$I$2:$I$2890,IF('DASHBOARD'!$E$3="Tümü","*",'DASHBOARD'!$E$3),'VERİ'!$B$2:$B$2890,IF('DASHBOARD'!$I$3="Tümü","*",'DASHBOARD'!$I$3),'VERİ'!$C$2:$C$2890,IF('DASHBOARD'!$L$3="Tümü","*",'DASHBOARD'!$L$3)),0),0)</x:f>
        <x:v>590990</x:v>
      </x:c>
      <x:c r="AF12" t="str">
        <x:f>IFERROR(INDEX($X$2:$X$14,ROW()-1),"")</x:f>
        <x:v>Yücel Öztürk</x:v>
      </x:c>
      <x:c r="AG12" s="343" t="n">
        <x:f>IFERROR(IF(OR('DASHBOARD'!$I$3="Tümü",'DASHBOARD'!$I$3=AF12),SUMIFS('VERİ'!$F$2:$F$2890,'VERİ'!$B$2:$B$2890,AF12,'VERİ'!$H$2:$H$2890,IF('DASHBOARD'!$B$3="Tümü","*",'DASHBOARD'!$B$3),'VERİ'!$I$2:$I$2890,IF('DASHBOARD'!$E$3="Tümü","*",'DASHBOARD'!$E$3),'VERİ'!$C$2:$C$2890,IF('DASHBOARD'!$L$3="Tümü","*",'DASHBOARD'!$L$3)),0),0)</x:f>
        <x:v>1800540</x:v>
      </x:c>
      <x:c r="AI12" t="str">
        <x:f>IFERROR(INDEX($W$2:$W$14,ROW()-1),"")</x:f>
        <x:v>İstanbul</x:v>
      </x:c>
      <x:c r="AJ12" s="343" t="n">
        <x:f>IFERROR(IF(OR('DASHBOARD'!$E$3="Tümü",'DASHBOARD'!$E$3=AI12),SUMIFS('VERİ'!$G$2:$G$2890,'VERİ'!$I$2:$I$2890,AI12,'VERİ'!$H$2:$H$2890,IF('DASHBOARD'!$B$3="Tümü","*",'DASHBOARD'!$B$3),'VERİ'!$B$2:$B$2890,IF('DASHBOARD'!$I$3="Tümü","*",'DASHBOARD'!$I$3),'VERİ'!$C$2:$C$2890,IF('DASHBOARD'!$L$3="Tümü","*",'DASHBOARD'!$L$3)),0),0)</x:f>
        <x:v>696705</x:v>
      </x:c>
      <x:c r="AK12" s="343" t="n">
        <x:f>IFERROR(IF(OR('DASHBOARD'!$E$3="Tümü",'DASHBOARD'!$E$3=AI12),SUMIFS('VERİ'!$F$2:$F$2890,'VERİ'!$I$2:$I$2890,AI12,'VERİ'!$H$2:$H$2890,IF('DASHBOARD'!$B$3="Tümü","*",'DASHBOARD'!$B$3),'VERİ'!$B$2:$B$2890,IF('DASHBOARD'!$I$3="Tümü","*",'DASHBOARD'!$I$3),'VERİ'!$C$2:$C$2890,IF('DASHBOARD'!$L$3="Tümü","*",'DASHBOARD'!$L$3)),0),0)</x:f>
        <x:v>2308105</x:v>
      </x:c>
      <x:c r="AL12" t="str">
        <x:f>IFERROR(INDEX($Y$2:$Y$24,ROW()-1),"")</x:f>
        <x:v>Fırın Siyah</x:v>
      </x:c>
      <x:c r="AM12" s="154" t="n">
        <x:f>IFERROR(IF(OR('DASHBOARD'!$L$3="Tümü",'DASHBOARD'!$L$3=AL12),SUMIFS('VERİ'!$D$2:$D$2890,'VERİ'!$C$2:$C$2890,AL12,'VERİ'!$H$2:$H$2890,IF('DASHBOARD'!$B$3="Tümü","*",'DASHBOARD'!$B$3),'VERİ'!$I$2:$I$2890,IF('DASHBOARD'!$E$3="Tümü","*",'DASHBOARD'!$E$3),'VERİ'!$B$2:$B$2890,IF('DASHBOARD'!$I$3="Tümü","*",'DASHBOARD'!$I$3)),0),0)</x:f>
        <x:v>275</x:v>
      </x:c>
      <x:c r="AN12" s="343" t="n">
        <x:f>IFERROR(IF(OR('DASHBOARD'!$L$3="Tümü",'DASHBOARD'!$L$3=AL12),SUMIFS('VERİ'!$F$2:$F$2890,'VERİ'!$C$2:$C$2890,AL12,'VERİ'!$H$2:$H$2890,IF('DASHBOARD'!$B$3="Tümü","*",'DASHBOARD'!$B$3),'VERİ'!$I$2:$I$2890,IF('DASHBOARD'!$E$3="Tümü","*",'DASHBOARD'!$E$3),'VERİ'!$B$2:$B$2890,IF('DASHBOARD'!$I$3="Tümü","*",'DASHBOARD'!$I$3)),0),0)</x:f>
        <x:v>1009700</x:v>
      </x:c>
      <x:c r="AO12" s="343" t="n">
        <x:f>IFERROR(IF(OR('DASHBOARD'!$L$3="Tümü",'DASHBOARD'!$L$3=AL12),SUMIFS('VERİ'!$G$2:$G$2890,'VERİ'!$C$2:$C$2890,AL12,'VERİ'!$H$2:$H$2890,IF('DASHBOARD'!$B$3="Tümü","*",'DASHBOARD'!$B$3),'VERİ'!$I$2:$I$2890,IF('DASHBOARD'!$E$3="Tümü","*",'DASHBOARD'!$E$3),'VERİ'!$B$2:$B$2890,IF('DASHBOARD'!$I$3="Tümü","*",'DASHBOARD'!$I$3)),0),0)</x:f>
        <x:v>191300</x:v>
      </x:c>
      <x:c r="AP12" s="193" t="n">
        <x:f>IFERROR(AO12/AN12,0)</x:f>
        <x:v>0.1894622164999505</x:v>
      </x:c>
      <x:c r="AQ12" t="n">
        <x:f>IFERROR(IF(AM12=0,"",RANK.EQ(AM12,$AM$2:$AM$24,0)+COUNTIF($AM$2:AM12,AM12)-1),"")</x:f>
        <x:v>14</x:v>
      </x:c>
      <x:c r="AR12" t="str">
        <x:f>IFERROR(INDEX($W$2:$W$14,ROW()-1),"")</x:f>
        <x:v>İstanbul</x:v>
      </x:c>
      <x:c r="AS12" s="343" t="n">
        <x:f>IFERROR(IF(OR('DASHBOARD'!$E$3="Tümü",'DASHBOARD'!$E$3=AR12),SUMIFS('VERİ'!$F$2:$F$2890,'VERİ'!$I$2:$I$2890,AR12,'VERİ'!$H$2:$H$2890,IF('DASHBOARD'!$B$3="Tümü","*",'DASHBOARD'!$B$3),'VERİ'!$B$2:$B$2890,IF('DASHBOARD'!$I$3="Tümü","*",'DASHBOARD'!$I$3),'VERİ'!$C$2:$C$2890,IF('DASHBOARD'!$L$3="Tümü","*",'DASHBOARD'!$L$3)),0),0)</x:f>
        <x:v>2308105</x:v>
      </x:c>
      <x:c r="AT12" s="343" t="n">
        <x:f>IFERROR(IF(OR('DASHBOARD'!$E$3="Tümü",'DASHBOARD'!$E$3=AR12),SUMIFS('VERİ'!$G$2:$G$2890,'VERİ'!$I$2:$I$2890,AR12,'VERİ'!$H$2:$H$2890,IF('DASHBOARD'!$B$3="Tümü","*",'DASHBOARD'!$B$3),'VERİ'!$B$2:$B$2890,IF('DASHBOARD'!$I$3="Tümü","*",'DASHBOARD'!$I$3),'VERİ'!$C$2:$C$2890,IF('DASHBOARD'!$L$3="Tümü","*",'DASHBOARD'!$L$3)),0),0)</x:f>
        <x:v>696705</x:v>
      </x:c>
      <x:c r="AU12" s="193" t="n">
        <x:f>IFERROR(AT12/AS12,0)</x:f>
        <x:v>0.30185151888670575</x:v>
      </x:c>
      <x:c r="AV12" t="str">
        <x:f>IFERROR(INDEX($U$5:$U$17,MATCH(AR12,$L$5:$L$17,0)),"-")</x:f>
        <x:v>Düşük</x:v>
      </x:c>
      <x:c r="AW12" t="n">
        <x:f>IFERROR(IF(AT12=0,"",RANK.EQ(AT12,$AT$2:$AT$14,0)+COUNTIF($AT$2:AT12,AT12)-1),"")</x:f>
        <x:v>6</x:v>
      </x:c>
    </x:row>
    <x:row r="13">
      <x:c r="A13" s="327"/>
      <x:c r="B13" s="327"/>
      <x:c r="C13" s="327"/>
      <x:c r="D13" s="330" t="str">
        <x:v>Eylül</x:v>
      </x:c>
      <x:c r="E13" s="322" t="n">
        <x:f>SUMIF('VERİ'!$H$2:$H$2890,D13,'VERİ'!$F$2:$F$2890)</x:f>
        <x:v>2635840</x:v>
      </x:c>
      <x:c r="F13" s="322" t="n">
        <x:f>SUMIF('VERİ'!$H$2:$H$2890,D13,'VERİ'!$G$2:$G$2890)</x:f>
        <x:v>756740</x:v>
      </x:c>
      <x:c r="G13" s="323" t="n">
        <x:f>IFERROR(F13/E13,0)</x:f>
        <x:v>0.28709633361660797</x:v>
      </x:c>
      <x:c r="H13" s="324" t="n">
        <x:f>COUNTIF('VERİ'!$H$2:$H$2890,D13)</x:f>
        <x:v>256</x:v>
      </x:c>
      <x:c r="I13" s="324" t="n">
        <x:f>SUMIF('VERİ'!$H$2:$H$2890,D13,'VERİ'!$D$2:$D$2890)</x:f>
        <x:v>677</x:v>
      </x:c>
      <x:c r="J13" s="323" t="n">
        <x:f>IFERROR(E13/E12-1,0)</x:f>
        <x:v>-0.4400050988973635</x:v>
      </x:c>
      <x:c r="K13" s="327"/>
      <x:c r="L13" s="332" t="str">
        <x:v>Konya</x:v>
      </x:c>
      <x:c r="M13" s="337" t="n">
        <x:f>SUMIF('VERİ'!$I$2:$I$2890,L13,'VERİ'!$F$2:$F$2890)</x:f>
        <x:v>2045210</x:v>
      </x:c>
      <x:c r="N13" s="337" t="n">
        <x:f>SUMIF('VERİ'!$I$2:$I$2890,L13,'VERİ'!$G$2:$G$2890)</x:f>
        <x:v>601310</x:v>
      </x:c>
      <x:c r="O13" s="334" t="n">
        <x:f>IFERROR(N13/M13,0)</x:f>
        <x:v>0.2940089281785245</x:v>
      </x:c>
      <x:c r="P13" s="334" t="n">
        <x:f>IFERROR(M13/SUM('VERİ'!$F$2:$F$2890),0)</x:f>
        <x:v>0.06720101044170187</x:v>
      </x:c>
      <x:c r="Q13" s="341" t="n">
        <x:f>SUMIF('VERİ'!$I$2:$I$2890,L13,'VERİ'!$D$2:$D$2890)</x:f>
        <x:v>523</x:v>
      </x:c>
      <x:c r="R13" s="341" t="n">
        <x:f>COUNTIF('VERİ'!$I$2:$I$2890,L13)</x:f>
        <x:v>197</x:v>
      </x:c>
      <x:c r="S13" s="342" t="n">
        <x:f>IFERROR(M13/R13,0)</x:f>
        <x:v>10381.776649746193</x:v>
      </x:c>
      <x:c r="T13" s="332" t="n">
        <x:f>MIN(10,1+IF(O13&lt;$B$9,4,0)+IF(M13&gt;$B$11,2,0)+IF(P13&gt;$B$10,2,0))</x:f>
        <x:v>1</x:v>
      </x:c>
      <x:c r="U13" s="332" t="str">
        <x:f>IFERROR(IF(T13&gt;='DASHBOARD (2)'!$I$3,"Yüksek",IF(T13&gt;=2,"Orta","Düşük")),"-")</x:f>
        <x:v>Düşük</x:v>
      </x:c>
      <x:c r="V13" s="326" t="str">
        <x:v>Aralık</x:v>
      </x:c>
      <x:c r="W13" s="326" t="str">
        <x:v>İzmir</x:v>
      </x:c>
      <x:c r="X13" s="326" t="str">
        <x:v>Zeynep Şen</x:v>
      </x:c>
      <x:c r="Y13" s="326" t="str">
        <x:v>Kahve Makinesi X Marka</x:v>
      </x:c>
      <x:c r="Z13" s="326" t="str">
        <x:v>Aralık</x:v>
      </x:c>
      <x:c r="AB13" t="str">
        <x:f>IFERROR(INDEX($V$2:$V$13,ROW()-1),"")</x:f>
        <x:v>Aralık</x:v>
      </x:c>
      <x:c r="AC13" s="343" t="n">
        <x:f>IFERROR(IF(OR('DASHBOARD'!$B$3="Tümü",'DASHBOARD'!$B$3=AB13),SUMIFS('VERİ'!$F$2:$F$2890,'VERİ'!$H$2:$H$2890,AB13,'VERİ'!$I$2:$I$2890,IF('DASHBOARD'!$E$3="Tümü","*",'DASHBOARD'!$E$3),'VERİ'!$B$2:$B$2890,IF('DASHBOARD'!$I$3="Tümü","*",'DASHBOARD'!$I$3),'VERİ'!$C$2:$C$2890,IF('DASHBOARD'!$L$3="Tümü","*",'DASHBOARD'!$L$3)),0),0)</x:f>
        <x:v>2843665</x:v>
      </x:c>
      <x:c r="AD13" s="343" t="n">
        <x:f>IFERROR(IF(OR('DASHBOARD'!$B$3="Tümü",'DASHBOARD'!$B$3=AB13),SUMIFS('VERİ'!$G$2:$G$2890,'VERİ'!$H$2:$H$2890,AB13,'VERİ'!$I$2:$I$2890,IF('DASHBOARD'!$E$3="Tümü","*",'DASHBOARD'!$E$3),'VERİ'!$B$2:$B$2890,IF('DASHBOARD'!$I$3="Tümü","*",'DASHBOARD'!$I$3),'VERİ'!$C$2:$C$2890,IF('DASHBOARD'!$L$3="Tümü","*",'DASHBOARD'!$L$3)),0),0)</x:f>
        <x:v>872765</x:v>
      </x:c>
      <x:c r="AF13" t="str">
        <x:f>IFERROR(INDEX($X$2:$X$14,ROW()-1),"")</x:f>
        <x:v>Zeynep Şen</x:v>
      </x:c>
      <x:c r="AG13" s="343" t="n">
        <x:f>IFERROR(IF(OR('DASHBOARD'!$I$3="Tümü",'DASHBOARD'!$I$3=AF13),SUMIFS('VERİ'!$F$2:$F$2890,'VERİ'!$B$2:$B$2890,AF13,'VERİ'!$H$2:$H$2890,IF('DASHBOARD'!$B$3="Tümü","*",'DASHBOARD'!$B$3),'VERİ'!$I$2:$I$2890,IF('DASHBOARD'!$E$3="Tümü","*",'DASHBOARD'!$E$3),'VERİ'!$C$2:$C$2890,IF('DASHBOARD'!$L$3="Tümü","*",'DASHBOARD'!$L$3)),0),0)</x:f>
        <x:v>2515870</x:v>
      </x:c>
      <x:c r="AI13" t="str">
        <x:f>IFERROR(INDEX($W$2:$W$14,ROW()-1),"")</x:f>
        <x:v>İzmir</x:v>
      </x:c>
      <x:c r="AJ13" s="343" t="n">
        <x:f>IFERROR(IF(OR('DASHBOARD'!$E$3="Tümü",'DASHBOARD'!$E$3=AI13),SUMIFS('VERİ'!$G$2:$G$2890,'VERİ'!$I$2:$I$2890,AI13,'VERİ'!$H$2:$H$2890,IF('DASHBOARD'!$B$3="Tümü","*",'DASHBOARD'!$B$3),'VERİ'!$B$2:$B$2890,IF('DASHBOARD'!$I$3="Tümü","*",'DASHBOARD'!$I$3),'VERİ'!$C$2:$C$2890,IF('DASHBOARD'!$L$3="Tümü","*",'DASHBOARD'!$L$3)),0),0)</x:f>
        <x:v>694370</x:v>
      </x:c>
      <x:c r="AK13" s="343" t="n">
        <x:f>IFERROR(IF(OR('DASHBOARD'!$E$3="Tümü",'DASHBOARD'!$E$3=AI13),SUMIFS('VERİ'!$F$2:$F$2890,'VERİ'!$I$2:$I$2890,AI13,'VERİ'!$H$2:$H$2890,IF('DASHBOARD'!$B$3="Tümü","*",'DASHBOARD'!$B$3),'VERİ'!$B$2:$B$2890,IF('DASHBOARD'!$I$3="Tümü","*",'DASHBOARD'!$I$3),'VERİ'!$C$2:$C$2890,IF('DASHBOARD'!$L$3="Tümü","*",'DASHBOARD'!$L$3)),0),0)</x:f>
        <x:v>2224770</x:v>
      </x:c>
      <x:c r="AL13" t="str">
        <x:f>IFERROR(INDEX($Y$2:$Y$24,ROW()-1),"")</x:f>
        <x:v>Kahve Makinesi X Marka</x:v>
      </x:c>
      <x:c r="AM13" s="154" t="n">
        <x:f>IFERROR(IF(OR('DASHBOARD'!$L$3="Tümü",'DASHBOARD'!$L$3=AL13),SUMIFS('VERİ'!$D$2:$D$2890,'VERİ'!$C$2:$C$2890,AL13,'VERİ'!$H$2:$H$2890,IF('DASHBOARD'!$B$3="Tümü","*",'DASHBOARD'!$B$3),'VERİ'!$I$2:$I$2890,IF('DASHBOARD'!$E$3="Tümü","*",'DASHBOARD'!$E$3),'VERİ'!$B$2:$B$2890,IF('DASHBOARD'!$I$3="Tümü","*",'DASHBOARD'!$I$3)),0),0)</x:f>
        <x:v>69</x:v>
      </x:c>
      <x:c r="AN13" s="343" t="n">
        <x:f>IFERROR(IF(OR('DASHBOARD'!$L$3="Tümü",'DASHBOARD'!$L$3=AL13),SUMIFS('VERİ'!$F$2:$F$2890,'VERİ'!$C$2:$C$2890,AL13,'VERİ'!$H$2:$H$2890,IF('DASHBOARD'!$B$3="Tümü","*",'DASHBOARD'!$B$3),'VERİ'!$I$2:$I$2890,IF('DASHBOARD'!$E$3="Tümü","*",'DASHBOARD'!$E$3),'VERİ'!$B$2:$B$2890,IF('DASHBOARD'!$I$3="Tümü","*",'DASHBOARD'!$I$3)),0),0)</x:f>
        <x:v>206250</x:v>
      </x:c>
      <x:c r="AO13" s="343" t="n">
        <x:f>IFERROR(IF(OR('DASHBOARD'!$L$3="Tümü",'DASHBOARD'!$L$3=AL13),SUMIFS('VERİ'!$G$2:$G$2890,'VERİ'!$C$2:$C$2890,AL13,'VERİ'!$H$2:$H$2890,IF('DASHBOARD'!$B$3="Tümü","*",'DASHBOARD'!$B$3),'VERİ'!$I$2:$I$2890,IF('DASHBOARD'!$E$3="Tümü","*",'DASHBOARD'!$E$3),'VERİ'!$B$2:$B$2890,IF('DASHBOARD'!$I$3="Tümü","*",'DASHBOARD'!$I$3)),0),0)</x:f>
        <x:v>65850</x:v>
      </x:c>
      <x:c r="AP13" s="193" t="n">
        <x:f>IFERROR(AO13/AN13,0)</x:f>
        <x:v>0.31927272727272726</x:v>
      </x:c>
      <x:c r="AQ13" t="n">
        <x:f>IFERROR(IF(AM13=0,"",RANK.EQ(AM13,$AM$2:$AM$24,0)+COUNTIF($AM$2:AM13,AM13)-1),"")</x:f>
        <x:v>23</x:v>
      </x:c>
      <x:c r="AR13" t="str">
        <x:f>IFERROR(INDEX($W$2:$W$14,ROW()-1),"")</x:f>
        <x:v>İzmir</x:v>
      </x:c>
      <x:c r="AS13" s="343" t="n">
        <x:f>IFERROR(IF(OR('DASHBOARD'!$E$3="Tümü",'DASHBOARD'!$E$3=AR13),SUMIFS('VERİ'!$F$2:$F$2890,'VERİ'!$I$2:$I$2890,AR13,'VERİ'!$H$2:$H$2890,IF('DASHBOARD'!$B$3="Tümü","*",'DASHBOARD'!$B$3),'VERİ'!$B$2:$B$2890,IF('DASHBOARD'!$I$3="Tümü","*",'DASHBOARD'!$I$3),'VERİ'!$C$2:$C$2890,IF('DASHBOARD'!$L$3="Tümü","*",'DASHBOARD'!$L$3)),0),0)</x:f>
        <x:v>2224770</x:v>
      </x:c>
      <x:c r="AT13" s="343" t="n">
        <x:f>IFERROR(IF(OR('DASHBOARD'!$E$3="Tümü",'DASHBOARD'!$E$3=AR13),SUMIFS('VERİ'!$G$2:$G$2890,'VERİ'!$I$2:$I$2890,AR13,'VERİ'!$H$2:$H$2890,IF('DASHBOARD'!$B$3="Tümü","*",'DASHBOARD'!$B$3),'VERİ'!$B$2:$B$2890,IF('DASHBOARD'!$I$3="Tümü","*",'DASHBOARD'!$I$3),'VERİ'!$C$2:$C$2890,IF('DASHBOARD'!$L$3="Tümü","*",'DASHBOARD'!$L$3)),0),0)</x:f>
        <x:v>694370</x:v>
      </x:c>
      <x:c r="AU13" s="193" t="n">
        <x:f>IFERROR(AT13/AS13,0)</x:f>
        <x:v>0.31210866741281124</x:v>
      </x:c>
      <x:c r="AV13" t="str">
        <x:f>IFERROR(INDEX($U$5:$U$17,MATCH(AR13,$L$5:$L$17,0)),"-")</x:f>
        <x:v>Düşük</x:v>
      </x:c>
      <x:c r="AW13" t="n">
        <x:f>IFERROR(IF(AT13=0,"",RANK.EQ(AT13,$AT$2:$AT$14,0)+COUNTIF($AT$2:AT13,AT13)-1),"")</x:f>
        <x:v>7</x:v>
      </x:c>
    </x:row>
    <x:row r="14">
      <x:c r="A14" s="329" t="str">
        <x:v>Personel Verimlilik Özeti</x:v>
      </x:c>
      <x:c r="B14" s="329"/>
      <x:c r="C14" s="329"/>
      <x:c r="D14" s="309"/>
      <x:c r="E14" s="335"/>
      <x:c r="F14" s="335"/>
      <x:c r="G14" s="311"/>
      <x:c r="H14" s="339"/>
      <x:c r="I14" s="339"/>
      <x:c r="J14" s="311"/>
      <x:c r="K14" s="329"/>
      <x:c r="L14" s="332" t="str">
        <x:v>Mersin</x:v>
      </x:c>
      <x:c r="M14" s="337" t="n">
        <x:f>SUMIF('VERİ'!$I$2:$I$2890,L14,'VERİ'!$F$2:$F$2890)</x:f>
        <x:v>2221530</x:v>
      </x:c>
      <x:c r="N14" s="337" t="n">
        <x:f>SUMIF('VERİ'!$I$2:$I$2890,L14,'VERİ'!$G$2:$G$2890)</x:f>
        <x:v>690730</x:v>
      </x:c>
      <x:c r="O14" s="334" t="n">
        <x:f>IFERROR(N14/M14,0)</x:f>
        <x:v>0.3109253532475366</x:v>
      </x:c>
      <x:c r="P14" s="334" t="n">
        <x:f>IFERROR(M14/SUM('VERİ'!$F$2:$F$2890),0)</x:f>
        <x:v>0.07299448991866556</x:v>
      </x:c>
      <x:c r="Q14" s="341" t="n">
        <x:f>SUMIF('VERİ'!$I$2:$I$2890,L14,'VERİ'!$D$2:$D$2890)</x:f>
        <x:v>569</x:v>
      </x:c>
      <x:c r="R14" s="341" t="n">
        <x:f>COUNTIF('VERİ'!$I$2:$I$2890,L14)</x:f>
        <x:v>211</x:v>
      </x:c>
      <x:c r="S14" s="342" t="n">
        <x:f>IFERROR(M14/R14,0)</x:f>
        <x:v>10528.578199052132</x:v>
      </x:c>
      <x:c r="T14" s="332" t="n">
        <x:f>MIN(10,1+IF(O14&lt;$B$9,4,0)+IF(M14&gt;$B$11,2,0)+IF(P14&gt;$B$10,2,0))</x:f>
        <x:v>1</x:v>
      </x:c>
      <x:c r="U14" s="332" t="str">
        <x:f>IFERROR(IF(T14&gt;='DASHBOARD (2)'!$I$3,"Yüksek",IF(T14&gt;=2,"Orta","Düşük")),"-")</x:f>
        <x:v>Düşük</x:v>
      </x:c>
      <x:c r="V14" s="326" t="str">
        <x:v>Tümü</x:v>
      </x:c>
      <x:c r="W14" s="326" t="str">
        <x:v>Şanlıurfa</x:v>
      </x:c>
      <x:c r="X14" s="326" t="str">
        <x:v>Özgür Ertekin</x:v>
      </x:c>
      <x:c r="Y14" s="326" t="str">
        <x:v>Kahve Makinesi Y Marka</x:v>
      </x:c>
      <x:c r="Z14" s="326"/>
      <x:c r="AF14" t="str">
        <x:f>IFERROR(INDEX($X$2:$X$14,ROW()-1),"")</x:f>
        <x:v>Özgür Ertekin</x:v>
      </x:c>
      <x:c r="AG14" s="343" t="n">
        <x:f>IFERROR(IF(OR('DASHBOARD'!$I$3="Tümü",'DASHBOARD'!$I$3=AF14),SUMIFS('VERİ'!$F$2:$F$2890,'VERİ'!$B$2:$B$2890,AF14,'VERİ'!$H$2:$H$2890,IF('DASHBOARD'!$B$3="Tümü","*",'DASHBOARD'!$B$3),'VERİ'!$I$2:$I$2890,IF('DASHBOARD'!$E$3="Tümü","*",'DASHBOARD'!$E$3),'VERİ'!$C$2:$C$2890,IF('DASHBOARD'!$L$3="Tümü","*",'DASHBOARD'!$L$3)),0),0)</x:f>
        <x:v>2762610</x:v>
      </x:c>
      <x:c r="AI14" t="str">
        <x:f>IFERROR(INDEX($W$2:$W$14,ROW()-1),"")</x:f>
        <x:v>Şanlıurfa</x:v>
      </x:c>
      <x:c r="AJ14" s="343" t="n">
        <x:f>IFERROR(IF(OR('DASHBOARD'!$E$3="Tümü",'DASHBOARD'!$E$3=AI14),SUMIFS('VERİ'!$G$2:$G$2890,'VERİ'!$I$2:$I$2890,AI14,'VERİ'!$H$2:$H$2890,IF('DASHBOARD'!$B$3="Tümü","*",'DASHBOARD'!$B$3),'VERİ'!$B$2:$B$2890,IF('DASHBOARD'!$I$3="Tümü","*",'DASHBOARD'!$I$3),'VERİ'!$C$2:$C$2890,IF('DASHBOARD'!$L$3="Tümü","*",'DASHBOARD'!$L$3)),0),0)</x:f>
        <x:v>669965</x:v>
      </x:c>
      <x:c r="AK14" s="343" t="n">
        <x:f>IFERROR(IF(OR('DASHBOARD'!$E$3="Tümü",'DASHBOARD'!$E$3=AI14),SUMIFS('VERİ'!$F$2:$F$2890,'VERİ'!$I$2:$I$2890,AI14,'VERİ'!$H$2:$H$2890,IF('DASHBOARD'!$B$3="Tümü","*",'DASHBOARD'!$B$3),'VERİ'!$B$2:$B$2890,IF('DASHBOARD'!$I$3="Tümü","*",'DASHBOARD'!$I$3),'VERİ'!$C$2:$C$2890,IF('DASHBOARD'!$L$3="Tümü","*",'DASHBOARD'!$L$3)),0),0)</x:f>
        <x:v>2097465</x:v>
      </x:c>
      <x:c r="AL14" t="str">
        <x:f>IFERROR(INDEX($Y$2:$Y$24,ROW()-1),"")</x:f>
        <x:v>Kahve Makinesi Y Marka</x:v>
      </x:c>
      <x:c r="AM14" s="154" t="n">
        <x:f>IFERROR(IF(OR('DASHBOARD'!$L$3="Tümü",'DASHBOARD'!$L$3=AL14),SUMIFS('VERİ'!$D$2:$D$2890,'VERİ'!$C$2:$C$2890,AL14,'VERİ'!$H$2:$H$2890,IF('DASHBOARD'!$B$3="Tümü","*",'DASHBOARD'!$B$3),'VERİ'!$I$2:$I$2890,IF('DASHBOARD'!$E$3="Tümü","*",'DASHBOARD'!$E$3),'VERİ'!$B$2:$B$2890,IF('DASHBOARD'!$I$3="Tümü","*",'DASHBOARD'!$I$3)),0),0)</x:f>
        <x:v>450</x:v>
      </x:c>
      <x:c r="AN14" s="343" t="n">
        <x:f>IFERROR(IF(OR('DASHBOARD'!$L$3="Tümü",'DASHBOARD'!$L$3=AL14),SUMIFS('VERİ'!$F$2:$F$2890,'VERİ'!$C$2:$C$2890,AL14,'VERİ'!$H$2:$H$2890,IF('DASHBOARD'!$B$3="Tümü","*",'DASHBOARD'!$B$3),'VERİ'!$I$2:$I$2890,IF('DASHBOARD'!$E$3="Tümü","*",'DASHBOARD'!$E$3),'VERİ'!$B$2:$B$2890,IF('DASHBOARD'!$I$3="Tümü","*",'DASHBOARD'!$I$3)),0),0)</x:f>
        <x:v>981000</x:v>
      </x:c>
      <x:c r="AO14" s="343" t="n">
        <x:f>IFERROR(IF(OR('DASHBOARD'!$L$3="Tümü",'DASHBOARD'!$L$3=AL14),SUMIFS('VERİ'!$G$2:$G$2890,'VERİ'!$C$2:$C$2890,AL14,'VERİ'!$H$2:$H$2890,IF('DASHBOARD'!$B$3="Tümü","*",'DASHBOARD'!$B$3),'VERİ'!$I$2:$I$2890,IF('DASHBOARD'!$E$3="Tümü","*",'DASHBOARD'!$E$3),'VERİ'!$B$2:$B$2890,IF('DASHBOARD'!$I$3="Tümü","*",'DASHBOARD'!$I$3)),0),0)</x:f>
        <x:v>306000</x:v>
      </x:c>
      <x:c r="AP14" s="193" t="n">
        <x:f>IFERROR(AO14/AN14,0)</x:f>
        <x:v>0.3119266055045872</x:v>
      </x:c>
      <x:c r="AQ14" t="n">
        <x:f>IFERROR(IF(AM14=0,"",RANK.EQ(AM14,$AM$2:$AM$24,0)+COUNTIF($AM$2:AM14,AM14)-1),"")</x:f>
        <x:v>4</x:v>
      </x:c>
      <x:c r="AR14" t="str">
        <x:f>IFERROR(INDEX($W$2:$W$14,ROW()-1),"")</x:f>
        <x:v>Şanlıurfa</x:v>
      </x:c>
      <x:c r="AS14" s="343" t="n">
        <x:f>IFERROR(IF(OR('DASHBOARD'!$E$3="Tümü",'DASHBOARD'!$E$3=AR14),SUMIFS('VERİ'!$F$2:$F$2890,'VERİ'!$I$2:$I$2890,AR14,'VERİ'!$H$2:$H$2890,IF('DASHBOARD'!$B$3="Tümü","*",'DASHBOARD'!$B$3),'VERİ'!$B$2:$B$2890,IF('DASHBOARD'!$I$3="Tümü","*",'DASHBOARD'!$I$3),'VERİ'!$C$2:$C$2890,IF('DASHBOARD'!$L$3="Tümü","*",'DASHBOARD'!$L$3)),0),0)</x:f>
        <x:v>2097465</x:v>
      </x:c>
      <x:c r="AT14" s="343" t="n">
        <x:f>IFERROR(IF(OR('DASHBOARD'!$E$3="Tümü",'DASHBOARD'!$E$3=AR14),SUMIFS('VERİ'!$G$2:$G$2890,'VERİ'!$I$2:$I$2890,AR14,'VERİ'!$H$2:$H$2890,IF('DASHBOARD'!$B$3="Tümü","*",'DASHBOARD'!$B$3),'VERİ'!$B$2:$B$2890,IF('DASHBOARD'!$I$3="Tümü","*",'DASHBOARD'!$I$3),'VERİ'!$C$2:$C$2890,IF('DASHBOARD'!$L$3="Tümü","*",'DASHBOARD'!$L$3)),0),0)</x:f>
        <x:v>669965</x:v>
      </x:c>
      <x:c r="AU14" s="193" t="n">
        <x:f>IFERROR(AT14/AS14,0)</x:f>
        <x:v>0.31941653376814394</x:v>
      </x:c>
      <x:c r="AV14" t="str">
        <x:f>IFERROR(INDEX($U$5:$U$17,MATCH(AR14,$L$5:$L$17,0)),"-")</x:f>
        <x:v>Düşük</x:v>
      </x:c>
      <x:c r="AW14" t="n">
        <x:f>IFERROR(IF(AT14=0,"",RANK.EQ(AT14,$AT$2:$AT$14,0)+COUNTIF($AT$2:AT14,AT14)-1),"")</x:f>
        <x:v>12</x:v>
      </x:c>
    </x:row>
    <x:row r="15">
      <x:c r="A15" s="192" t="str">
        <x:v>Personel</x:v>
      </x:c>
      <x:c r="B15" s="192" t="str">
        <x:v>Ciro</x:v>
      </x:c>
      <x:c r="C15" s="192" t="str">
        <x:v>Kâr</x:v>
      </x:c>
      <x:c r="D15" s="192" t="str">
        <x:v>Kâr Marjı</x:v>
      </x:c>
      <x:c r="E15" s="336" t="str">
        <x:v>Satış Adedi</x:v>
      </x:c>
      <x:c r="F15" s="336" t="str">
        <x:v>Sipariş</x:v>
      </x:c>
      <x:c r="G15" s="338" t="str">
        <x:v>Ort. Sipariş</x:v>
      </x:c>
      <x:c r="H15" s="340" t="str">
        <x:v>Son Dönem Ciro</x:v>
      </x:c>
      <x:c r="I15" s="340" t="str">
        <x:v>Önceki Dönem Ciro</x:v>
      </x:c>
      <x:c r="J15" s="338" t="str">
        <x:v>Değişim %</x:v>
      </x:c>
      <x:c r="K15" s="192" t="str">
        <x:v>Hedef Durumu</x:v>
      </x:c>
      <x:c r="L15" s="332" t="str">
        <x:v>İstanbul</x:v>
      </x:c>
      <x:c r="M15" s="337" t="n">
        <x:f>SUMIF('VERİ'!$I$2:$I$2890,L15,'VERİ'!$F$2:$F$2890)</x:f>
        <x:v>2308105</x:v>
      </x:c>
      <x:c r="N15" s="337" t="n">
        <x:f>SUMIF('VERİ'!$I$2:$I$2890,L15,'VERİ'!$G$2:$G$2890)</x:f>
        <x:v>696705</x:v>
      </x:c>
      <x:c r="O15" s="334" t="n">
        <x:f>IFERROR(N15/M15,0)</x:f>
        <x:v>0.30185151888670575</x:v>
      </x:c>
      <x:c r="P15" s="334" t="n">
        <x:f>IFERROR(M15/SUM('VERİ'!$F$2:$F$2890),0)</x:f>
        <x:v>0.07583915011443534</x:v>
      </x:c>
      <x:c r="Q15" s="341" t="n">
        <x:f>SUMIF('VERİ'!$I$2:$I$2890,L15,'VERİ'!$D$2:$D$2890)</x:f>
        <x:v>567</x:v>
      </x:c>
      <x:c r="R15" s="341" t="n">
        <x:f>COUNTIF('VERİ'!$I$2:$I$2890,L15)</x:f>
        <x:v>203</x:v>
      </x:c>
      <x:c r="S15" s="342" t="n">
        <x:f>IFERROR(M15/R15,0)</x:f>
        <x:v>11369.975369458129</x:v>
      </x:c>
      <x:c r="T15" s="332" t="n">
        <x:f>MIN(10,1+IF(O15&lt;$B$9,4,0)+IF(M15&gt;$B$11,2,0)+IF(P15&gt;$B$10,2,0))</x:f>
        <x:v>1</x:v>
      </x:c>
      <x:c r="U15" s="332" t="str">
        <x:f>IFERROR(IF(T15&gt;='DASHBOARD (2)'!$I$3,"Yüksek",IF(T15&gt;=2,"Orta","Düşük")),"-")</x:f>
        <x:v>Düşük</x:v>
      </x:c>
      <x:c r="V15" s="326"/>
      <x:c r="W15" s="326" t="str">
        <x:v>Tümü</x:v>
      </x:c>
      <x:c r="X15" s="326" t="str">
        <x:v>Tümü</x:v>
      </x:c>
      <x:c r="Y15" s="326" t="str">
        <x:v>Mikrodalga Fırın Beyaz</x:v>
      </x:c>
      <x:c r="Z15" s="326"/>
      <x:c r="AL15" t="str">
        <x:f>IFERROR(INDEX($Y$2:$Y$24,ROW()-1),"")</x:f>
        <x:v>Mikrodalga Fırın Beyaz</x:v>
      </x:c>
      <x:c r="AM15" s="154" t="n">
        <x:f>IFERROR(IF(OR('DASHBOARD'!$L$3="Tümü",'DASHBOARD'!$L$3=AL15),SUMIFS('VERİ'!$D$2:$D$2890,'VERİ'!$C$2:$C$2890,AL15,'VERİ'!$H$2:$H$2890,IF('DASHBOARD'!$B$3="Tümü","*",'DASHBOARD'!$B$3),'VERİ'!$I$2:$I$2890,IF('DASHBOARD'!$E$3="Tümü","*",'DASHBOARD'!$E$3),'VERİ'!$B$2:$B$2890,IF('DASHBOARD'!$I$3="Tümü","*",'DASHBOARD'!$I$3)),0),0)</x:f>
        <x:v>344</x:v>
      </x:c>
      <x:c r="AN15" s="343" t="n">
        <x:f>IFERROR(IF(OR('DASHBOARD'!$L$3="Tümü",'DASHBOARD'!$L$3=AL15),SUMIFS('VERİ'!$F$2:$F$2890,'VERİ'!$C$2:$C$2890,AL15,'VERİ'!$H$2:$H$2890,IF('DASHBOARD'!$B$3="Tümü","*",'DASHBOARD'!$B$3),'VERİ'!$I$2:$I$2890,IF('DASHBOARD'!$E$3="Tümü","*",'DASHBOARD'!$E$3),'VERİ'!$B$2:$B$2890,IF('DASHBOARD'!$I$3="Tümü","*",'DASHBOARD'!$I$3)),0),0)</x:f>
        <x:v>481600</x:v>
      </x:c>
      <x:c r="AO15" s="343" t="n">
        <x:f>IFERROR(IF(OR('DASHBOARD'!$L$3="Tümü",'DASHBOARD'!$L$3=AL15),SUMIFS('VERİ'!$G$2:$G$2890,'VERİ'!$C$2:$C$2890,AL15,'VERİ'!$H$2:$H$2890,IF('DASHBOARD'!$B$3="Tümü","*",'DASHBOARD'!$B$3),'VERİ'!$I$2:$I$2890,IF('DASHBOARD'!$E$3="Tümü","*",'DASHBOARD'!$E$3),'VERİ'!$B$2:$B$2890,IF('DASHBOARD'!$I$3="Tümü","*",'DASHBOARD'!$I$3)),0),0)</x:f>
        <x:v>206400</x:v>
      </x:c>
      <x:c r="AP15" s="193" t="n">
        <x:f>IFERROR(AO15/AN15,0)</x:f>
        <x:v>0.42857142857142855</x:v>
      </x:c>
      <x:c r="AQ15" t="n">
        <x:f>IFERROR(IF(AM15=0,"",RANK.EQ(AM15,$AM$2:$AM$24,0)+COUNTIF($AM$2:AM15,AM15)-1),"")</x:f>
        <x:v>12</x:v>
      </x:c>
    </x:row>
    <x:row r="16">
      <x:c r="A16" s="332" t="str">
        <x:v>Ali Kandemir</x:v>
      </x:c>
      <x:c r="B16" s="337" t="n">
        <x:f>SUMIF('VERİ'!$B$2:$B$2890,A16,'VERİ'!$F$2:$F$2890)</x:f>
        <x:v>2255130</x:v>
      </x:c>
      <x:c r="C16" s="337" t="n">
        <x:f>SUMIF('VERİ'!$B$2:$B$2890,A16,'VERİ'!$G$2:$G$2890)</x:f>
        <x:v>655130</x:v>
      </x:c>
      <x:c r="D16" s="334" t="n">
        <x:f>IFERROR(C16/B16,0)</x:f>
        <x:v>0.29050653399138854</x:v>
      </x:c>
      <x:c r="E16" s="341" t="n">
        <x:f>SUMIF('VERİ'!$B$2:$B$2890,A16,'VERİ'!$D$2:$D$2890)</x:f>
        <x:v>553</x:v>
      </x:c>
      <x:c r="F16" s="341" t="n">
        <x:f>COUNTIF('VERİ'!$B$2:$B$2890,A16)</x:f>
        <x:v>208</x:v>
      </x:c>
      <x:c r="G16" s="342" t="n">
        <x:f>IFERROR(B16/F16,0)</x:f>
        <x:v>10841.971153846154</x:v>
      </x:c>
      <x:c r="H16" s="342" t="n">
        <x:f>SUMIFS('VERİ'!$F$2:$F$2890,'VERİ'!$B$2:$B$2890,A16,'VERİ'!$H$2:$H$2890,$B$4)</x:f>
        <x:v>194780</x:v>
      </x:c>
      <x:c r="I16" s="342" t="n">
        <x:f>SUMIFS('VERİ'!$F$2:$F$2890,'VERİ'!$B$2:$B$2890,A16,'VERİ'!$H$2:$H$2890,$B$5)</x:f>
        <x:v>201310</x:v>
      </x:c>
      <x:c r="J16" s="334" t="n">
        <x:f>IFERROR(H16/I16-1,0)</x:f>
        <x:v>-0.0324375341513089</x:v>
      </x:c>
      <x:c r="K16" s="332" t="str">
        <x:f>IF(H16&gt;=AVERAGE($H$16:$H$28)*$B$6,"Hedef Üstü","Hedef Altı")</x:f>
        <x:v>Hedef Altı</x:v>
      </x:c>
      <x:c r="L16" s="332" t="str">
        <x:v>İzmir</x:v>
      </x:c>
      <x:c r="M16" s="337" t="n">
        <x:f>SUMIF('VERİ'!$I$2:$I$2890,L16,'VERİ'!$F$2:$F$2890)</x:f>
        <x:v>2224770</x:v>
      </x:c>
      <x:c r="N16" s="337" t="n">
        <x:f>SUMIF('VERİ'!$I$2:$I$2890,L16,'VERİ'!$G$2:$G$2890)</x:f>
        <x:v>694370</x:v>
      </x:c>
      <x:c r="O16" s="334" t="n">
        <x:f>IFERROR(N16/M16,0)</x:f>
        <x:v>0.31210866741281124</x:v>
      </x:c>
      <x:c r="P16" s="334" t="n">
        <x:f>IFERROR(M16/SUM('VERİ'!$F$2:$F$2890),0)</x:f>
        <x:v>0.07310094904698544</x:v>
      </x:c>
      <x:c r="Q16" s="341" t="n">
        <x:f>SUMIF('VERİ'!$I$2:$I$2890,L16,'VERİ'!$D$2:$D$2890)</x:f>
        <x:v>567</x:v>
      </x:c>
      <x:c r="R16" s="341" t="n">
        <x:f>COUNTIF('VERİ'!$I$2:$I$2890,L16)</x:f>
        <x:v>214</x:v>
      </x:c>
      <x:c r="S16" s="342" t="n">
        <x:f>IFERROR(M16/R16,0)</x:f>
        <x:v>10396.121495327103</x:v>
      </x:c>
      <x:c r="T16" s="332" t="n">
        <x:f>MIN(10,1+IF(O16&lt;$B$9,4,0)+IF(M16&gt;$B$11,2,0)+IF(P16&gt;$B$10,2,0))</x:f>
        <x:v>1</x:v>
      </x:c>
      <x:c r="U16" s="332" t="str">
        <x:f>IFERROR(IF(T16&gt;='DASHBOARD (2)'!$I$3,"Yüksek",IF(T16&gt;=2,"Orta","Düşük")),"-")</x:f>
        <x:v>Düşük</x:v>
      </x:c>
      <x:c r="V16" s="326"/>
      <x:c r="W16" s="326"/>
      <x:c r="X16" s="326"/>
      <x:c r="Y16" s="326" t="str">
        <x:v>Mikrodalga Fırın Gri</x:v>
      </x:c>
      <x:c r="Z16" s="326"/>
      <x:c r="AL16" t="str">
        <x:f>IFERROR(INDEX($Y$2:$Y$24,ROW()-1),"")</x:f>
        <x:v>Mikrodalga Fırın Gri</x:v>
      </x:c>
      <x:c r="AM16" s="154" t="n">
        <x:f>IFERROR(IF(OR('DASHBOARD'!$L$3="Tümü",'DASHBOARD'!$L$3=AL16),SUMIFS('VERİ'!$D$2:$D$2890,'VERİ'!$C$2:$C$2890,AL16,'VERİ'!$H$2:$H$2890,IF('DASHBOARD'!$B$3="Tümü","*",'DASHBOARD'!$B$3),'VERİ'!$I$2:$I$2890,IF('DASHBOARD'!$E$3="Tümü","*",'DASHBOARD'!$E$3),'VERİ'!$B$2:$B$2890,IF('DASHBOARD'!$I$3="Tümü","*",'DASHBOARD'!$I$3)),0),0)</x:f>
        <x:v>395</x:v>
      </x:c>
      <x:c r="AN16" s="343" t="n">
        <x:f>IFERROR(IF(OR('DASHBOARD'!$L$3="Tümü",'DASHBOARD'!$L$3=AL16),SUMIFS('VERİ'!$F$2:$F$2890,'VERİ'!$C$2:$C$2890,AL16,'VERİ'!$H$2:$H$2890,IF('DASHBOARD'!$B$3="Tümü","*",'DASHBOARD'!$B$3),'VERİ'!$I$2:$I$2890,IF('DASHBOARD'!$E$3="Tümü","*",'DASHBOARD'!$E$3),'VERİ'!$B$2:$B$2890,IF('DASHBOARD'!$I$3="Tümü","*",'DASHBOARD'!$I$3)),0),0)</x:f>
        <x:v>711000</x:v>
      </x:c>
      <x:c r="AO16" s="343" t="n">
        <x:f>IFERROR(IF(OR('DASHBOARD'!$L$3="Tümü",'DASHBOARD'!$L$3=AL16),SUMIFS('VERİ'!$G$2:$G$2890,'VERİ'!$C$2:$C$2890,AL16,'VERİ'!$H$2:$H$2890,IF('DASHBOARD'!$B$3="Tümü","*",'DASHBOARD'!$B$3),'VERİ'!$I$2:$I$2890,IF('DASHBOARD'!$E$3="Tümü","*",'DASHBOARD'!$E$3),'VERİ'!$B$2:$B$2890,IF('DASHBOARD'!$I$3="Tümü","*",'DASHBOARD'!$I$3)),0),0)</x:f>
        <x:v>395000</x:v>
      </x:c>
      <x:c r="AP16" s="193" t="n">
        <x:f>IFERROR(AO16/AN16,0)</x:f>
        <x:v>0.5555555555555556</x:v>
      </x:c>
      <x:c r="AQ16" t="n">
        <x:f>IFERROR(IF(AM16=0,"",RANK.EQ(AM16,$AM$2:$AM$24,0)+COUNTIF($AM$2:AM16,AM16)-1),"")</x:f>
        <x:v>8</x:v>
      </x:c>
    </x:row>
    <x:row r="17">
      <x:c r="A17" s="332" t="str">
        <x:v>Bedriye Vural</x:v>
      </x:c>
      <x:c r="B17" s="337" t="n">
        <x:f>SUMIF('VERİ'!$B$2:$B$2890,A17,'VERİ'!$F$2:$F$2890)</x:f>
        <x:v>3166730</x:v>
      </x:c>
      <x:c r="C17" s="337" t="n">
        <x:f>SUMIF('VERİ'!$B$2:$B$2890,A17,'VERİ'!$G$2:$G$2890)</x:f>
        <x:v>1098330</x:v>
      </x:c>
      <x:c r="D17" s="334" t="n">
        <x:f>IFERROR(C17/B17,0)</x:f>
        <x:v>0.34683411594925995</x:v>
      </x:c>
      <x:c r="E17" s="341" t="n">
        <x:f>SUMIF('VERİ'!$B$2:$B$2890,A17,'VERİ'!$D$2:$D$2890)</x:f>
        <x:v>702</x:v>
      </x:c>
      <x:c r="F17" s="341" t="n">
        <x:f>COUNTIF('VERİ'!$B$2:$B$2890,A17)</x:f>
        <x:v>267</x:v>
      </x:c>
      <x:c r="G17" s="342" t="n">
        <x:f>IFERROR(B17/F17,0)</x:f>
        <x:v>11860.411985018727</x:v>
      </x:c>
      <x:c r="H17" s="342" t="n">
        <x:f>SUMIFS('VERİ'!$F$2:$F$2890,'VERİ'!$B$2:$B$2890,A17,'VERİ'!$H$2:$H$2890,$B$4)</x:f>
        <x:v>286460</x:v>
      </x:c>
      <x:c r="I17" s="342" t="n">
        <x:f>SUMIFS('VERİ'!$F$2:$F$2890,'VERİ'!$B$2:$B$2890,A17,'VERİ'!$H$2:$H$2890,$B$5)</x:f>
        <x:v>209130</x:v>
      </x:c>
      <x:c r="J17" s="334" t="n">
        <x:f>IFERROR(H17/I17-1,0)</x:f>
        <x:v>0.36976999952182843</x:v>
      </x:c>
      <x:c r="K17" s="332" t="str">
        <x:f>IF(H17&gt;=AVERAGE($H$16:$H$28)*$B$6,"Hedef Üstü","Hedef Altı")</x:f>
        <x:v>Hedef Üstü</x:v>
      </x:c>
      <x:c r="L17" s="332" t="str">
        <x:v>Şanlıurfa</x:v>
      </x:c>
      <x:c r="M17" s="337" t="n">
        <x:f>SUMIF('VERİ'!$I$2:$I$2890,L17,'VERİ'!$F$2:$F$2890)</x:f>
        <x:v>2097465</x:v>
      </x:c>
      <x:c r="N17" s="337" t="n">
        <x:f>SUMIF('VERİ'!$I$2:$I$2890,L17,'VERİ'!$G$2:$G$2890)</x:f>
        <x:v>669965</x:v>
      </x:c>
      <x:c r="O17" s="334" t="n">
        <x:f>IFERROR(N17/M17,0)</x:f>
        <x:v>0.31941653376814394</x:v>
      </x:c>
      <x:c r="P17" s="334" t="n">
        <x:f>IFERROR(M17/SUM('VERİ'!$F$2:$F$2890),0)</x:f>
        <x:v>0.06891799246341658</x:v>
      </x:c>
      <x:c r="Q17" s="341" t="n">
        <x:f>SUMIF('VERİ'!$I$2:$I$2890,L17,'VERİ'!$D$2:$D$2890)</x:f>
        <x:v>594</x:v>
      </x:c>
      <x:c r="R17" s="341" t="n">
        <x:f>COUNTIF('VERİ'!$I$2:$I$2890,L17)</x:f>
        <x:v>240</x:v>
      </x:c>
      <x:c r="S17" s="342" t="n">
        <x:f>IFERROR(M17/R17,0)</x:f>
        <x:v>8739.4375</x:v>
      </x:c>
      <x:c r="T17" s="332" t="n">
        <x:f>MIN(10,1+IF(O17&lt;$B$9,4,0)+IF(M17&gt;$B$11,2,0)+IF(P17&gt;$B$10,2,0))</x:f>
        <x:v>1</x:v>
      </x:c>
      <x:c r="U17" s="332" t="str">
        <x:f>IFERROR(IF(T17&gt;='DASHBOARD (2)'!$I$3,"Yüksek",IF(T17&gt;=2,"Orta","Düşük")),"-")</x:f>
        <x:v>Düşük</x:v>
      </x:c>
      <x:c r="V17" s="326"/>
      <x:c r="W17" s="326"/>
      <x:c r="X17" s="326"/>
      <x:c r="Y17" s="326" t="str">
        <x:v>Ocak Beyaz</x:v>
      </x:c>
      <x:c r="Z17" s="326"/>
      <x:c r="AL17" t="str">
        <x:f>IFERROR(INDEX($Y$2:$Y$24,ROW()-1),"")</x:f>
        <x:v>Ocak Beyaz</x:v>
      </x:c>
      <x:c r="AM17" s="154" t="n">
        <x:f>IFERROR(IF(OR('DASHBOARD'!$L$3="Tümü",'DASHBOARD'!$L$3=AL17),SUMIFS('VERİ'!$D$2:$D$2890,'VERİ'!$C$2:$C$2890,AL17,'VERİ'!$H$2:$H$2890,IF('DASHBOARD'!$B$3="Tümü","*",'DASHBOARD'!$B$3),'VERİ'!$I$2:$I$2890,IF('DASHBOARD'!$E$3="Tümü","*",'DASHBOARD'!$E$3),'VERİ'!$B$2:$B$2890,IF('DASHBOARD'!$I$3="Tümü","*",'DASHBOARD'!$I$3)),0),0)</x:f>
        <x:v>386</x:v>
      </x:c>
      <x:c r="AN17" s="343" t="n">
        <x:f>IFERROR(IF(OR('DASHBOARD'!$L$3="Tümü",'DASHBOARD'!$L$3=AL17),SUMIFS('VERİ'!$F$2:$F$2890,'VERİ'!$C$2:$C$2890,AL17,'VERİ'!$H$2:$H$2890,IF('DASHBOARD'!$B$3="Tümü","*",'DASHBOARD'!$B$3),'VERİ'!$I$2:$I$2890,IF('DASHBOARD'!$E$3="Tümü","*",'DASHBOARD'!$E$3),'VERİ'!$B$2:$B$2890,IF('DASHBOARD'!$I$3="Tümü","*",'DASHBOARD'!$I$3)),0),0)</x:f>
        <x:v>424600</x:v>
      </x:c>
      <x:c r="AO17" s="343" t="n">
        <x:f>IFERROR(IF(OR('DASHBOARD'!$L$3="Tümü",'DASHBOARD'!$L$3=AL17),SUMIFS('VERİ'!$G$2:$G$2890,'VERİ'!$C$2:$C$2890,AL17,'VERİ'!$H$2:$H$2890,IF('DASHBOARD'!$B$3="Tümü","*",'DASHBOARD'!$B$3),'VERİ'!$I$2:$I$2890,IF('DASHBOARD'!$E$3="Tümü","*",'DASHBOARD'!$E$3),'VERİ'!$B$2:$B$2890,IF('DASHBOARD'!$I$3="Tümü","*",'DASHBOARD'!$I$3)),0),0)</x:f>
        <x:v>115800</x:v>
      </x:c>
      <x:c r="AP17" s="193" t="n">
        <x:f>IFERROR(AO17/AN17,0)</x:f>
        <x:v>0.2727272727272727</x:v>
      </x:c>
      <x:c r="AQ17" t="n">
        <x:f>IFERROR(IF(AM17=0,"",RANK.EQ(AM17,$AM$2:$AM$24,0)+COUNTIF($AM$2:AM17,AM17)-1),"")</x:f>
        <x:v>9</x:v>
      </x:c>
    </x:row>
    <x:row r="18">
      <x:c r="A18" s="332" t="str">
        <x:v>Bilinmeyen Personel</x:v>
      </x:c>
      <x:c r="B18" s="337" t="n">
        <x:f>SUMIF('VERİ'!$B$2:$B$2890,A18,'VERİ'!$F$2:$F$2890)</x:f>
        <x:v>8000</x:v>
      </x:c>
      <x:c r="C18" s="337" t="n">
        <x:f>SUMIF('VERİ'!$B$2:$B$2890,A18,'VERİ'!$G$2:$G$2890)</x:f>
        <x:v>2000</x:v>
      </x:c>
      <x:c r="D18" s="334" t="n">
        <x:f>IFERROR(C18/B18,0)</x:f>
        <x:v>0.25</x:v>
      </x:c>
      <x:c r="E18" s="341" t="n">
        <x:f>SUMIF('VERİ'!$B$2:$B$2890,A18,'VERİ'!$D$2:$D$2890)</x:f>
        <x:v>1</x:v>
      </x:c>
      <x:c r="F18" s="341" t="n">
        <x:f>COUNTIF('VERİ'!$B$2:$B$2890,A18)</x:f>
        <x:v>1</x:v>
      </x:c>
      <x:c r="G18" s="342" t="n">
        <x:f>IFERROR(B18/F18,0)</x:f>
        <x:v>8000</x:v>
      </x:c>
      <x:c r="H18" s="342" t="n">
        <x:f>SUMIFS('VERİ'!$F$2:$F$2890,'VERİ'!$B$2:$B$2890,A18,'VERİ'!$H$2:$H$2890,$B$4)</x:f>
        <x:v>0</x:v>
      </x:c>
      <x:c r="I18" s="342" t="n">
        <x:f>SUMIFS('VERİ'!$F$2:$F$2890,'VERİ'!$B$2:$B$2890,A18,'VERİ'!$H$2:$H$2890,$B$5)</x:f>
        <x:v>0</x:v>
      </x:c>
      <x:c r="J18" s="334" t="n">
        <x:f>IFERROR(H18/I18-1,0)</x:f>
        <x:v>0</x:v>
      </x:c>
      <x:c r="K18" s="332" t="str">
        <x:f>IF(H18&gt;=AVERAGE($H$16:$H$28)*$B$6,"Hedef Üstü","Hedef Altı")</x:f>
        <x:v>Hedef Altı</x:v>
      </x:c>
      <x:c r="L18" s="330" t="n">
        <x:f>MIN(10,1+IF(J18&lt;=-$B$8,5,IF(J18&lt;=-$B$7,3,0))+IF(H18&lt;AVERAGE($H$16:$H$28)*$B$6,3,0))</x:f>
        <x:v>4</x:v>
      </x:c>
      <x:c r="M18" s="330" t="str">
        <x:f>IF(L18&gt;=7,"Yüksek",IF(L18&gt;=4,"Orta","Düşük"))</x:f>
        <x:v>Orta</x:v>
      </x:c>
      <x:c r="N18" s="327"/>
      <x:c r="O18" s="327"/>
      <x:c r="P18" s="327"/>
      <x:c r="Q18" s="327"/>
      <x:c r="R18" s="327"/>
      <x:c r="S18" s="327"/>
      <x:c r="T18" s="327"/>
      <x:c r="U18" s="327"/>
      <x:c r="V18" s="326"/>
      <x:c r="W18" s="326"/>
      <x:c r="X18" s="326"/>
      <x:c r="Y18" s="326" t="str">
        <x:v>Ocak Siyah</x:v>
      </x:c>
      <x:c r="Z18" s="326"/>
      <x:c r="AL18" t="str">
        <x:f>IFERROR(INDEX($Y$2:$Y$24,ROW()-1),"")</x:f>
        <x:v>Ocak Siyah</x:v>
      </x:c>
      <x:c r="AM18" s="154" t="n">
        <x:f>IFERROR(IF(OR('DASHBOARD'!$L$3="Tümü",'DASHBOARD'!$L$3=AL18),SUMIFS('VERİ'!$D$2:$D$2890,'VERİ'!$C$2:$C$2890,AL18,'VERİ'!$H$2:$H$2890,IF('DASHBOARD'!$B$3="Tümü","*",'DASHBOARD'!$B$3),'VERİ'!$I$2:$I$2890,IF('DASHBOARD'!$E$3="Tümü","*",'DASHBOARD'!$E$3),'VERİ'!$B$2:$B$2890,IF('DASHBOARD'!$I$3="Tümü","*",'DASHBOARD'!$I$3)),0),0)</x:f>
        <x:v>215</x:v>
      </x:c>
      <x:c r="AN18" s="343" t="n">
        <x:f>IFERROR(IF(OR('DASHBOARD'!$L$3="Tümü",'DASHBOARD'!$L$3=AL18),SUMIFS('VERİ'!$F$2:$F$2890,'VERİ'!$C$2:$C$2890,AL18,'VERİ'!$H$2:$H$2890,IF('DASHBOARD'!$B$3="Tümü","*",'DASHBOARD'!$B$3),'VERİ'!$I$2:$I$2890,IF('DASHBOARD'!$E$3="Tümü","*",'DASHBOARD'!$E$3),'VERİ'!$B$2:$B$2890,IF('DASHBOARD'!$I$3="Tümü","*",'DASHBOARD'!$I$3)),0),0)</x:f>
        <x:v>268750</x:v>
      </x:c>
      <x:c r="AO18" s="343" t="n">
        <x:f>IFERROR(IF(OR('DASHBOARD'!$L$3="Tümü",'DASHBOARD'!$L$3=AL18),SUMIFS('VERİ'!$G$2:$G$2890,'VERİ'!$C$2:$C$2890,AL18,'VERİ'!$H$2:$H$2890,IF('DASHBOARD'!$B$3="Tümü","*",'DASHBOARD'!$B$3),'VERİ'!$I$2:$I$2890,IF('DASHBOARD'!$E$3="Tümü","*",'DASHBOARD'!$E$3),'VERİ'!$B$2:$B$2890,IF('DASHBOARD'!$I$3="Tümü","*",'DASHBOARD'!$I$3)),0),0)</x:f>
        <x:v>96750</x:v>
      </x:c>
      <x:c r="AP18" s="193" t="n">
        <x:f>IFERROR(AO18/AN18,0)</x:f>
        <x:v>0.36</x:v>
      </x:c>
      <x:c r="AQ18" t="n">
        <x:f>IFERROR(IF(AM18=0,"",RANK.EQ(AM18,$AM$2:$AM$24,0)+COUNTIF($AM$2:AM18,AM18)-1),"")</x:f>
        <x:v>20</x:v>
      </x:c>
    </x:row>
    <x:row r="19">
      <x:c r="A19" s="332" t="str">
        <x:v>Ferdi Dede</x:v>
      </x:c>
      <x:c r="B19" s="337" t="n">
        <x:f>SUMIF('VERİ'!$B$2:$B$2890,A19,'VERİ'!$F$2:$F$2890)</x:f>
        <x:v>1903115</x:v>
      </x:c>
      <x:c r="C19" s="337" t="n">
        <x:f>SUMIF('VERİ'!$B$2:$B$2890,A19,'VERİ'!$G$2:$G$2890)</x:f>
        <x:v>541115</x:v>
      </x:c>
      <x:c r="D19" s="334" t="n">
        <x:f>IFERROR(C19/B19,0)</x:f>
        <x:v>0.28433121487666274</x:v>
      </x:c>
      <x:c r="E19" s="341" t="n">
        <x:f>SUMIF('VERİ'!$B$2:$B$2890,A19,'VERİ'!$D$2:$D$2890)</x:f>
        <x:v>543</x:v>
      </x:c>
      <x:c r="F19" s="341" t="n">
        <x:f>COUNTIF('VERİ'!$B$2:$B$2890,A19)</x:f>
        <x:v>203</x:v>
      </x:c>
      <x:c r="G19" s="342" t="n">
        <x:f>IFERROR(B19/F19,0)</x:f>
        <x:v>9374.950738916255</x:v>
      </x:c>
      <x:c r="H19" s="342" t="n">
        <x:f>SUMIFS('VERİ'!$F$2:$F$2890,'VERİ'!$B$2:$B$2890,A19,'VERİ'!$H$2:$H$2890,$B$4)</x:f>
        <x:v>192490</x:v>
      </x:c>
      <x:c r="I19" s="342" t="n">
        <x:f>SUMIFS('VERİ'!$F$2:$F$2890,'VERİ'!$B$2:$B$2890,A19,'VERİ'!$H$2:$H$2890,$B$5)</x:f>
        <x:v>172410</x:v>
      </x:c>
      <x:c r="J19" s="334" t="n">
        <x:f>IFERROR(H19/I19-1,0)</x:f>
        <x:v>0.11646656226436991</x:v>
      </x:c>
      <x:c r="K19" s="332" t="str">
        <x:f>IF(H19&gt;=AVERAGE($H$16:$H$28)*$B$6,"Hedef Üstü","Hedef Altı")</x:f>
        <x:v>Hedef Altı</x:v>
      </x:c>
      <x:c r="L19" s="330" t="n">
        <x:f>MIN(10,1+IF(J19&lt;=-$B$8,5,IF(J19&lt;=-$B$7,3,0))+IF(H19&lt;AVERAGE($H$16:$H$28)*$B$6,3,0))</x:f>
        <x:v>4</x:v>
      </x:c>
      <x:c r="M19" s="330" t="str">
        <x:f>IF(L19&gt;=7,"Yüksek",IF(L19&gt;=4,"Orta","Düşük"))</x:f>
        <x:v>Orta</x:v>
      </x:c>
      <x:c r="N19" s="327"/>
      <x:c r="O19" s="327"/>
      <x:c r="P19" s="327"/>
      <x:c r="Q19" s="327"/>
      <x:c r="R19" s="327"/>
      <x:c r="S19" s="327"/>
      <x:c r="T19" s="327"/>
      <x:c r="U19" s="327"/>
      <x:c r="V19" s="326"/>
      <x:c r="W19" s="326"/>
      <x:c r="X19" s="326"/>
      <x:c r="Y19" s="326" t="str">
        <x:v>Tost Makinesi Gri X Marka</x:v>
      </x:c>
      <x:c r="Z19" s="326"/>
      <x:c r="AL19" t="str">
        <x:f>IFERROR(INDEX($Y$2:$Y$24,ROW()-1),"")</x:f>
        <x:v>Tost Makinesi Gri X Marka</x:v>
      </x:c>
      <x:c r="AM19" s="154" t="n">
        <x:f>IFERROR(IF(OR('DASHBOARD'!$L$3="Tümü",'DASHBOARD'!$L$3=AL19),SUMIFS('VERİ'!$D$2:$D$2890,'VERİ'!$C$2:$C$2890,AL19,'VERİ'!$H$2:$H$2890,IF('DASHBOARD'!$B$3="Tümü","*",'DASHBOARD'!$B$3),'VERİ'!$I$2:$I$2890,IF('DASHBOARD'!$E$3="Tümü","*",'DASHBOARD'!$E$3),'VERİ'!$B$2:$B$2890,IF('DASHBOARD'!$I$3="Tümü","*",'DASHBOARD'!$I$3)),0),0)</x:f>
        <x:v>344</x:v>
      </x:c>
      <x:c r="AN19" s="343" t="n">
        <x:f>IFERROR(IF(OR('DASHBOARD'!$L$3="Tümü",'DASHBOARD'!$L$3=AL19),SUMIFS('VERİ'!$F$2:$F$2890,'VERİ'!$C$2:$C$2890,AL19,'VERİ'!$H$2:$H$2890,IF('DASHBOARD'!$B$3="Tümü","*",'DASHBOARD'!$B$3),'VERİ'!$I$2:$I$2890,IF('DASHBOARD'!$E$3="Tümü","*",'DASHBOARD'!$E$3),'VERİ'!$B$2:$B$2890,IF('DASHBOARD'!$I$3="Tümü","*",'DASHBOARD'!$I$3)),0),0)</x:f>
        <x:v>412580</x:v>
      </x:c>
      <x:c r="AO19" s="343" t="n">
        <x:f>IFERROR(IF(OR('DASHBOARD'!$L$3="Tümü",'DASHBOARD'!$L$3=AL19),SUMIFS('VERİ'!$G$2:$G$2890,'VERİ'!$C$2:$C$2890,AL19,'VERİ'!$H$2:$H$2890,IF('DASHBOARD'!$B$3="Tümü","*",'DASHBOARD'!$B$3),'VERİ'!$I$2:$I$2890,IF('DASHBOARD'!$E$3="Tümü","*",'DASHBOARD'!$E$3),'VERİ'!$B$2:$B$2890,IF('DASHBOARD'!$I$3="Tümü","*",'DASHBOARD'!$I$3)),0),0)</x:f>
        <x:v>137380</x:v>
      </x:c>
      <x:c r="AP19" s="193" t="n">
        <x:f>IFERROR(AO19/AN19,0)</x:f>
        <x:v>0.332977846720636</x:v>
      </x:c>
      <x:c r="AQ19" t="n">
        <x:f>IFERROR(IF(AM19=0,"",RANK.EQ(AM19,$AM$2:$AM$24,0)+COUNTIF($AM$2:AM19,AM19)-1),"")</x:f>
        <x:v>13</x:v>
      </x:c>
    </x:row>
    <x:row r="20">
      <x:c r="A20" s="332" t="str">
        <x:v>Gamze Erkuran</x:v>
      </x:c>
      <x:c r="B20" s="337" t="n">
        <x:f>SUMIF('VERİ'!$B$2:$B$2890,A20,'VERİ'!$F$2:$F$2890)</x:f>
        <x:v>1008710</x:v>
      </x:c>
      <x:c r="C20" s="337" t="n">
        <x:f>SUMIF('VERİ'!$B$2:$B$2890,A20,'VERİ'!$G$2:$G$2890)</x:f>
        <x:v>332410</x:v>
      </x:c>
      <x:c r="D20" s="334" t="n">
        <x:f>IFERROR(C20/B20,0)</x:f>
        <x:v>0.32953970913344766</x:v>
      </x:c>
      <x:c r="E20" s="341" t="n">
        <x:f>SUMIF('VERİ'!$B$2:$B$2890,A20,'VERİ'!$D$2:$D$2890)</x:f>
        <x:v>352</x:v>
      </x:c>
      <x:c r="F20" s="341" t="n">
        <x:f>COUNTIF('VERİ'!$B$2:$B$2890,A20)</x:f>
        <x:v>139</x:v>
      </x:c>
      <x:c r="G20" s="342" t="n">
        <x:f>IFERROR(B20/F20,0)</x:f>
        <x:v>7256.906474820144</x:v>
      </x:c>
      <x:c r="H20" s="342" t="n">
        <x:f>SUMIFS('VERİ'!$F$2:$F$2890,'VERİ'!$B$2:$B$2890,A20,'VERİ'!$H$2:$H$2890,$B$4)</x:f>
        <x:v>88580</x:v>
      </x:c>
      <x:c r="I20" s="342" t="n">
        <x:f>SUMIFS('VERİ'!$F$2:$F$2890,'VERİ'!$B$2:$B$2890,A20,'VERİ'!$H$2:$H$2890,$B$5)</x:f>
        <x:v>36500</x:v>
      </x:c>
      <x:c r="J20" s="334" t="n">
        <x:f>IFERROR(H20/I20-1,0)</x:f>
        <x:v>1.4268493150684933</x:v>
      </x:c>
      <x:c r="K20" s="332" t="str">
        <x:f>IF(H20&gt;=AVERAGE($H$16:$H$28)*$B$6,"Hedef Üstü","Hedef Altı")</x:f>
        <x:v>Hedef Altı</x:v>
      </x:c>
      <x:c r="L20" s="330" t="n">
        <x:f>MIN(10,1+IF(J20&lt;=-$B$8,5,IF(J20&lt;=-$B$7,3,0))+IF(H20&lt;AVERAGE($H$16:$H$28)*$B$6,3,0))</x:f>
        <x:v>4</x:v>
      </x:c>
      <x:c r="M20" s="330" t="str">
        <x:f>IF(L20&gt;=7,"Yüksek",IF(L20&gt;=4,"Orta","Düşük"))</x:f>
        <x:v>Orta</x:v>
      </x:c>
      <x:c r="N20" s="327"/>
      <x:c r="O20" s="327"/>
      <x:c r="P20" s="327"/>
      <x:c r="Q20" s="327"/>
      <x:c r="R20" s="327"/>
      <x:c r="S20" s="327"/>
      <x:c r="T20" s="327"/>
      <x:c r="U20" s="327"/>
      <x:c r="V20" s="326"/>
      <x:c r="W20" s="326"/>
      <x:c r="X20" s="326"/>
      <x:c r="Y20" s="326" t="str">
        <x:v>Tost Makinesi Gri Y Marka</x:v>
      </x:c>
      <x:c r="Z20" s="326"/>
      <x:c r="AL20" t="str">
        <x:f>IFERROR(INDEX($Y$2:$Y$24,ROW()-1),"")</x:f>
        <x:v>Tost Makinesi Gri Y Marka</x:v>
      </x:c>
      <x:c r="AM20" s="154" t="n">
        <x:f>IFERROR(IF(OR('DASHBOARD'!$L$3="Tümü",'DASHBOARD'!$L$3=AL20),SUMIFS('VERİ'!$D$2:$D$2890,'VERİ'!$C$2:$C$2890,AL20,'VERİ'!$H$2:$H$2890,IF('DASHBOARD'!$B$3="Tümü","*",'DASHBOARD'!$B$3),'VERİ'!$I$2:$I$2890,IF('DASHBOARD'!$E$3="Tümü","*",'DASHBOARD'!$E$3),'VERİ'!$B$2:$B$2890,IF('DASHBOARD'!$I$3="Tümü","*",'DASHBOARD'!$I$3)),0),0)</x:f>
        <x:v>492</x:v>
      </x:c>
      <x:c r="AN20" s="343" t="n">
        <x:f>IFERROR(IF(OR('DASHBOARD'!$L$3="Tümü",'DASHBOARD'!$L$3=AL20),SUMIFS('VERİ'!$F$2:$F$2890,'VERİ'!$C$2:$C$2890,AL20,'VERİ'!$H$2:$H$2890,IF('DASHBOARD'!$B$3="Tümü","*",'DASHBOARD'!$B$3),'VERİ'!$I$2:$I$2890,IF('DASHBOARD'!$E$3="Tümü","*",'DASHBOARD'!$E$3),'VERİ'!$B$2:$B$2890,IF('DASHBOARD'!$I$3="Tümü","*",'DASHBOARD'!$I$3)),0),0)</x:f>
        <x:v>536280</x:v>
      </x:c>
      <x:c r="AO20" s="343" t="n">
        <x:f>IFERROR(IF(OR('DASHBOARD'!$L$3="Tümü",'DASHBOARD'!$L$3=AL20),SUMIFS('VERİ'!$G$2:$G$2890,'VERİ'!$C$2:$C$2890,AL20,'VERİ'!$H$2:$H$2890,IF('DASHBOARD'!$B$3="Tümü","*",'DASHBOARD'!$B$3),'VERİ'!$I$2:$I$2890,IF('DASHBOARD'!$E$3="Tümü","*",'DASHBOARD'!$E$3),'VERİ'!$B$2:$B$2890,IF('DASHBOARD'!$I$3="Tümü","*",'DASHBOARD'!$I$3)),0),0)</x:f>
        <x:v>142680</x:v>
      </x:c>
      <x:c r="AP20" s="193" t="n">
        <x:f>IFERROR(AO20/AN20,0)</x:f>
        <x:v>0.26605504587155965</x:v>
      </x:c>
      <x:c r="AQ20" t="n">
        <x:f>IFERROR(IF(AM20=0,"",RANK.EQ(AM20,$AM$2:$AM$24,0)+COUNTIF($AM$2:AM20,AM20)-1),"")</x:f>
        <x:v>3</x:v>
      </x:c>
    </x:row>
    <x:row r="21">
      <x:c r="A21" s="332" t="str">
        <x:v>Gülşah Akbulut</x:v>
      </x:c>
      <x:c r="B21" s="337" t="n">
        <x:f>SUMIF('VERİ'!$B$2:$B$2890,A21,'VERİ'!$F$2:$F$2890)</x:f>
        <x:v>3410970</x:v>
      </x:c>
      <x:c r="C21" s="337" t="n">
        <x:f>SUMIF('VERİ'!$B$2:$B$2890,A21,'VERİ'!$G$2:$G$2890)</x:f>
        <x:v>972270</x:v>
      </x:c>
      <x:c r="D21" s="334" t="n">
        <x:f>IFERROR(C21/B21,0)</x:f>
        <x:v>0.28504208480285664</x:v>
      </x:c>
      <x:c r="E21" s="341" t="n">
        <x:f>SUMIF('VERİ'!$B$2:$B$2890,A21,'VERİ'!$D$2:$D$2890)</x:f>
        <x:v>614</x:v>
      </x:c>
      <x:c r="F21" s="341" t="n">
        <x:f>COUNTIF('VERİ'!$B$2:$B$2890,A21)</x:f>
        <x:v>218</x:v>
      </x:c>
      <x:c r="G21" s="342" t="n">
        <x:f>IFERROR(B21/F21,0)</x:f>
        <x:v>15646.651376146789</x:v>
      </x:c>
      <x:c r="H21" s="342" t="n">
        <x:f>SUMIFS('VERİ'!$F$2:$F$2890,'VERİ'!$B$2:$B$2890,A21,'VERİ'!$H$2:$H$2890,$B$4)</x:f>
        <x:v>312190</x:v>
      </x:c>
      <x:c r="I21" s="342" t="n">
        <x:f>SUMIFS('VERİ'!$F$2:$F$2890,'VERİ'!$B$2:$B$2890,A21,'VERİ'!$H$2:$H$2890,$B$5)</x:f>
        <x:v>174900</x:v>
      </x:c>
      <x:c r="J21" s="334" t="n">
        <x:f>IFERROR(H21/I21-1,0)</x:f>
        <x:v>0.7849628359062322</x:v>
      </x:c>
      <x:c r="K21" s="332" t="str">
        <x:f>IF(H21&gt;=AVERAGE($H$16:$H$28)*$B$6,"Hedef Üstü","Hedef Altı")</x:f>
        <x:v>Hedef Üstü</x:v>
      </x:c>
      <x:c r="L21" s="330" t="n">
        <x:f>MIN(10,1+IF(J21&lt;=-$B$8,5,IF(J21&lt;=-$B$7,3,0))+IF(H21&lt;AVERAGE($H$16:$H$28)*$B$6,3,0))</x:f>
        <x:v>1</x:v>
      </x:c>
      <x:c r="M21" s="330" t="str">
        <x:f>IF(L21&gt;=7,"Yüksek",IF(L21&gt;=4,"Orta","Düşük"))</x:f>
        <x:v>Düşük</x:v>
      </x:c>
      <x:c r="N21" s="327"/>
      <x:c r="O21" s="327"/>
      <x:c r="P21" s="327"/>
      <x:c r="Q21" s="327"/>
      <x:c r="R21" s="327"/>
      <x:c r="S21" s="327"/>
      <x:c r="T21" s="327"/>
      <x:c r="U21" s="327"/>
      <x:c r="V21" s="326"/>
      <x:c r="W21" s="326"/>
      <x:c r="X21" s="326"/>
      <x:c r="Y21" s="326" t="str">
        <x:v>Çamaşır Makinesi Beyaz</x:v>
      </x:c>
      <x:c r="Z21" s="326"/>
      <x:c r="AL21" t="str">
        <x:f>IFERROR(INDEX($Y$2:$Y$24,ROW()-1),"")</x:f>
        <x:v>Çamaşır Makinesi Beyaz</x:v>
      </x:c>
      <x:c r="AM21" s="154" t="n">
        <x:f>IFERROR(IF(OR('DASHBOARD'!$L$3="Tümü",'DASHBOARD'!$L$3=AL21),SUMIFS('VERİ'!$D$2:$D$2890,'VERİ'!$C$2:$C$2890,AL21,'VERİ'!$H$2:$H$2890,IF('DASHBOARD'!$B$3="Tümü","*",'DASHBOARD'!$B$3),'VERİ'!$I$2:$I$2890,IF('DASHBOARD'!$E$3="Tümü","*",'DASHBOARD'!$E$3),'VERİ'!$B$2:$B$2890,IF('DASHBOARD'!$I$3="Tümü","*",'DASHBOARD'!$I$3)),0),0)</x:f>
        <x:v>148</x:v>
      </x:c>
      <x:c r="AN21" s="343" t="n">
        <x:f>IFERROR(IF(OR('DASHBOARD'!$L$3="Tümü",'DASHBOARD'!$L$3=AL21),SUMIFS('VERİ'!$F$2:$F$2890,'VERİ'!$C$2:$C$2890,AL21,'VERİ'!$H$2:$H$2890,IF('DASHBOARD'!$B$3="Tümü","*",'DASHBOARD'!$B$3),'VERİ'!$I$2:$I$2890,IF('DASHBOARD'!$E$3="Tümü","*",'DASHBOARD'!$E$3),'VERİ'!$B$2:$B$2890,IF('DASHBOARD'!$I$3="Tümü","*",'DASHBOARD'!$I$3)),0),0)</x:f>
        <x:v>1165400</x:v>
      </x:c>
      <x:c r="AO21" s="343" t="n">
        <x:f>IFERROR(IF(OR('DASHBOARD'!$L$3="Tümü",'DASHBOARD'!$L$3=AL21),SUMIFS('VERİ'!$G$2:$G$2890,'VERİ'!$C$2:$C$2890,AL21,'VERİ'!$H$2:$H$2890,IF('DASHBOARD'!$B$3="Tümü","*",'DASHBOARD'!$B$3),'VERİ'!$I$2:$I$2890,IF('DASHBOARD'!$E$3="Tümü","*",'DASHBOARD'!$E$3),'VERİ'!$B$2:$B$2890,IF('DASHBOARD'!$I$3="Tümü","*",'DASHBOARD'!$I$3)),0),0)</x:f>
        <x:v>293000</x:v>
      </x:c>
      <x:c r="AP21" s="193" t="n">
        <x:f>IFERROR(AO21/AN21,0)</x:f>
        <x:v>0.2514158228934272</x:v>
      </x:c>
      <x:c r="AQ21" t="n">
        <x:f>IFERROR(IF(AM21=0,"",RANK.EQ(AM21,$AM$2:$AM$24,0)+COUNTIF($AM$2:AM21,AM21)-1),"")</x:f>
        <x:v>21</x:v>
      </x:c>
    </x:row>
    <x:row r="22">
      <x:c r="A22" s="332" t="str">
        <x:v>Mertcan Ülker</x:v>
      </x:c>
      <x:c r="B22" s="337" t="n">
        <x:f>SUMIF('VERİ'!$B$2:$B$2890,A22,'VERİ'!$F$2:$F$2890)</x:f>
        <x:v>2368440</x:v>
      </x:c>
      <x:c r="C22" s="337" t="n">
        <x:f>SUMIF('VERİ'!$B$2:$B$2890,A22,'VERİ'!$G$2:$G$2890)</x:f>
        <x:v>750940</x:v>
      </x:c>
      <x:c r="D22" s="334" t="n">
        <x:f>IFERROR(C22/B22,0)</x:f>
        <x:v>0.317061019067403</x:v>
      </x:c>
      <x:c r="E22" s="341" t="n">
        <x:f>SUMIF('VERİ'!$B$2:$B$2890,A22,'VERİ'!$D$2:$D$2890)</x:f>
        <x:v>696</x:v>
      </x:c>
      <x:c r="F22" s="341" t="n">
        <x:f>COUNTIF('VERİ'!$B$2:$B$2890,A22)</x:f>
        <x:v>256</x:v>
      </x:c>
      <x:c r="G22" s="342" t="n">
        <x:f>IFERROR(B22/F22,0)</x:f>
        <x:v>9251.71875</x:v>
      </x:c>
      <x:c r="H22" s="342" t="n">
        <x:f>SUMIFS('VERİ'!$F$2:$F$2890,'VERİ'!$B$2:$B$2890,A22,'VERİ'!$H$2:$H$2890,$B$4)</x:f>
        <x:v>202460</x:v>
      </x:c>
      <x:c r="I22" s="342" t="n">
        <x:f>SUMIFS('VERİ'!$F$2:$F$2890,'VERİ'!$B$2:$B$2890,A22,'VERİ'!$H$2:$H$2890,$B$5)</x:f>
        <x:v>187450</x:v>
      </x:c>
      <x:c r="J22" s="334" t="n">
        <x:f>IFERROR(H22/I22-1,0)</x:f>
        <x:v>0.0800746865830888</x:v>
      </x:c>
      <x:c r="K22" s="332" t="str">
        <x:f>IF(H22&gt;=AVERAGE($H$16:$H$28)*$B$6,"Hedef Üstü","Hedef Altı")</x:f>
        <x:v>Hedef Üstü</x:v>
      </x:c>
      <x:c r="L22" s="330" t="n">
        <x:f>MIN(10,1+IF(J22&lt;=-$B$8,5,IF(J22&lt;=-$B$7,3,0))+IF(H22&lt;AVERAGE($H$16:$H$28)*$B$6,3,0))</x:f>
        <x:v>1</x:v>
      </x:c>
      <x:c r="M22" s="330" t="str">
        <x:f>IF(L22&gt;=7,"Yüksek",IF(L22&gt;=4,"Orta","Düşük"))</x:f>
        <x:v>Düşük</x:v>
      </x:c>
      <x:c r="N22" s="327"/>
      <x:c r="O22" s="327"/>
      <x:c r="P22" s="327"/>
      <x:c r="Q22" s="327"/>
      <x:c r="R22" s="327"/>
      <x:c r="S22" s="327"/>
      <x:c r="T22" s="327"/>
      <x:c r="U22" s="327"/>
      <x:c r="V22" s="326"/>
      <x:c r="W22" s="326"/>
      <x:c r="X22" s="326"/>
      <x:c r="Y22" s="326" t="str">
        <x:v>Çamaşır Makinesi Gri</x:v>
      </x:c>
      <x:c r="Z22" s="326"/>
      <x:c r="AL22" t="str">
        <x:f>IFERROR(INDEX($Y$2:$Y$24,ROW()-1),"")</x:f>
        <x:v>Çamaşır Makinesi Gri</x:v>
      </x:c>
      <x:c r="AM22" s="154" t="n">
        <x:f>IFERROR(IF(OR('DASHBOARD'!$L$3="Tümü",'DASHBOARD'!$L$3=AL22),SUMIFS('VERİ'!$D$2:$D$2890,'VERİ'!$C$2:$C$2890,AL22,'VERİ'!$H$2:$H$2890,IF('DASHBOARD'!$B$3="Tümü","*",'DASHBOARD'!$B$3),'VERİ'!$I$2:$I$2890,IF('DASHBOARD'!$E$3="Tümü","*",'DASHBOARD'!$E$3),'VERİ'!$B$2:$B$2890,IF('DASHBOARD'!$I$3="Tümü","*",'DASHBOARD'!$I$3)),0),0)</x:f>
        <x:v>659</x:v>
      </x:c>
      <x:c r="AN22" s="343" t="n">
        <x:f>IFERROR(IF(OR('DASHBOARD'!$L$3="Tümü",'DASHBOARD'!$L$3=AL22),SUMIFS('VERİ'!$F$2:$F$2890,'VERİ'!$C$2:$C$2890,AL22,'VERİ'!$H$2:$H$2890,IF('DASHBOARD'!$B$3="Tümü","*",'DASHBOARD'!$B$3),'VERİ'!$I$2:$I$2890,IF('DASHBOARD'!$E$3="Tümü","*",'DASHBOARD'!$E$3),'VERİ'!$B$2:$B$2890,IF('DASHBOARD'!$I$3="Tümü","*",'DASHBOARD'!$I$3)),0),0)</x:f>
        <x:v>5008400</x:v>
      </x:c>
      <x:c r="AO22" s="343" t="n">
        <x:f>IFERROR(IF(OR('DASHBOARD'!$L$3="Tümü",'DASHBOARD'!$L$3=AL22),SUMIFS('VERİ'!$G$2:$G$2890,'VERİ'!$C$2:$C$2890,AL22,'VERİ'!$H$2:$H$2890,IF('DASHBOARD'!$B$3="Tümü","*",'DASHBOARD'!$B$3),'VERİ'!$I$2:$I$2890,IF('DASHBOARD'!$E$3="Tümü","*",'DASHBOARD'!$E$3),'VERİ'!$B$2:$B$2890,IF('DASHBOARD'!$I$3="Tümü","*",'DASHBOARD'!$I$3)),0),0)</x:f>
        <x:v>1054400</x:v>
      </x:c>
      <x:c r="AP22" s="193" t="n">
        <x:f>IFERROR(AO22/AN22,0)</x:f>
        <x:v>0.21052631578947367</x:v>
      </x:c>
      <x:c r="AQ22" t="n">
        <x:f>IFERROR(IF(AM22=0,"",RANK.EQ(AM22,$AM$2:$AM$24,0)+COUNTIF($AM$2:AM22,AM22)-1),"")</x:f>
        <x:v>1</x:v>
      </x:c>
    </x:row>
    <x:row r="23">
      <x:c r="A23" s="332" t="str">
        <x:v>Miraç Tüten</x:v>
      </x:c>
      <x:c r="B23" s="337" t="n">
        <x:f>SUMIF('VERİ'!$B$2:$B$2890,A23,'VERİ'!$F$2:$F$2890)</x:f>
        <x:v>2452505</x:v>
      </x:c>
      <x:c r="C23" s="337" t="n">
        <x:f>SUMIF('VERİ'!$B$2:$B$2890,A23,'VERİ'!$G$2:$G$2890)</x:f>
        <x:v>929005</x:v>
      </x:c>
      <x:c r="D23" s="334" t="n">
        <x:f>IFERROR(C23/B23,0)</x:f>
        <x:v>0.3787984122356529</x:v>
      </x:c>
      <x:c r="E23" s="341" t="n">
        <x:f>SUMIF('VERİ'!$B$2:$B$2890,A23,'VERİ'!$D$2:$D$2890)</x:f>
        <x:v>961</x:v>
      </x:c>
      <x:c r="F23" s="341" t="n">
        <x:f>COUNTIF('VERİ'!$B$2:$B$2890,A23)</x:f>
        <x:v>354</x:v>
      </x:c>
      <x:c r="G23" s="342" t="n">
        <x:f>IFERROR(B23/F23,0)</x:f>
        <x:v>6927.9802259887</x:v>
      </x:c>
      <x:c r="H23" s="342" t="n">
        <x:f>SUMIFS('VERİ'!$F$2:$F$2890,'VERİ'!$B$2:$B$2890,A23,'VERİ'!$H$2:$H$2890,$B$4)</x:f>
        <x:v>245805</x:v>
      </x:c>
      <x:c r="I23" s="342" t="n">
        <x:f>SUMIFS('VERİ'!$F$2:$F$2890,'VERİ'!$B$2:$B$2890,A23,'VERİ'!$H$2:$H$2890,$B$5)</x:f>
        <x:v>139800</x:v>
      </x:c>
      <x:c r="J23" s="334" t="n">
        <x:f>IFERROR(H23/I23-1,0)</x:f>
        <x:v>0.7582618025751073</x:v>
      </x:c>
      <x:c r="K23" s="332" t="str">
        <x:f>IF(H23&gt;=AVERAGE($H$16:$H$28)*$B$6,"Hedef Üstü","Hedef Altı")</x:f>
        <x:v>Hedef Üstü</x:v>
      </x:c>
      <x:c r="L23" s="330" t="n">
        <x:f>MIN(10,1+IF(J23&lt;=-$B$8,5,IF(J23&lt;=-$B$7,3,0))+IF(H23&lt;AVERAGE($H$16:$H$28)*$B$6,3,0))</x:f>
        <x:v>1</x:v>
      </x:c>
      <x:c r="M23" s="330" t="str">
        <x:f>IF(L23&gt;=7,"Yüksek",IF(L23&gt;=4,"Orta","Düşük"))</x:f>
        <x:v>Düşük</x:v>
      </x:c>
      <x:c r="N23" s="327"/>
      <x:c r="O23" s="327"/>
      <x:c r="P23" s="327"/>
      <x:c r="Q23" s="327"/>
      <x:c r="R23" s="327"/>
      <x:c r="S23" s="327"/>
      <x:c r="T23" s="327"/>
      <x:c r="U23" s="327"/>
      <x:c r="V23" s="326"/>
      <x:c r="W23" s="326"/>
      <x:c r="X23" s="326"/>
      <x:c r="Y23" s="326" t="str">
        <x:v>Ütü Mor</x:v>
      </x:c>
      <x:c r="Z23" s="326"/>
      <x:c r="AL23" t="str">
        <x:f>IFERROR(INDEX($Y$2:$Y$24,ROW()-1),"")</x:f>
        <x:v>Ütü Mor</x:v>
      </x:c>
      <x:c r="AM23" s="154" t="n">
        <x:f>IFERROR(IF(OR('DASHBOARD'!$L$3="Tümü",'DASHBOARD'!$L$3=AL23),SUMIFS('VERİ'!$D$2:$D$2890,'VERİ'!$C$2:$C$2890,AL23,'VERİ'!$H$2:$H$2890,IF('DASHBOARD'!$B$3="Tümü","*",'DASHBOARD'!$B$3),'VERİ'!$I$2:$I$2890,IF('DASHBOARD'!$E$3="Tümü","*",'DASHBOARD'!$E$3),'VERİ'!$B$2:$B$2890,IF('DASHBOARD'!$I$3="Tümü","*",'DASHBOARD'!$I$3)),0),0)</x:f>
        <x:v>372</x:v>
      </x:c>
      <x:c r="AN23" s="343" t="n">
        <x:f>IFERROR(IF(OR('DASHBOARD'!$L$3="Tümü",'DASHBOARD'!$L$3=AL23),SUMIFS('VERİ'!$F$2:$F$2890,'VERİ'!$C$2:$C$2890,AL23,'VERİ'!$H$2:$H$2890,IF('DASHBOARD'!$B$3="Tümü","*",'DASHBOARD'!$B$3),'VERİ'!$I$2:$I$2890,IF('DASHBOARD'!$E$3="Tümü","*",'DASHBOARD'!$E$3),'VERİ'!$B$2:$B$2890,IF('DASHBOARD'!$I$3="Tümü","*",'DASHBOARD'!$I$3)),0),0)</x:f>
        <x:v>446400</x:v>
      </x:c>
      <x:c r="AO23" s="343" t="n">
        <x:f>IFERROR(IF(OR('DASHBOARD'!$L$3="Tümü",'DASHBOARD'!$L$3=AL23),SUMIFS('VERİ'!$G$2:$G$2890,'VERİ'!$C$2:$C$2890,AL23,'VERİ'!$H$2:$H$2890,IF('DASHBOARD'!$B$3="Tümü","*",'DASHBOARD'!$B$3),'VERİ'!$I$2:$I$2890,IF('DASHBOARD'!$E$3="Tümü","*",'DASHBOARD'!$E$3),'VERİ'!$B$2:$B$2890,IF('DASHBOARD'!$I$3="Tümü","*",'DASHBOARD'!$I$3)),0),0)</x:f>
        <x:v>148800</x:v>
      </x:c>
      <x:c r="AP23" s="193" t="n">
        <x:f>IFERROR(AO23/AN23,0)</x:f>
        <x:v>0.3333333333333333</x:v>
      </x:c>
      <x:c r="AQ23" t="n">
        <x:f>IFERROR(IF(AM23=0,"",RANK.EQ(AM23,$AM$2:$AM$24,0)+COUNTIF($AM$2:AM23,AM23)-1),"")</x:f>
        <x:v>10</x:v>
      </x:c>
    </x:row>
    <x:row r="24">
      <x:c r="A24" s="332" t="str">
        <x:v>Reyhan Uyanık</x:v>
      </x:c>
      <x:c r="B24" s="337" t="n">
        <x:f>SUMIF('VERİ'!$B$2:$B$2890,A24,'VERİ'!$F$2:$F$2890)</x:f>
        <x:v>2960670</x:v>
      </x:c>
      <x:c r="C24" s="337" t="n">
        <x:f>SUMIF('VERİ'!$B$2:$B$2890,A24,'VERİ'!$G$2:$G$2890)</x:f>
        <x:v>916070</x:v>
      </x:c>
      <x:c r="D24" s="334" t="n">
        <x:f>IFERROR(C24/B24,0)</x:f>
        <x:v>0.30941307204112584</x:v>
      </x:c>
      <x:c r="E24" s="341" t="n">
        <x:f>SUMIF('VERİ'!$B$2:$B$2890,A24,'VERİ'!$D$2:$D$2890)</x:f>
        <x:v>857</x:v>
      </x:c>
      <x:c r="F24" s="341" t="n">
        <x:f>COUNTIF('VERİ'!$B$2:$B$2890,A24)</x:f>
        <x:v>316</x:v>
      </x:c>
      <x:c r="G24" s="342" t="n">
        <x:f>IFERROR(B24/F24,0)</x:f>
        <x:v>9369.208860759494</x:v>
      </x:c>
      <x:c r="H24" s="342" t="n">
        <x:f>SUMIFS('VERİ'!$F$2:$F$2890,'VERİ'!$B$2:$B$2890,A24,'VERİ'!$H$2:$H$2890,$B$4)</x:f>
        <x:v>304980</x:v>
      </x:c>
      <x:c r="I24" s="342" t="n">
        <x:f>SUMIFS('VERİ'!$F$2:$F$2890,'VERİ'!$B$2:$B$2890,A24,'VERİ'!$H$2:$H$2890,$B$5)</x:f>
        <x:v>138210</x:v>
      </x:c>
      <x:c r="J24" s="334" t="n">
        <x:f>IFERROR(H24/I24-1,0)</x:f>
        <x:v>1.206642066420664</x:v>
      </x:c>
      <x:c r="K24" s="332" t="str">
        <x:f>IF(H24&gt;=AVERAGE($H$16:$H$28)*$B$6,"Hedef Üstü","Hedef Altı")</x:f>
        <x:v>Hedef Üstü</x:v>
      </x:c>
      <x:c r="L24" s="330" t="n">
        <x:f>MIN(10,1+IF(J24&lt;=-$B$8,5,IF(J24&lt;=-$B$7,3,0))+IF(H24&lt;AVERAGE($H$16:$H$28)*$B$6,3,0))</x:f>
        <x:v>1</x:v>
      </x:c>
      <x:c r="M24" s="330" t="str">
        <x:f>IF(L24&gt;=7,"Yüksek",IF(L24&gt;=4,"Orta","Düşük"))</x:f>
        <x:v>Düşük</x:v>
      </x:c>
      <x:c r="N24" s="327"/>
      <x:c r="O24" s="327"/>
      <x:c r="P24" s="327"/>
      <x:c r="Q24" s="327"/>
      <x:c r="R24" s="327"/>
      <x:c r="S24" s="327"/>
      <x:c r="T24" s="327"/>
      <x:c r="U24" s="327"/>
      <x:c r="V24" s="326"/>
      <x:c r="W24" s="326"/>
      <x:c r="X24" s="326"/>
      <x:c r="Y24" s="326" t="str">
        <x:v>Ütü Siyah</x:v>
      </x:c>
      <x:c r="Z24" s="326"/>
      <x:c r="AL24" t="str">
        <x:f>IFERROR(INDEX($Y$2:$Y$24,ROW()-1),"")</x:f>
        <x:v>Ütü Siyah</x:v>
      </x:c>
      <x:c r="AM24" s="154" t="n">
        <x:f>IFERROR(IF(OR('DASHBOARD'!$L$3="Tümü",'DASHBOARD'!$L$3=AL24),SUMIFS('VERİ'!$D$2:$D$2890,'VERİ'!$C$2:$C$2890,AL24,'VERİ'!$H$2:$H$2890,IF('DASHBOARD'!$B$3="Tümü","*",'DASHBOARD'!$B$3),'VERİ'!$I$2:$I$2890,IF('DASHBOARD'!$E$3="Tümü","*",'DASHBOARD'!$E$3),'VERİ'!$B$2:$B$2890,IF('DASHBOARD'!$I$3="Tümü","*",'DASHBOARD'!$I$3)),0),0)</x:f>
        <x:v>411</x:v>
      </x:c>
      <x:c r="AN24" s="343" t="n">
        <x:f>IFERROR(IF(OR('DASHBOARD'!$L$3="Tümü",'DASHBOARD'!$L$3=AL24),SUMIFS('VERİ'!$F$2:$F$2890,'VERİ'!$C$2:$C$2890,AL24,'VERİ'!$H$2:$H$2890,IF('DASHBOARD'!$B$3="Tümü","*",'DASHBOARD'!$B$3),'VERİ'!$I$2:$I$2890,IF('DASHBOARD'!$E$3="Tümü","*",'DASHBOARD'!$E$3),'VERİ'!$B$2:$B$2890,IF('DASHBOARD'!$I$3="Tümü","*",'DASHBOARD'!$I$3)),0),0)</x:f>
        <x:v>554850</x:v>
      </x:c>
      <x:c r="AO24" s="343" t="n">
        <x:f>IFERROR(IF(OR('DASHBOARD'!$L$3="Tümü",'DASHBOARD'!$L$3=AL24),SUMIFS('VERİ'!$G$2:$G$2890,'VERİ'!$C$2:$C$2890,AL24,'VERİ'!$H$2:$H$2890,IF('DASHBOARD'!$B$3="Tümü","*",'DASHBOARD'!$B$3),'VERİ'!$I$2:$I$2890,IF('DASHBOARD'!$E$3="Tümü","*",'DASHBOARD'!$E$3),'VERİ'!$B$2:$B$2890,IF('DASHBOARD'!$I$3="Tümü","*",'DASHBOARD'!$I$3)),0),0)</x:f>
        <x:v>226050</x:v>
      </x:c>
      <x:c r="AP24" s="193" t="n">
        <x:f>IFERROR(AO24/AN24,0)</x:f>
        <x:v>0.4074074074074074</x:v>
      </x:c>
      <x:c r="AQ24" t="n">
        <x:f>IFERROR(IF(AM24=0,"",RANK.EQ(AM24,$AM$2:$AM$24,0)+COUNTIF($AM$2:AM24,AM24)-1),"")</x:f>
        <x:v>6</x:v>
      </x:c>
    </x:row>
    <x:row r="25">
      <x:c r="A25" s="332" t="str">
        <x:v>Serdal Yücel</x:v>
      </x:c>
      <x:c r="B25" s="337" t="n">
        <x:f>SUMIF('VERİ'!$B$2:$B$2890,A25,'VERİ'!$F$2:$F$2890)</x:f>
        <x:v>3820925</x:v>
      </x:c>
      <x:c r="C25" s="337" t="n">
        <x:f>SUMIF('VERİ'!$B$2:$B$2890,A25,'VERİ'!$G$2:$G$2890)</x:f>
        <x:v>1010925</x:v>
      </x:c>
      <x:c r="D25" s="334" t="n">
        <x:f>IFERROR(C25/B25,0)</x:f>
        <x:v>0.2645759861813566</x:v>
      </x:c>
      <x:c r="E25" s="341" t="n">
        <x:f>SUMIF('VERİ'!$B$2:$B$2890,A25,'VERİ'!$D$2:$D$2890)</x:f>
        <x:v>643</x:v>
      </x:c>
      <x:c r="F25" s="341" t="n">
        <x:f>COUNTIF('VERİ'!$B$2:$B$2890,A25)</x:f>
        <x:v>223</x:v>
      </x:c>
      <x:c r="G25" s="342" t="n">
        <x:f>IFERROR(B25/F25,0)</x:f>
        <x:v>17134.192825112106</x:v>
      </x:c>
      <x:c r="H25" s="342" t="n">
        <x:f>SUMIFS('VERİ'!$F$2:$F$2890,'VERİ'!$B$2:$B$2890,A25,'VERİ'!$H$2:$H$2890,$B$4)</x:f>
        <x:v>297600</x:v>
      </x:c>
      <x:c r="I25" s="342" t="n">
        <x:f>SUMIFS('VERİ'!$F$2:$F$2890,'VERİ'!$B$2:$B$2890,A25,'VERİ'!$H$2:$H$2890,$B$5)</x:f>
        <x:v>306160</x:v>
      </x:c>
      <x:c r="J25" s="334" t="n">
        <x:f>IFERROR(H25/I25-1,0)</x:f>
        <x:v>-0.02795923700026126</x:v>
      </x:c>
      <x:c r="K25" s="332" t="str">
        <x:f>IF(H25&gt;=AVERAGE($H$16:$H$28)*$B$6,"Hedef Üstü","Hedef Altı")</x:f>
        <x:v>Hedef Üstü</x:v>
      </x:c>
      <x:c r="L25" s="330" t="n">
        <x:f>MIN(10,1+IF(J25&lt;=-$B$8,5,IF(J25&lt;=-$B$7,3,0))+IF(H25&lt;AVERAGE($H$16:$H$28)*$B$6,3,0))</x:f>
        <x:v>1</x:v>
      </x:c>
      <x:c r="M25" s="330" t="str">
        <x:f>IF(L25&gt;=7,"Yüksek",IF(L25&gt;=4,"Orta","Düşük"))</x:f>
        <x:v>Düşük</x:v>
      </x:c>
      <x:c r="N25" s="327"/>
      <x:c r="O25" s="327"/>
      <x:c r="P25" s="327"/>
      <x:c r="Q25" s="327"/>
      <x:c r="R25" s="327"/>
      <x:c r="S25" s="327"/>
      <x:c r="T25" s="327"/>
      <x:c r="U25" s="327"/>
      <x:c r="V25" s="312"/>
      <x:c r="W25" s="312"/>
      <x:c r="X25" s="312"/>
      <x:c r="Y25" s="312" t="str">
        <x:v>Tümü</x:v>
      </x:c>
      <x:c r="Z25" s="312"/>
    </x:row>
    <x:row r="26">
      <x:c r="A26" s="332" t="str">
        <x:v>Yücel Öztürk</x:v>
      </x:c>
      <x:c r="B26" s="337" t="n">
        <x:f>SUMIF('VERİ'!$B$2:$B$2890,A26,'VERİ'!$F$2:$F$2890)</x:f>
        <x:v>1800540</x:v>
      </x:c>
      <x:c r="C26" s="337" t="n">
        <x:f>SUMIF('VERİ'!$B$2:$B$2890,A26,'VERİ'!$G$2:$G$2890)</x:f>
        <x:v>550340</x:v>
      </x:c>
      <x:c r="D26" s="334" t="n">
        <x:f>IFERROR(C26/B26,0)</x:f>
        <x:v>0.30565274861985847</x:v>
      </x:c>
      <x:c r="E26" s="341" t="n">
        <x:f>SUMIF('VERİ'!$B$2:$B$2890,A26,'VERİ'!$D$2:$D$2890)</x:f>
        <x:v>444</x:v>
      </x:c>
      <x:c r="F26" s="341" t="n">
        <x:f>COUNTIF('VERİ'!$B$2:$B$2890,A26)</x:f>
        <x:v>173</x:v>
      </x:c>
      <x:c r="G26" s="342" t="n">
        <x:f>IFERROR(B26/F26,0)</x:f>
        <x:v>10407.745664739885</x:v>
      </x:c>
      <x:c r="H26" s="342" t="n">
        <x:f>SUMIFS('VERİ'!$F$2:$F$2890,'VERİ'!$B$2:$B$2890,A26,'VERİ'!$H$2:$H$2890,$B$4)</x:f>
        <x:v>202570</x:v>
      </x:c>
      <x:c r="I26" s="342" t="n">
        <x:f>SUMIFS('VERİ'!$F$2:$F$2890,'VERİ'!$B$2:$B$2890,A26,'VERİ'!$H$2:$H$2890,$B$5)</x:f>
        <x:v>136820</x:v>
      </x:c>
      <x:c r="J26" s="334" t="n">
        <x:f>IFERROR(H26/I26-1,0)</x:f>
        <x:v>0.4805583978950445</x:v>
      </x:c>
      <x:c r="K26" s="332" t="str">
        <x:f>IF(H26&gt;=AVERAGE($H$16:$H$28)*$B$6,"Hedef Üstü","Hedef Altı")</x:f>
        <x:v>Hedef Üstü</x:v>
      </x:c>
      <x:c r="L26" s="330" t="n">
        <x:f>MIN(10,1+IF(J26&lt;=-$B$8,5,IF(J26&lt;=-$B$7,3,0))+IF(H26&lt;AVERAGE($H$16:$H$28)*$B$6,3,0))</x:f>
        <x:v>1</x:v>
      </x:c>
      <x:c r="M26" s="330" t="str">
        <x:f>IF(L26&gt;=7,"Yüksek",IF(L26&gt;=4,"Orta","Düşük"))</x:f>
        <x:v>Düşük</x:v>
      </x:c>
      <x:c r="N26" s="327"/>
      <x:c r="O26" s="327"/>
      <x:c r="P26" s="327"/>
      <x:c r="Q26" s="327"/>
      <x:c r="R26" s="327"/>
      <x:c r="S26" s="327"/>
      <x:c r="T26" s="327"/>
      <x:c r="U26" s="327"/>
      <x:c r="V26" s="312"/>
      <x:c r="W26" s="312"/>
      <x:c r="X26" s="312"/>
      <x:c r="Y26" s="312"/>
      <x:c r="Z26" s="312"/>
    </x:row>
    <x:row r="27">
      <x:c r="A27" s="332" t="str">
        <x:v>Zeynep Şen</x:v>
      </x:c>
      <x:c r="B27" s="337" t="n">
        <x:f>SUMIF('VERİ'!$B$2:$B$2890,A27,'VERİ'!$F$2:$F$2890)</x:f>
        <x:v>2515870</x:v>
      </x:c>
      <x:c r="C27" s="337" t="n">
        <x:f>SUMIF('VERİ'!$B$2:$B$2890,A27,'VERİ'!$G$2:$G$2890)</x:f>
        <x:v>629970</x:v>
      </x:c>
      <x:c r="D27" s="334" t="n">
        <x:f>IFERROR(C27/B27,0)</x:f>
        <x:v>0.25039847050920755</x:v>
      </x:c>
      <x:c r="E27" s="341" t="n">
        <x:f>SUMIF('VERİ'!$B$2:$B$2890,A27,'VERİ'!$D$2:$D$2890)</x:f>
        <x:v>731</x:v>
      </x:c>
      <x:c r="F27" s="341" t="n">
        <x:f>COUNTIF('VERİ'!$B$2:$B$2890,A27)</x:f>
        <x:v>286</x:v>
      </x:c>
      <x:c r="G27" s="342" t="n">
        <x:f>IFERROR(B27/F27,0)</x:f>
        <x:v>8796.748251748251</x:v>
      </x:c>
      <x:c r="H27" s="342" t="n">
        <x:f>SUMIFS('VERİ'!$F$2:$F$2890,'VERİ'!$B$2:$B$2890,A27,'VERİ'!$H$2:$H$2890,$B$4)</x:f>
        <x:v>251110</x:v>
      </x:c>
      <x:c r="I27" s="342" t="n">
        <x:f>SUMIFS('VERİ'!$F$2:$F$2890,'VERİ'!$B$2:$B$2890,A27,'VERİ'!$H$2:$H$2890,$B$5)</x:f>
        <x:v>156580</x:v>
      </x:c>
      <x:c r="J27" s="334" t="n">
        <x:f>IFERROR(H27/I27-1,0)</x:f>
        <x:v>0.6037169498020181</x:v>
      </x:c>
      <x:c r="K27" s="332" t="str">
        <x:f>IF(H27&gt;=AVERAGE($H$16:$H$28)*$B$6,"Hedef Üstü","Hedef Altı")</x:f>
        <x:v>Hedef Üstü</x:v>
      </x:c>
      <x:c r="L27" s="330" t="n">
        <x:f>MIN(10,1+IF(J27&lt;=-$B$8,5,IF(J27&lt;=-$B$7,3,0))+IF(H27&lt;AVERAGE($H$16:$H$28)*$B$6,3,0))</x:f>
        <x:v>1</x:v>
      </x:c>
      <x:c r="M27" s="330" t="str">
        <x:f>IF(L27&gt;=7,"Yüksek",IF(L27&gt;=4,"Orta","Düşük"))</x:f>
        <x:v>Düşük</x:v>
      </x:c>
      <x:c r="N27" s="327"/>
      <x:c r="O27" s="327"/>
      <x:c r="P27" s="327"/>
      <x:c r="Q27" s="327"/>
      <x:c r="R27" s="327"/>
      <x:c r="S27" s="327"/>
      <x:c r="T27" s="327"/>
      <x:c r="U27" s="327"/>
      <x:c r="V27" s="312"/>
      <x:c r="W27" s="312"/>
      <x:c r="X27" s="312"/>
      <x:c r="Y27" s="312"/>
      <x:c r="Z27" s="312"/>
    </x:row>
    <x:row r="28">
      <x:c r="A28" s="332" t="str">
        <x:v>Özgür Ertekin</x:v>
      </x:c>
      <x:c r="B28" s="337" t="n">
        <x:f>SUMIF('VERİ'!$B$2:$B$2890,A28,'VERİ'!$F$2:$F$2890)</x:f>
        <x:v>2762610</x:v>
      </x:c>
      <x:c r="C28" s="337" t="n">
        <x:f>SUMIF('VERİ'!$B$2:$B$2890,A28,'VERİ'!$G$2:$G$2890)</x:f>
        <x:v>833410</x:v>
      </x:c>
      <x:c r="D28" s="334" t="n">
        <x:f>IFERROR(C28/B28,0)</x:f>
        <x:v>0.3016748654352225</x:v>
      </x:c>
      <x:c r="E28" s="341" t="n">
        <x:f>SUMIF('VERİ'!$B$2:$B$2890,A28,'VERİ'!$D$2:$D$2890)</x:f>
        <x:v>665</x:v>
      </x:c>
      <x:c r="F28" s="341" t="n">
        <x:f>COUNTIF('VERİ'!$B$2:$B$2890,A28)</x:f>
        <x:v>245</x:v>
      </x:c>
      <x:c r="G28" s="342" t="n">
        <x:f>IFERROR(B28/F28,0)</x:f>
        <x:v>11275.959183673469</x:v>
      </x:c>
      <x:c r="H28" s="342" t="n">
        <x:f>SUMIFS('VERİ'!$F$2:$F$2890,'VERİ'!$B$2:$B$2890,A28,'VERİ'!$H$2:$H$2890,$B$4)</x:f>
        <x:v>264640</x:v>
      </x:c>
      <x:c r="I28" s="342" t="n">
        <x:f>SUMIFS('VERİ'!$F$2:$F$2890,'VERİ'!$B$2:$B$2890,A28,'VERİ'!$H$2:$H$2890,$B$5)</x:f>
        <x:v>215920</x:v>
      </x:c>
      <x:c r="J28" s="334" t="n">
        <x:f>IFERROR(H28/I28-1,0)</x:f>
        <x:v>0.22563912560207489</x:v>
      </x:c>
      <x:c r="K28" s="332" t="str">
        <x:f>IF(H28&gt;=AVERAGE($H$16:$H$28)*$B$6,"Hedef Üstü","Hedef Altı")</x:f>
        <x:v>Hedef Üstü</x:v>
      </x:c>
      <x:c r="L28" s="330" t="n">
        <x:f>MIN(10,1+IF(J28&lt;=-$B$8,5,IF(J28&lt;=-$B$7,3,0))+IF(H28&lt;AVERAGE($H$16:$H$28)*$B$6,3,0))</x:f>
        <x:v>1</x:v>
      </x:c>
      <x:c r="M28" s="330" t="str">
        <x:f>IF(L28&gt;=7,"Yüksek",IF(L28&gt;=4,"Orta","Düşük"))</x:f>
        <x:v>Düşük</x:v>
      </x:c>
      <x:c r="N28" s="327"/>
      <x:c r="O28" s="327"/>
      <x:c r="P28" s="327"/>
      <x:c r="Q28" s="327"/>
      <x:c r="R28" s="327"/>
      <x:c r="S28" s="327"/>
      <x:c r="T28" s="327"/>
      <x:c r="U28" s="327"/>
      <x:c r="V28" s="312"/>
      <x:c r="W28" s="312"/>
      <x:c r="X28" s="312"/>
      <x:c r="Y28" s="312"/>
      <x:c r="Z28" s="312"/>
    </x:row>
    <x:row r="29">
      <x:c r="A29" s="327"/>
      <x:c r="B29" s="327"/>
      <x:c r="C29" s="327"/>
      <x:c r="D29" s="327"/>
      <x:c r="E29" s="327"/>
      <x:c r="F29" s="327"/>
      <x:c r="G29" s="327"/>
      <x:c r="H29" s="327"/>
      <x:c r="I29" s="327"/>
      <x:c r="J29" s="327"/>
      <x:c r="K29" s="327"/>
      <x:c r="L29" s="327"/>
      <x:c r="M29" s="327"/>
      <x:c r="N29" s="327"/>
      <x:c r="O29" s="327"/>
      <x:c r="P29" s="327"/>
      <x:c r="Q29" s="327"/>
      <x:c r="R29" s="327"/>
      <x:c r="S29" s="327"/>
      <x:c r="T29" s="327"/>
      <x:c r="U29" s="327"/>
      <x:c r="V29" s="312"/>
      <x:c r="W29" s="312"/>
      <x:c r="X29" s="312"/>
      <x:c r="Y29" s="312"/>
      <x:c r="Z29" s="312"/>
    </x:row>
    <x:row r="30">
      <x:c r="A30" s="327"/>
      <x:c r="B30" s="327"/>
      <x:c r="C30" s="327"/>
      <x:c r="D30" s="327"/>
      <x:c r="E30" s="327"/>
      <x:c r="F30" s="327"/>
      <x:c r="G30" s="327"/>
      <x:c r="H30" s="327"/>
      <x:c r="I30" s="327"/>
      <x:c r="J30" s="327"/>
      <x:c r="K30" s="327"/>
      <x:c r="L30" s="327"/>
      <x:c r="M30" s="327"/>
      <x:c r="N30" s="327"/>
      <x:c r="O30" s="327"/>
      <x:c r="P30" s="327"/>
      <x:c r="Q30" s="327"/>
      <x:c r="R30" s="327"/>
      <x:c r="S30" s="327"/>
      <x:c r="T30" s="327"/>
      <x:c r="U30" s="327"/>
      <x:c r="V30" s="312"/>
      <x:c r="W30" s="312"/>
      <x:c r="X30" s="312"/>
      <x:c r="Y30" s="312"/>
      <x:c r="Z30" s="312"/>
    </x:row>
    <x:row r="31">
      <x:c r="A31" s="328" t="str">
        <x:v>Ürün Performansı</x:v>
      </x:c>
      <x:c r="B31" s="328"/>
      <x:c r="C31" s="328"/>
      <x:c r="D31" s="328"/>
      <x:c r="E31" s="328"/>
      <x:c r="F31" s="328"/>
      <x:c r="G31" s="328"/>
      <x:c r="H31" s="328"/>
      <x:c r="I31" s="328"/>
      <x:c r="J31" s="327"/>
      <x:c r="K31" s="328" t="str">
        <x:v>Personel Risk Skoru</x:v>
      </x:c>
      <x:c r="L31" s="328"/>
      <x:c r="M31" s="328"/>
      <x:c r="N31" s="328"/>
      <x:c r="O31" s="328"/>
      <x:c r="P31" s="328"/>
      <x:c r="Q31" s="328"/>
      <x:c r="R31" s="327"/>
      <x:c r="S31" s="327"/>
      <x:c r="T31" s="327"/>
      <x:c r="U31" s="327"/>
      <x:c r="V31" s="312"/>
      <x:c r="W31" s="312"/>
      <x:c r="X31" s="312"/>
      <x:c r="Y31" s="312"/>
      <x:c r="Z31" s="312"/>
    </x:row>
    <x:row r="32">
      <x:c r="A32" s="261" t="str">
        <x:v>Ürün</x:v>
      </x:c>
      <x:c r="B32" s="261" t="str">
        <x:v>Ciro</x:v>
      </x:c>
      <x:c r="C32" s="261" t="str">
        <x:v>Kâr</x:v>
      </x:c>
      <x:c r="D32" s="261" t="str">
        <x:v>Kâr Marjı</x:v>
      </x:c>
      <x:c r="E32" s="261" t="str">
        <x:v>Ort. Satır Marjı</x:v>
      </x:c>
      <x:c r="F32" s="261" t="str">
        <x:v>Satış Adedi</x:v>
      </x:c>
      <x:c r="G32" s="261" t="str">
        <x:v>Sipariş</x:v>
      </x:c>
      <x:c r="H32" s="261" t="str">
        <x:v>Kâr Sırası</x:v>
      </x:c>
      <x:c r="I32" s="261" t="str">
        <x:v>Performans</x:v>
      </x:c>
      <x:c r="J32" s="327"/>
      <x:c r="K32" s="261" t="str">
        <x:v>Personel</x:v>
      </x:c>
      <x:c r="L32" s="261" t="str">
        <x:v>Son Dönem Ciro</x:v>
      </x:c>
      <x:c r="M32" s="261" t="str">
        <x:v>Önceki Ciro</x:v>
      </x:c>
      <x:c r="N32" s="261" t="str">
        <x:v>Değişim %</x:v>
      </x:c>
      <x:c r="O32" s="261" t="str">
        <x:v>Hedef Durumu</x:v>
      </x:c>
      <x:c r="P32" s="261" t="str">
        <x:v>Risk Skoru</x:v>
      </x:c>
      <x:c r="Q32" s="261" t="str">
        <x:v>Risk</x:v>
      </x:c>
      <x:c r="R32" s="327"/>
      <x:c r="S32" s="327"/>
      <x:c r="T32" s="327"/>
      <x:c r="U32" s="327"/>
      <x:c r="V32" s="312"/>
      <x:c r="W32" s="312"/>
      <x:c r="X32" s="312"/>
      <x:c r="Y32" s="312"/>
      <x:c r="Z32" s="312"/>
    </x:row>
    <x:row r="33">
      <x:c r="A33" s="330" t="str">
        <x:v>Bulaşık Makinesi Beyaz</x:v>
      </x:c>
      <x:c r="B33" s="322" t="n">
        <x:f>SUMIF('VERİ'!$C$2:$C$2890,A33,'VERİ'!$F$2:$F$2890)</x:f>
        <x:v>2400000</x:v>
      </x:c>
      <x:c r="C33" s="322" t="n">
        <x:f>SUMIF('VERİ'!$C$2:$C$2890,A33,'VERİ'!$G$2:$G$2890)</x:f>
        <x:v>800000</x:v>
      </x:c>
      <x:c r="D33" s="323" t="n">
        <x:f>IFERROR(C33/B33,0)</x:f>
        <x:v>0.3333333333333333</x:v>
      </x:c>
      <x:c r="E33" s="323" t="n">
        <x:f>IFERROR(AVERAGEIF('VERİ'!$C$2:$C$2890,A33,'VERİ'!$J$2:$J$2890),0)</x:f>
        <x:v>0.3333333333333338</x:v>
      </x:c>
      <x:c r="F33" s="324" t="n">
        <x:f>SUMIF('VERİ'!$C$2:$C$2890,A33,'VERİ'!$D$2:$D$2890)</x:f>
        <x:v>400</x:v>
      </x:c>
      <x:c r="G33" s="324" t="n">
        <x:f>COUNTIF('VERİ'!$C$2:$C$2890,A33)</x:f>
        <x:v>149</x:v>
      </x:c>
      <x:c r="H33" s="324" t="n">
        <x:f>RANK.EQ(C33,$C$33:$C$55,0)</x:f>
        <x:v>4</x:v>
      </x:c>
      <x:c r="I33" s="330" t="str">
        <x:f>IF(H33&lt;=5,"Top 5",IF(H33&gt;=21,"Düşük 3","Standart"))</x:f>
        <x:v>Top 5</x:v>
      </x:c>
      <x:c r="J33" s="327"/>
      <x:c r="K33" s="330" t="str">
        <x:v>Ali Kandemir</x:v>
      </x:c>
      <x:c r="L33" s="322" t="n">
        <x:f>SUMIFS('VERİ'!$F$2:$F$2890,'VERİ'!$B$2:$B$2890,K33,'VERİ'!$H$2:$H$2890,$B$4)</x:f>
        <x:v>194780</x:v>
      </x:c>
      <x:c r="M33" s="322" t="n">
        <x:f>SUMIFS('VERİ'!$F$2:$F$2890,'VERİ'!$B$2:$B$2890,K33,'VERİ'!$H$2:$H$2890,$B$5)</x:f>
        <x:v>201310</x:v>
      </x:c>
      <x:c r="N33" s="323" t="n">
        <x:f>IFERROR(L33/M33-1,0)</x:f>
        <x:v>-0.0324375341513089</x:v>
      </x:c>
      <x:c r="O33" s="330" t="str">
        <x:f>IF(L33&gt;=AVERAGE($L$33:$L$45)*$B$6,"Hedef Üstü","Hedef Altı")</x:f>
        <x:v>Hedef Altı</x:v>
      </x:c>
      <x:c r="P33" s="330" t="n">
        <x:f>MIN(10,1+IF(N33&lt;=-$B$8,5,IF(N33&lt;=-$B$7,3,0))+IF(L33&lt;AVERAGE($L$33:$L$45)*$B$6,3,0))</x:f>
        <x:v>4</x:v>
      </x:c>
      <x:c r="Q33" s="330" t="str">
        <x:f>IFERROR(IF(P33&gt;='DASHBOARD (2)'!$I$3,"Yüksek",IF(P33&gt;=2,"Orta","Düşük")),"-")</x:f>
        <x:v>Yüksek</x:v>
      </x:c>
      <x:c r="R33" s="327"/>
      <x:c r="S33" s="327"/>
      <x:c r="T33" s="327"/>
      <x:c r="U33" s="327"/>
      <x:c r="V33" s="312"/>
      <x:c r="W33" s="312"/>
      <x:c r="X33" s="312"/>
      <x:c r="Y33" s="312"/>
      <x:c r="Z33" s="312"/>
    </x:row>
    <x:row r="34">
      <x:c r="A34" s="330" t="str">
        <x:v>Bulaşık Makinesi Gri</x:v>
      </x:c>
      <x:c r="B34" s="322" t="n">
        <x:f>SUMIF('VERİ'!$C$2:$C$2890,A34,'VERİ'!$F$2:$F$2890)</x:f>
        <x:v>1229600</x:v>
      </x:c>
      <x:c r="C34" s="322" t="n">
        <x:f>SUMIF('VERİ'!$C$2:$C$2890,A34,'VERİ'!$G$2:$G$2890)</x:f>
        <x:v>301600</x:v>
      </x:c>
      <x:c r="D34" s="323" t="n">
        <x:f>IFERROR(C34/B34,0)</x:f>
        <x:v>0.24528301886792453</x:v>
      </x:c>
      <x:c r="E34" s="323" t="n">
        <x:f>IFERROR(AVERAGEIF('VERİ'!$C$2:$C$2890,A34,'VERİ'!$J$2:$J$2890),0)</x:f>
        <x:v>0.24528301886792422</x:v>
      </x:c>
      <x:c r="F34" s="324" t="n">
        <x:f>SUMIF('VERİ'!$C$2:$C$2890,A34,'VERİ'!$D$2:$D$2890)</x:f>
        <x:v>232</x:v>
      </x:c>
      <x:c r="G34" s="324" t="n">
        <x:f>COUNTIF('VERİ'!$C$2:$C$2890,A34)</x:f>
        <x:v>88</x:v>
      </x:c>
      <x:c r="H34" s="324" t="n">
        <x:f>RANK.EQ(C34,$C$33:$C$55,0)</x:f>
        <x:v>10</x:v>
      </x:c>
      <x:c r="I34" s="330" t="str">
        <x:f>IF(H34&lt;=5,"Top 5",IF(H34&gt;=21,"Düşük 3","Standart"))</x:f>
        <x:v>Standart</x:v>
      </x:c>
      <x:c r="J34" s="327"/>
      <x:c r="K34" s="330" t="str">
        <x:v>Bedriye Vural</x:v>
      </x:c>
      <x:c r="L34" s="322" t="n">
        <x:f>SUMIFS('VERİ'!$F$2:$F$2890,'VERİ'!$B$2:$B$2890,K34,'VERİ'!$H$2:$H$2890,$B$4)</x:f>
        <x:v>286460</x:v>
      </x:c>
      <x:c r="M34" s="322" t="n">
        <x:f>SUMIFS('VERİ'!$F$2:$F$2890,'VERİ'!$B$2:$B$2890,K34,'VERİ'!$H$2:$H$2890,$B$5)</x:f>
        <x:v>209130</x:v>
      </x:c>
      <x:c r="N34" s="323" t="n">
        <x:f>IFERROR(L34/M34-1,0)</x:f>
        <x:v>0.36976999952182843</x:v>
      </x:c>
      <x:c r="O34" s="330" t="str">
        <x:f>IF(L34&gt;=AVERAGE($L$33:$L$45)*$B$6,"Hedef Üstü","Hedef Altı")</x:f>
        <x:v>Hedef Üstü</x:v>
      </x:c>
      <x:c r="P34" s="330" t="n">
        <x:f>MIN(10,1+IF(N34&lt;=-$B$8,5,IF(N34&lt;=-$B$7,3,0))+IF(L34&lt;AVERAGE($L$33:$L$45)*$B$6,3,0))</x:f>
        <x:v>1</x:v>
      </x:c>
      <x:c r="Q34" s="330" t="str">
        <x:f>IFERROR(IF(P34&gt;='DASHBOARD (2)'!$I$3,"Yüksek",IF(P34&gt;=2,"Orta","Düşük")),"-")</x:f>
        <x:v>Düşük</x:v>
      </x:c>
      <x:c r="R34" s="327"/>
      <x:c r="S34" s="327"/>
      <x:c r="T34" s="327"/>
      <x:c r="U34" s="327"/>
      <x:c r="V34" s="312"/>
      <x:c r="W34" s="312"/>
      <x:c r="X34" s="312"/>
      <x:c r="Y34" s="312"/>
      <x:c r="Z34" s="312"/>
    </x:row>
    <x:row r="35">
      <x:c r="A35" s="330" t="str">
        <x:v>Buzdolabı Dört Kapılı Gri</x:v>
      </x:c>
      <x:c r="B35" s="322" t="n">
        <x:f>SUMIF('VERİ'!$C$2:$C$2890,A35,'VERİ'!$F$2:$F$2890)</x:f>
        <x:v>2840300</x:v>
      </x:c>
      <x:c r="C35" s="322" t="n">
        <x:f>SUMIF('VERİ'!$C$2:$C$2890,A35,'VERİ'!$G$2:$G$2890)</x:f>
        <x:v>1230800</x:v>
      </x:c>
      <x:c r="D35" s="323" t="n">
        <x:f>IFERROR(C35/B35,0)</x:f>
        <x:v>0.4333345069182833</x:v>
      </x:c>
      <x:c r="E35" s="323" t="n">
        <x:f>IFERROR(AVERAGEIF('VERİ'!$C$2:$C$2890,A35,'VERİ'!$J$2:$J$2890),0)</x:f>
        <x:v>0.4322004776302156</x:v>
      </x:c>
      <x:c r="F35" s="324" t="n">
        <x:f>SUMIF('VERİ'!$C$2:$C$2890,A35,'VERİ'!$D$2:$D$2890)</x:f>
        <x:v>269</x:v>
      </x:c>
      <x:c r="G35" s="324" t="n">
        <x:f>COUNTIF('VERİ'!$C$2:$C$2890,A35)</x:f>
        <x:v>99</x:v>
      </x:c>
      <x:c r="H35" s="324" t="n">
        <x:f>RANK.EQ(C35,$C$33:$C$55,0)</x:f>
        <x:v>2</x:v>
      </x:c>
      <x:c r="I35" s="330" t="str">
        <x:f>IF(H35&lt;=5,"Top 5",IF(H35&gt;=21,"Düşük 3","Standart"))</x:f>
        <x:v>Top 5</x:v>
      </x:c>
      <x:c r="J35" s="327"/>
      <x:c r="K35" s="330" t="str">
        <x:v>Bilinmeyen Personel</x:v>
      </x:c>
      <x:c r="L35" s="322" t="n">
        <x:f>SUMIFS('VERİ'!$F$2:$F$2890,'VERİ'!$B$2:$B$2890,K35,'VERİ'!$H$2:$H$2890,$B$4)</x:f>
        <x:v>0</x:v>
      </x:c>
      <x:c r="M35" s="322" t="n">
        <x:f>SUMIFS('VERİ'!$F$2:$F$2890,'VERİ'!$B$2:$B$2890,K35,'VERİ'!$H$2:$H$2890,$B$5)</x:f>
        <x:v>0</x:v>
      </x:c>
      <x:c r="N35" s="323" t="n">
        <x:f>IFERROR(L35/M35-1,0)</x:f>
        <x:v>0</x:v>
      </x:c>
      <x:c r="O35" s="330" t="str">
        <x:f>IF(L35&gt;=AVERAGE($L$33:$L$45)*$B$6,"Hedef Üstü","Hedef Altı")</x:f>
        <x:v>Hedef Altı</x:v>
      </x:c>
      <x:c r="P35" s="330" t="n">
        <x:f>MIN(10,1+IF(N35&lt;=-$B$8,5,IF(N35&lt;=-$B$7,3,0))+IF(L35&lt;AVERAGE($L$33:$L$45)*$B$6,3,0))</x:f>
        <x:v>4</x:v>
      </x:c>
      <x:c r="Q35" s="330" t="str">
        <x:f>IFERROR(IF(P35&gt;='DASHBOARD (2)'!$I$3,"Yüksek",IF(P35&gt;=2,"Orta","Düşük")),"-")</x:f>
        <x:v>Yüksek</x:v>
      </x:c>
      <x:c r="R35" s="327"/>
      <x:c r="S35" s="327"/>
      <x:c r="T35" s="327"/>
      <x:c r="U35" s="327"/>
      <x:c r="V35" s="312"/>
      <x:c r="W35" s="312"/>
      <x:c r="X35" s="312"/>
      <x:c r="Y35" s="312"/>
      <x:c r="Z35" s="312"/>
    </x:row>
    <x:row r="36">
      <x:c r="A36" s="330" t="str">
        <x:v>Buzdolabı İki Kapaklı Beyaz</x:v>
      </x:c>
      <x:c r="B36" s="322" t="n">
        <x:f>SUMIF('VERİ'!$C$2:$C$2890,A36,'VERİ'!$F$2:$F$2890)</x:f>
        <x:v>1968850</x:v>
      </x:c>
      <x:c r="C36" s="322" t="n">
        <x:f>SUMIF('VERİ'!$C$2:$C$2890,A36,'VERİ'!$G$2:$G$2890)</x:f>
        <x:v>570850</x:v>
      </x:c>
      <x:c r="D36" s="323" t="n">
        <x:f>IFERROR(C36/B36,0)</x:f>
        <x:v>0.28994082840236685</x:v>
      </x:c>
      <x:c r="E36" s="323" t="n">
        <x:f>IFERROR(AVERAGEIF('VERİ'!$C$2:$C$2890,A36,'VERİ'!$J$2:$J$2890),0)</x:f>
        <x:v>0.28994082840236735</x:v>
      </x:c>
      <x:c r="F36" s="324" t="n">
        <x:f>SUMIF('VERİ'!$C$2:$C$2890,A36,'VERİ'!$D$2:$D$2890)</x:f>
        <x:v>233</x:v>
      </x:c>
      <x:c r="G36" s="324" t="n">
        <x:f>COUNTIF('VERİ'!$C$2:$C$2890,A36)</x:f>
        <x:v>78</x:v>
      </x:c>
      <x:c r="H36" s="324" t="n">
        <x:f>RANK.EQ(C36,$C$33:$C$55,0)</x:f>
        <x:v>5</x:v>
      </x:c>
      <x:c r="I36" s="330" t="str">
        <x:f>IF(H36&lt;=5,"Top 5",IF(H36&gt;=21,"Düşük 3","Standart"))</x:f>
        <x:v>Top 5</x:v>
      </x:c>
      <x:c r="J36" s="327"/>
      <x:c r="K36" s="330" t="str">
        <x:v>Ferdi Dede</x:v>
      </x:c>
      <x:c r="L36" s="322" t="n">
        <x:f>SUMIFS('VERİ'!$F$2:$F$2890,'VERİ'!$B$2:$B$2890,K36,'VERİ'!$H$2:$H$2890,$B$4)</x:f>
        <x:v>192490</x:v>
      </x:c>
      <x:c r="M36" s="322" t="n">
        <x:f>SUMIFS('VERİ'!$F$2:$F$2890,'VERİ'!$B$2:$B$2890,K36,'VERİ'!$H$2:$H$2890,$B$5)</x:f>
        <x:v>172410</x:v>
      </x:c>
      <x:c r="N36" s="323" t="n">
        <x:f>IFERROR(L36/M36-1,0)</x:f>
        <x:v>0.11646656226436991</x:v>
      </x:c>
      <x:c r="O36" s="330" t="str">
        <x:f>IF(L36&gt;=AVERAGE($L$33:$L$45)*$B$6,"Hedef Üstü","Hedef Altı")</x:f>
        <x:v>Hedef Altı</x:v>
      </x:c>
      <x:c r="P36" s="330" t="n">
        <x:f>MIN(10,1+IF(N36&lt;=-$B$8,5,IF(N36&lt;=-$B$7,3,0))+IF(L36&lt;AVERAGE($L$33:$L$45)*$B$6,3,0))</x:f>
        <x:v>4</x:v>
      </x:c>
      <x:c r="Q36" s="330" t="str">
        <x:f>IFERROR(IF(P36&gt;='DASHBOARD (2)'!$I$3,"Yüksek",IF(P36&gt;=2,"Orta","Düşük")),"-")</x:f>
        <x:v>Yüksek</x:v>
      </x:c>
      <x:c r="R36" s="327"/>
      <x:c r="S36" s="327"/>
      <x:c r="T36" s="327"/>
      <x:c r="U36" s="327"/>
      <x:c r="V36" s="312"/>
      <x:c r="W36" s="312"/>
      <x:c r="X36" s="312"/>
      <x:c r="Y36" s="312"/>
      <x:c r="Z36" s="312"/>
    </x:row>
    <x:row r="37">
      <x:c r="A37" s="330" t="str">
        <x:v>Buzdolabı İki Kapılı Gri</x:v>
      </x:c>
      <x:c r="B37" s="322" t="n">
        <x:f>SUMIF('VERİ'!$C$2:$C$2890,A37,'VERİ'!$F$2:$F$2890)</x:f>
        <x:v>2040630</x:v>
      </x:c>
      <x:c r="C37" s="322" t="n">
        <x:f>SUMIF('VERİ'!$C$2:$C$2890,A37,'VERİ'!$G$2:$G$2890)</x:f>
        <x:v>414630</x:v>
      </x:c>
      <x:c r="D37" s="323" t="n">
        <x:f>IFERROR(C37/B37,0)</x:f>
        <x:v>0.20318725099601595</x:v>
      </x:c>
      <x:c r="E37" s="323" t="n">
        <x:f>IFERROR(AVERAGEIF('VERİ'!$C$2:$C$2890,A37,'VERİ'!$J$2:$J$2890),0)</x:f>
        <x:v>0.20318725099601628</x:v>
      </x:c>
      <x:c r="F37" s="324" t="n">
        <x:f>SUMIF('VERİ'!$C$2:$C$2890,A37,'VERİ'!$D$2:$D$2890)</x:f>
        <x:v>271</x:v>
      </x:c>
      <x:c r="G37" s="324" t="n">
        <x:f>COUNTIF('VERİ'!$C$2:$C$2890,A37)</x:f>
        <x:v>97</x:v>
      </x:c>
      <x:c r="H37" s="324" t="n">
        <x:f>RANK.EQ(C37,$C$33:$C$55,0)</x:f>
        <x:v>7</x:v>
      </x:c>
      <x:c r="I37" s="330" t="str">
        <x:f>IF(H37&lt;=5,"Top 5",IF(H37&gt;=21,"Düşük 3","Standart"))</x:f>
        <x:v>Standart</x:v>
      </x:c>
      <x:c r="J37" s="327"/>
      <x:c r="K37" s="330" t="str">
        <x:v>Gamze Erkuran</x:v>
      </x:c>
      <x:c r="L37" s="322" t="n">
        <x:f>SUMIFS('VERİ'!$F$2:$F$2890,'VERİ'!$B$2:$B$2890,K37,'VERİ'!$H$2:$H$2890,$B$4)</x:f>
        <x:v>88580</x:v>
      </x:c>
      <x:c r="M37" s="322" t="n">
        <x:f>SUMIFS('VERİ'!$F$2:$F$2890,'VERİ'!$B$2:$B$2890,K37,'VERİ'!$H$2:$H$2890,$B$5)</x:f>
        <x:v>36500</x:v>
      </x:c>
      <x:c r="N37" s="323" t="n">
        <x:f>IFERROR(L37/M37-1,0)</x:f>
        <x:v>1.4268493150684933</x:v>
      </x:c>
      <x:c r="O37" s="330" t="str">
        <x:f>IF(L37&gt;=AVERAGE($L$33:$L$45)*$B$6,"Hedef Üstü","Hedef Altı")</x:f>
        <x:v>Hedef Altı</x:v>
      </x:c>
      <x:c r="P37" s="330" t="n">
        <x:f>MIN(10,1+IF(N37&lt;=-$B$8,5,IF(N37&lt;=-$B$7,3,0))+IF(L37&lt;AVERAGE($L$33:$L$45)*$B$6,3,0))</x:f>
        <x:v>4</x:v>
      </x:c>
      <x:c r="Q37" s="330" t="str">
        <x:f>IFERROR(IF(P37&gt;='DASHBOARD (2)'!$I$3,"Yüksek",IF(P37&gt;=2,"Orta","Düşük")),"-")</x:f>
        <x:v>Yüksek</x:v>
      </x:c>
      <x:c r="R37" s="327"/>
      <x:c r="S37" s="327"/>
      <x:c r="T37" s="327"/>
      <x:c r="U37" s="327"/>
      <x:c r="V37" s="312"/>
      <x:c r="W37" s="312"/>
      <x:c r="X37" s="312"/>
      <x:c r="Y37" s="312"/>
      <x:c r="Z37" s="312"/>
    </x:row>
    <x:row r="38">
      <x:c r="A38" s="330" t="str">
        <x:v>Davlumbaz Gri X Marka</x:v>
      </x:c>
      <x:c r="B38" s="322" t="n">
        <x:f>SUMIF('VERİ'!$C$2:$C$2890,A38,'VERİ'!$F$2:$F$2890)</x:f>
        <x:v>633250</x:v>
      </x:c>
      <x:c r="C38" s="322" t="n">
        <x:f>SUMIF('VERİ'!$C$2:$C$2890,A38,'VERİ'!$G$2:$G$2890)</x:f>
        <x:v>293250</x:v>
      </x:c>
      <x:c r="D38" s="323" t="n">
        <x:f>IFERROR(C38/B38,0)</x:f>
        <x:v>0.46308724832214765</x:v>
      </x:c>
      <x:c r="E38" s="323" t="n">
        <x:f>IFERROR(AVERAGEIF('VERİ'!$C$2:$C$2890,A38,'VERİ'!$J$2:$J$2890),0)</x:f>
        <x:v>0.46308724832214787</x:v>
      </x:c>
      <x:c r="F38" s="324" t="n">
        <x:f>SUMIF('VERİ'!$C$2:$C$2890,A38,'VERİ'!$D$2:$D$2890)</x:f>
        <x:v>425</x:v>
      </x:c>
      <x:c r="G38" s="324" t="n">
        <x:f>COUNTIF('VERİ'!$C$2:$C$2890,A38)</x:f>
        <x:v>159</x:v>
      </x:c>
      <x:c r="H38" s="324" t="n">
        <x:f>RANK.EQ(C38,$C$33:$C$55,0)</x:f>
        <x:v>11</x:v>
      </x:c>
      <x:c r="I38" s="330" t="str">
        <x:f>IF(H38&lt;=5,"Top 5",IF(H38&gt;=21,"Düşük 3","Standart"))</x:f>
        <x:v>Standart</x:v>
      </x:c>
      <x:c r="J38" s="327"/>
      <x:c r="K38" s="330" t="str">
        <x:v>Gülşah Akbulut</x:v>
      </x:c>
      <x:c r="L38" s="322" t="n">
        <x:f>SUMIFS('VERİ'!$F$2:$F$2890,'VERİ'!$B$2:$B$2890,K38,'VERİ'!$H$2:$H$2890,$B$4)</x:f>
        <x:v>312190</x:v>
      </x:c>
      <x:c r="M38" s="322" t="n">
        <x:f>SUMIFS('VERİ'!$F$2:$F$2890,'VERİ'!$B$2:$B$2890,K38,'VERİ'!$H$2:$H$2890,$B$5)</x:f>
        <x:v>174900</x:v>
      </x:c>
      <x:c r="N38" s="323" t="n">
        <x:f>IFERROR(L38/M38-1,0)</x:f>
        <x:v>0.7849628359062322</x:v>
      </x:c>
      <x:c r="O38" s="330" t="str">
        <x:f>IF(L38&gt;=AVERAGE($L$33:$L$45)*$B$6,"Hedef Üstü","Hedef Altı")</x:f>
        <x:v>Hedef Üstü</x:v>
      </x:c>
      <x:c r="P38" s="330" t="n">
        <x:f>MIN(10,1+IF(N38&lt;=-$B$8,5,IF(N38&lt;=-$B$7,3,0))+IF(L38&lt;AVERAGE($L$33:$L$45)*$B$6,3,0))</x:f>
        <x:v>1</x:v>
      </x:c>
      <x:c r="Q38" s="330" t="str">
        <x:f>IFERROR(IF(P38&gt;='DASHBOARD (2)'!$I$3,"Yüksek",IF(P38&gt;=2,"Orta","Düşük")),"-")</x:f>
        <x:v>Düşük</x:v>
      </x:c>
      <x:c r="R38" s="327"/>
      <x:c r="S38" s="327"/>
      <x:c r="T38" s="327"/>
      <x:c r="U38" s="327"/>
      <x:c r="V38" s="312"/>
      <x:c r="W38" s="312"/>
      <x:c r="X38" s="312"/>
      <x:c r="Y38" s="312"/>
      <x:c r="Z38" s="312"/>
    </x:row>
    <x:row r="39">
      <x:c r="A39" s="330" t="str">
        <x:v>Davlumbaz Gri Y Marka</x:v>
      </x:c>
      <x:c r="B39" s="322" t="n">
        <x:f>SUMIF('VERİ'!$C$2:$C$2890,A39,'VERİ'!$F$2:$F$2890)</x:f>
        <x:v>402000</x:v>
      </x:c>
      <x:c r="C39" s="322" t="n">
        <x:f>SUMIF('VERİ'!$C$2:$C$2890,A39,'VERİ'!$G$2:$G$2890)</x:f>
        <x:v>187600</x:v>
      </x:c>
      <x:c r="D39" s="323" t="n">
        <x:f>IFERROR(C39/B39,0)</x:f>
        <x:v>0.4666666666666667</x:v>
      </x:c>
      <x:c r="E39" s="323" t="n">
        <x:f>IFERROR(AVERAGEIF('VERİ'!$C$2:$C$2890,A39,'VERİ'!$J$2:$J$2890),0)</x:f>
        <x:v>0.46666666666666684</x:v>
      </x:c>
      <x:c r="F39" s="324" t="n">
        <x:f>SUMIF('VERİ'!$C$2:$C$2890,A39,'VERİ'!$D$2:$D$2890)</x:f>
        <x:v>268</x:v>
      </x:c>
      <x:c r="G39" s="324" t="n">
        <x:f>COUNTIF('VERİ'!$C$2:$C$2890,A39)</x:f>
        <x:v>106</x:v>
      </x:c>
      <x:c r="H39" s="324" t="n">
        <x:f>RANK.EQ(C39,$C$33:$C$55,0)</x:f>
        <x:v>17</x:v>
      </x:c>
      <x:c r="I39" s="330" t="str">
        <x:f>IF(H39&lt;=5,"Top 5",IF(H39&gt;=21,"Düşük 3","Standart"))</x:f>
        <x:v>Standart</x:v>
      </x:c>
      <x:c r="J39" s="327"/>
      <x:c r="K39" s="330" t="str">
        <x:v>Mertcan Ülker</x:v>
      </x:c>
      <x:c r="L39" s="322" t="n">
        <x:f>SUMIFS('VERİ'!$F$2:$F$2890,'VERİ'!$B$2:$B$2890,K39,'VERİ'!$H$2:$H$2890,$B$4)</x:f>
        <x:v>202460</x:v>
      </x:c>
      <x:c r="M39" s="322" t="n">
        <x:f>SUMIFS('VERİ'!$F$2:$F$2890,'VERİ'!$B$2:$B$2890,K39,'VERİ'!$H$2:$H$2890,$B$5)</x:f>
        <x:v>187450</x:v>
      </x:c>
      <x:c r="N39" s="323" t="n">
        <x:f>IFERROR(L39/M39-1,0)</x:f>
        <x:v>0.0800746865830888</x:v>
      </x:c>
      <x:c r="O39" s="330" t="str">
        <x:f>IF(L39&gt;=AVERAGE($L$33:$L$45)*$B$6,"Hedef Üstü","Hedef Altı")</x:f>
        <x:v>Hedef Üstü</x:v>
      </x:c>
      <x:c r="P39" s="330" t="n">
        <x:f>MIN(10,1+IF(N39&lt;=-$B$8,5,IF(N39&lt;=-$B$7,3,0))+IF(L39&lt;AVERAGE($L$33:$L$45)*$B$6,3,0))</x:f>
        <x:v>1</x:v>
      </x:c>
      <x:c r="Q39" s="330" t="str">
        <x:f>IFERROR(IF(P39&gt;='DASHBOARD (2)'!$I$3,"Yüksek",IF(P39&gt;=2,"Orta","Düşük")),"-")</x:f>
        <x:v>Düşük</x:v>
      </x:c>
      <x:c r="R39" s="327"/>
      <x:c r="S39" s="327"/>
      <x:c r="T39" s="327"/>
      <x:c r="U39" s="327"/>
      <x:c r="V39" s="312"/>
      <x:c r="W39" s="312"/>
      <x:c r="X39" s="312"/>
      <x:c r="Y39" s="312"/>
      <x:c r="Z39" s="312"/>
    </x:row>
    <x:row r="40">
      <x:c r="A40" s="330" t="str">
        <x:v>Derin Dondurucu Beyaz</x:v>
      </x:c>
      <x:c r="B40" s="322" t="n">
        <x:f>SUMIF('VERİ'!$C$2:$C$2890,A40,'VERİ'!$F$2:$F$2890)</x:f>
        <x:v>771025</x:v>
      </x:c>
      <x:c r="C40" s="322" t="n">
        <x:f>SUMIF('VERİ'!$C$2:$C$2890,A40,'VERİ'!$G$2:$G$2890)</x:f>
        <x:v>237025</x:v>
      </x:c>
      <x:c r="D40" s="323" t="n">
        <x:f>IFERROR(C40/B40,0)</x:f>
        <x:v>0.30741545345481663</x:v>
      </x:c>
      <x:c r="E40" s="323" t="n">
        <x:f>IFERROR(AVERAGEIF('VERİ'!$C$2:$C$2890,A40,'VERİ'!$J$2:$J$2890),0)</x:f>
        <x:v>0.30741784697159974</x:v>
      </x:c>
      <x:c r="F40" s="324" t="n">
        <x:f>SUMIF('VERİ'!$C$2:$C$2890,A40,'VERİ'!$D$2:$D$2890)</x:f>
        <x:v>133</x:v>
      </x:c>
      <x:c r="G40" s="324" t="n">
        <x:f>COUNTIF('VERİ'!$C$2:$C$2890,A40)</x:f>
        <x:v>51</x:v>
      </x:c>
      <x:c r="H40" s="324" t="n">
        <x:f>RANK.EQ(C40,$C$33:$C$55,0)</x:f>
        <x:v>13</x:v>
      </x:c>
      <x:c r="I40" s="330" t="str">
        <x:f>IF(H40&lt;=5,"Top 5",IF(H40&gt;=21,"Düşük 3","Standart"))</x:f>
        <x:v>Standart</x:v>
      </x:c>
      <x:c r="J40" s="327"/>
      <x:c r="K40" s="330" t="str">
        <x:v>Miraç Tüten</x:v>
      </x:c>
      <x:c r="L40" s="322" t="n">
        <x:f>SUMIFS('VERİ'!$F$2:$F$2890,'VERİ'!$B$2:$B$2890,K40,'VERİ'!$H$2:$H$2890,$B$4)</x:f>
        <x:v>245805</x:v>
      </x:c>
      <x:c r="M40" s="322" t="n">
        <x:f>SUMIFS('VERİ'!$F$2:$F$2890,'VERİ'!$B$2:$B$2890,K40,'VERİ'!$H$2:$H$2890,$B$5)</x:f>
        <x:v>139800</x:v>
      </x:c>
      <x:c r="N40" s="323" t="n">
        <x:f>IFERROR(L40/M40-1,0)</x:f>
        <x:v>0.7582618025751073</x:v>
      </x:c>
      <x:c r="O40" s="330" t="str">
        <x:f>IF(L40&gt;=AVERAGE($L$33:$L$45)*$B$6,"Hedef Üstü","Hedef Altı")</x:f>
        <x:v>Hedef Üstü</x:v>
      </x:c>
      <x:c r="P40" s="330" t="n">
        <x:f>MIN(10,1+IF(N40&lt;=-$B$8,5,IF(N40&lt;=-$B$7,3,0))+IF(L40&lt;AVERAGE($L$33:$L$45)*$B$6,3,0))</x:f>
        <x:v>1</x:v>
      </x:c>
      <x:c r="Q40" s="330" t="str">
        <x:f>IFERROR(IF(P40&gt;='DASHBOARD (2)'!$I$3,"Yüksek",IF(P40&gt;=2,"Orta","Düşük")),"-")</x:f>
        <x:v>Düşük</x:v>
      </x:c>
      <x:c r="R40" s="327"/>
      <x:c r="S40" s="327"/>
      <x:c r="T40" s="327"/>
      <x:c r="U40" s="327"/>
      <x:c r="V40" s="312"/>
      <x:c r="W40" s="312"/>
      <x:c r="X40" s="312"/>
      <x:c r="Y40" s="312"/>
      <x:c r="Z40" s="312"/>
    </x:row>
    <x:row r="41" ht="105">
      <x:c r="A41" s="330" t="str">
        <x:v>Derin Dondurucu Gri</x:v>
      </x:c>
      <x:c r="B41" s="322" t="n">
        <x:f>SUMIF('VERİ'!$C$2:$C$2890,A41,'VERİ'!$F$2:$F$2890)</x:f>
        <x:v>4429750</x:v>
      </x:c>
      <x:c r="C41" s="322" t="n">
        <x:f>SUMIF('VERİ'!$C$2:$C$2890,A41,'VERİ'!$G$2:$G$2890)</x:f>
        <x:v>1374750</x:v>
      </x:c>
      <x:c r="D41" s="323" t="n">
        <x:f>IFERROR(C41/B41,0)</x:f>
        <x:v>0.3103448275862069</x:v>
      </x:c>
      <x:c r="E41" s="323" t="n">
        <x:f>IFERROR(AVERAGEIF('VERİ'!$C$2:$C$2890,A41,'VERİ'!$J$2:$J$2890),0)</x:f>
        <x:v>0.3103448275862065</x:v>
      </x:c>
      <x:c r="F41" s="324" t="n">
        <x:f>SUMIF('VERİ'!$C$2:$C$2890,A41,'VERİ'!$D$2:$D$2890)</x:f>
        <x:v>611</x:v>
      </x:c>
      <x:c r="G41" s="324" t="n">
        <x:f>COUNTIF('VERİ'!$C$2:$C$2890,A41)</x:f>
        <x:v>215</x:v>
      </x:c>
      <x:c r="H41" s="324" t="n">
        <x:f>RANK.EQ(C41,$C$33:$C$55,0)</x:f>
        <x:v>1</x:v>
      </x:c>
      <x:c r="I41" s="330" t="str">
        <x:f>IF(H41&lt;=5,"Top 5",IF(H41&gt;=21,"Düşük 3","Standart"))</x:f>
        <x:v>Top 5</x:v>
      </x:c>
      <x:c r="J41" s="327"/>
      <x:c r="K41" s="330" t="str">
        <x:v>Reyhan Uyanık</x:v>
      </x:c>
      <x:c r="L41" s="322" t="n">
        <x:f>SUMIFS('VERİ'!$F$2:$F$2890,'VERİ'!$B$2:$B$2890,K41,'VERİ'!$H$2:$H$2890,$B$4)</x:f>
        <x:v>304980</x:v>
      </x:c>
      <x:c r="M41" s="322" t="n">
        <x:f>SUMIFS('VERİ'!$F$2:$F$2890,'VERİ'!$B$2:$B$2890,K41,'VERİ'!$H$2:$H$2890,$B$5)</x:f>
        <x:v>138210</x:v>
      </x:c>
      <x:c r="N41" s="323" t="n">
        <x:f>IFERROR(L41/M41-1,0)</x:f>
        <x:v>1.206642066420664</x:v>
      </x:c>
      <x:c r="O41" s="330" t="str">
        <x:f>IF(L41&gt;=AVERAGE($L$33:$L$45)*$B$6,"Hedef Üstü","Hedef Altı")</x:f>
        <x:v>Hedef Üstü</x:v>
      </x:c>
      <x:c r="P41" s="330" t="n">
        <x:f>MIN(10,1+IF(N41&lt;=-$B$8,5,IF(N41&lt;=-$B$7,3,0))+IF(L41&lt;AVERAGE($L$33:$L$45)*$B$6,3,0))</x:f>
        <x:v>1</x:v>
      </x:c>
      <x:c r="Q41" s="330" t="str">
        <x:f>IFERROR(IF(P41&gt;='DASHBOARD (2)'!$I$3,"Yüksek",IF(P41&gt;=2,"Orta","Düşük")),"-")</x:f>
        <x:v>Düşük</x:v>
      </x:c>
      <x:c r="R41" s="327"/>
      <x:c r="S41" s="327"/>
      <x:c r="T41" s="327"/>
      <x:c r="U41" s="327"/>
      <x:c r="V41" s="312"/>
      <x:c r="W41" s="312"/>
      <x:c r="X41" s="312"/>
      <x:c r="Y41" s="312"/>
      <x:c r="Z41" s="312"/>
    </x:row>
    <x:row r="42">
      <x:c r="A42" s="330" t="str">
        <x:v>Fırın Beyaz</x:v>
      </x:c>
      <x:c r="B42" s="322" t="n">
        <x:f>SUMIF('VERİ'!$C$2:$C$2890,A42,'VERİ'!$F$2:$F$2890)</x:f>
        <x:v>1512000</x:v>
      </x:c>
      <x:c r="C42" s="322" t="n">
        <x:f>SUMIF('VERİ'!$C$2:$C$2890,A42,'VERİ'!$G$2:$G$2890)</x:f>
        <x:v>432000</x:v>
      </x:c>
      <x:c r="D42" s="323" t="n">
        <x:f>IFERROR(C42/B42,0)</x:f>
        <x:v>0.2857142857142857</x:v>
      </x:c>
      <x:c r="E42" s="323" t="n">
        <x:f>IFERROR(AVERAGEIF('VERİ'!$C$2:$C$2890,A42,'VERİ'!$J$2:$J$2890),0)</x:f>
        <x:v>0.28571428571428525</x:v>
      </x:c>
      <x:c r="F42" s="324" t="n">
        <x:f>SUMIF('VERİ'!$C$2:$C$2890,A42,'VERİ'!$D$2:$D$2890)</x:f>
        <x:v>360</x:v>
      </x:c>
      <x:c r="G42" s="324" t="n">
        <x:f>COUNTIF('VERİ'!$C$2:$C$2890,A42)</x:f>
        <x:v>137</x:v>
      </x:c>
      <x:c r="H42" s="324" t="n">
        <x:f>RANK.EQ(C42,$C$33:$C$55,0)</x:f>
        <x:v>6</x:v>
      </x:c>
      <x:c r="I42" s="330" t="str">
        <x:f>IF(H42&lt;=5,"Top 5",IF(H42&gt;=21,"Düşük 3","Standart"))</x:f>
        <x:v>Standart</x:v>
      </x:c>
      <x:c r="J42" s="327"/>
      <x:c r="K42" s="330" t="str">
        <x:v>Serdal Yücel</x:v>
      </x:c>
      <x:c r="L42" s="322" t="n">
        <x:f>SUMIFS('VERİ'!$F$2:$F$2890,'VERİ'!$B$2:$B$2890,K42,'VERİ'!$H$2:$H$2890,$B$4)</x:f>
        <x:v>297600</x:v>
      </x:c>
      <x:c r="M42" s="322" t="n">
        <x:f>SUMIFS('VERİ'!$F$2:$F$2890,'VERİ'!$B$2:$B$2890,K42,'VERİ'!$H$2:$H$2890,$B$5)</x:f>
        <x:v>306160</x:v>
      </x:c>
      <x:c r="N42" s="323" t="n">
        <x:f>IFERROR(L42/M42-1,0)</x:f>
        <x:v>-0.02795923700026126</x:v>
      </x:c>
      <x:c r="O42" s="330" t="str">
        <x:f>IF(L42&gt;=AVERAGE($L$33:$L$45)*$B$6,"Hedef Üstü","Hedef Altı")</x:f>
        <x:v>Hedef Üstü</x:v>
      </x:c>
      <x:c r="P42" s="330" t="n">
        <x:f>MIN(10,1+IF(N42&lt;=-$B$8,5,IF(N42&lt;=-$B$7,3,0))+IF(L42&lt;AVERAGE($L$33:$L$45)*$B$6,3,0))</x:f>
        <x:v>1</x:v>
      </x:c>
      <x:c r="Q42" s="330" t="str">
        <x:f>IFERROR(IF(P42&gt;='DASHBOARD (2)'!$I$3,"Yüksek",IF(P42&gt;=2,"Orta","Düşük")),"-")</x:f>
        <x:v>Düşük</x:v>
      </x:c>
      <x:c r="R42" s="327"/>
      <x:c r="S42" s="327"/>
      <x:c r="T42" s="327"/>
      <x:c r="U42" s="327"/>
      <x:c r="V42" s="312"/>
      <x:c r="W42" s="312"/>
      <x:c r="X42" s="312"/>
      <x:c r="Y42" s="312"/>
      <x:c r="Z42" s="312"/>
    </x:row>
    <x:row r="43">
      <x:c r="A43" s="330" t="str">
        <x:v>Fırın Siyah</x:v>
      </x:c>
      <x:c r="B43" s="322" t="n">
        <x:f>SUMIF('VERİ'!$C$2:$C$2890,A43,'VERİ'!$F$2:$F$2890)</x:f>
        <x:v>1009700</x:v>
      </x:c>
      <x:c r="C43" s="322" t="n">
        <x:f>SUMIF('VERİ'!$C$2:$C$2890,A43,'VERİ'!$G$2:$G$2890)</x:f>
        <x:v>191300</x:v>
      </x:c>
      <x:c r="D43" s="323" t="n">
        <x:f>IFERROR(C43/B43,0)</x:f>
        <x:v>0.1894622164999505</x:v>
      </x:c>
      <x:c r="E43" s="323" t="n">
        <x:f>IFERROR(AVERAGEIF('VERİ'!$C$2:$C$2890,A43,'VERİ'!$J$2:$J$2890),0)</x:f>
        <x:v>0.18993506493506515</x:v>
      </x:c>
      <x:c r="F43" s="324" t="n">
        <x:f>SUMIF('VERİ'!$C$2:$C$2890,A43,'VERİ'!$D$2:$D$2890)</x:f>
        <x:v>275</x:v>
      </x:c>
      <x:c r="G43" s="324" t="n">
        <x:f>COUNTIF('VERİ'!$C$2:$C$2890,A43)</x:f>
        <x:v>112</x:v>
      </x:c>
      <x:c r="H43" s="324" t="n">
        <x:f>RANK.EQ(C43,$C$33:$C$55,0)</x:f>
        <x:v>16</x:v>
      </x:c>
      <x:c r="I43" s="330" t="str">
        <x:f>IF(H43&lt;=5,"Top 5",IF(H43&gt;=21,"Düşük 3","Standart"))</x:f>
        <x:v>Standart</x:v>
      </x:c>
      <x:c r="J43" s="327"/>
      <x:c r="K43" s="330" t="str">
        <x:v>Yücel Öztürk</x:v>
      </x:c>
      <x:c r="L43" s="322" t="n">
        <x:f>SUMIFS('VERİ'!$F$2:$F$2890,'VERİ'!$B$2:$B$2890,K43,'VERİ'!$H$2:$H$2890,$B$4)</x:f>
        <x:v>202570</x:v>
      </x:c>
      <x:c r="M43" s="322" t="n">
        <x:f>SUMIFS('VERİ'!$F$2:$F$2890,'VERİ'!$B$2:$B$2890,K43,'VERİ'!$H$2:$H$2890,$B$5)</x:f>
        <x:v>136820</x:v>
      </x:c>
      <x:c r="N43" s="323" t="n">
        <x:f>IFERROR(L43/M43-1,0)</x:f>
        <x:v>0.4805583978950445</x:v>
      </x:c>
      <x:c r="O43" s="330" t="str">
        <x:f>IF(L43&gt;=AVERAGE($L$33:$L$45)*$B$6,"Hedef Üstü","Hedef Altı")</x:f>
        <x:v>Hedef Üstü</x:v>
      </x:c>
      <x:c r="P43" s="330" t="n">
        <x:f>MIN(10,1+IF(N43&lt;=-$B$8,5,IF(N43&lt;=-$B$7,3,0))+IF(L43&lt;AVERAGE($L$33:$L$45)*$B$6,3,0))</x:f>
        <x:v>1</x:v>
      </x:c>
      <x:c r="Q43" s="330" t="str">
        <x:f>IFERROR(IF(P43&gt;='DASHBOARD (2)'!$I$3,"Yüksek",IF(P43&gt;=2,"Orta","Düşük")),"-")</x:f>
        <x:v>Düşük</x:v>
      </x:c>
      <x:c r="R43" s="327"/>
      <x:c r="S43" s="327"/>
      <x:c r="T43" s="327"/>
      <x:c r="U43" s="327"/>
      <x:c r="V43" s="312"/>
      <x:c r="W43" s="312"/>
      <x:c r="X43" s="312"/>
      <x:c r="Y43" s="312"/>
      <x:c r="Z43" s="312"/>
    </x:row>
    <x:row r="44">
      <x:c r="A44" s="330" t="str">
        <x:v>Kahve Makinesi X Marka</x:v>
      </x:c>
      <x:c r="B44" s="322" t="n">
        <x:f>SUMIF('VERİ'!$C$2:$C$2890,A44,'VERİ'!$F$2:$F$2890)</x:f>
        <x:v>206250</x:v>
      </x:c>
      <x:c r="C44" s="322" t="n">
        <x:f>SUMIF('VERİ'!$C$2:$C$2890,A44,'VERİ'!$G$2:$G$2890)</x:f>
        <x:v>65850</x:v>
      </x:c>
      <x:c r="D44" s="323" t="n">
        <x:f>IFERROR(C44/B44,0)</x:f>
        <x:v>0.31927272727272726</x:v>
      </x:c>
      <x:c r="E44" s="323" t="n">
        <x:f>IFERROR(AVERAGEIF('VERİ'!$C$2:$C$2890,A44,'VERİ'!$J$2:$J$2890),0)</x:f>
        <x:v>0.322067018678752</x:v>
      </x:c>
      <x:c r="F44" s="324" t="n">
        <x:f>SUMIF('VERİ'!$C$2:$C$2890,A44,'VERİ'!$D$2:$D$2890)</x:f>
        <x:v>69</x:v>
      </x:c>
      <x:c r="G44" s="324" t="n">
        <x:f>COUNTIF('VERİ'!$C$2:$C$2890,A44)</x:f>
        <x:v>25</x:v>
      </x:c>
      <x:c r="H44" s="324" t="n">
        <x:f>RANK.EQ(C44,$C$33:$C$55,0)</x:f>
        <x:v>23</x:v>
      </x:c>
      <x:c r="I44" s="330" t="str">
        <x:f>IF(H44&lt;=5,"Top 5",IF(H44&gt;=21,"Düşük 3","Standart"))</x:f>
        <x:v>Düşük 3</x:v>
      </x:c>
      <x:c r="J44" s="327"/>
      <x:c r="K44" s="330" t="str">
        <x:v>Zeynep Şen</x:v>
      </x:c>
      <x:c r="L44" s="322" t="n">
        <x:f>SUMIFS('VERİ'!$F$2:$F$2890,'VERİ'!$B$2:$B$2890,K44,'VERİ'!$H$2:$H$2890,$B$4)</x:f>
        <x:v>251110</x:v>
      </x:c>
      <x:c r="M44" s="322" t="n">
        <x:f>SUMIFS('VERİ'!$F$2:$F$2890,'VERİ'!$B$2:$B$2890,K44,'VERİ'!$H$2:$H$2890,$B$5)</x:f>
        <x:v>156580</x:v>
      </x:c>
      <x:c r="N44" s="323" t="n">
        <x:f>IFERROR(L44/M44-1,0)</x:f>
        <x:v>0.6037169498020181</x:v>
      </x:c>
      <x:c r="O44" s="330" t="str">
        <x:f>IF(L44&gt;=AVERAGE($L$33:$L$45)*$B$6,"Hedef Üstü","Hedef Altı")</x:f>
        <x:v>Hedef Üstü</x:v>
      </x:c>
      <x:c r="P44" s="330" t="n">
        <x:f>MIN(10,1+IF(N44&lt;=-$B$8,5,IF(N44&lt;=-$B$7,3,0))+IF(L44&lt;AVERAGE($L$33:$L$45)*$B$6,3,0))</x:f>
        <x:v>1</x:v>
      </x:c>
      <x:c r="Q44" s="330" t="str">
        <x:f>IFERROR(IF(P44&gt;='DASHBOARD (2)'!$I$3,"Yüksek",IF(P44&gt;=2,"Orta","Düşük")),"-")</x:f>
        <x:v>Düşük</x:v>
      </x:c>
      <x:c r="R44" s="327"/>
      <x:c r="S44" s="327"/>
      <x:c r="T44" s="327"/>
      <x:c r="U44" s="327"/>
      <x:c r="V44" s="312"/>
      <x:c r="W44" s="312"/>
      <x:c r="X44" s="312"/>
      <x:c r="Y44" s="312"/>
      <x:c r="Z44" s="312"/>
    </x:row>
    <x:row r="45">
      <x:c r="A45" s="330" t="str">
        <x:v>Kahve Makinesi Y Marka</x:v>
      </x:c>
      <x:c r="B45" s="322" t="n">
        <x:f>SUMIF('VERİ'!$C$2:$C$2890,A45,'VERİ'!$F$2:$F$2890)</x:f>
        <x:v>981000</x:v>
      </x:c>
      <x:c r="C45" s="322" t="n">
        <x:f>SUMIF('VERİ'!$C$2:$C$2890,A45,'VERİ'!$G$2:$G$2890)</x:f>
        <x:v>306000</x:v>
      </x:c>
      <x:c r="D45" s="323" t="n">
        <x:f>IFERROR(C45/B45,0)</x:f>
        <x:v>0.3119266055045872</x:v>
      </x:c>
      <x:c r="E45" s="323" t="n">
        <x:f>IFERROR(AVERAGEIF('VERİ'!$C$2:$C$2890,A45,'VERİ'!$J$2:$J$2890),0)</x:f>
        <x:v>0.31192660550458795</x:v>
      </x:c>
      <x:c r="F45" s="324" t="n">
        <x:f>SUMIF('VERİ'!$C$2:$C$2890,A45,'VERİ'!$D$2:$D$2890)</x:f>
        <x:v>450</x:v>
      </x:c>
      <x:c r="G45" s="324" t="n">
        <x:f>COUNTIF('VERİ'!$C$2:$C$2890,A45)</x:f>
        <x:v>167</x:v>
      </x:c>
      <x:c r="H45" s="324" t="n">
        <x:f>RANK.EQ(C45,$C$33:$C$55,0)</x:f>
        <x:v>9</x:v>
      </x:c>
      <x:c r="I45" s="330" t="str">
        <x:f>IF(H45&lt;=5,"Top 5",IF(H45&gt;=21,"Düşük 3","Standart"))</x:f>
        <x:v>Standart</x:v>
      </x:c>
      <x:c r="J45" s="327"/>
      <x:c r="K45" s="330" t="str">
        <x:v>Özgür Ertekin</x:v>
      </x:c>
      <x:c r="L45" s="322" t="n">
        <x:f>SUMIFS('VERİ'!$F$2:$F$2890,'VERİ'!$B$2:$B$2890,K45,'VERİ'!$H$2:$H$2890,$B$4)</x:f>
        <x:v>264640</x:v>
      </x:c>
      <x:c r="M45" s="322" t="n">
        <x:f>SUMIFS('VERİ'!$F$2:$F$2890,'VERİ'!$B$2:$B$2890,K45,'VERİ'!$H$2:$H$2890,$B$5)</x:f>
        <x:v>215920</x:v>
      </x:c>
      <x:c r="N45" s="323" t="n">
        <x:f>IFERROR(L45/M45-1,0)</x:f>
        <x:v>0.22563912560207489</x:v>
      </x:c>
      <x:c r="O45" s="330" t="str">
        <x:f>IF(L45&gt;=AVERAGE($L$33:$L$45)*$B$6,"Hedef Üstü","Hedef Altı")</x:f>
        <x:v>Hedef Üstü</x:v>
      </x:c>
      <x:c r="P45" s="330" t="n">
        <x:f>MIN(10,1+IF(N45&lt;=-$B$8,5,IF(N45&lt;=-$B$7,3,0))+IF(L45&lt;AVERAGE($L$33:$L$45)*$B$6,3,0))</x:f>
        <x:v>1</x:v>
      </x:c>
      <x:c r="Q45" s="330" t="str">
        <x:f>IFERROR(IF(P45&gt;='DASHBOARD (2)'!$I$3,"Yüksek",IF(P45&gt;=2,"Orta","Düşük")),"-")</x:f>
        <x:v>Düşük</x:v>
      </x:c>
      <x:c r="R45" s="327"/>
      <x:c r="S45" s="327"/>
      <x:c r="T45" s="327"/>
      <x:c r="U45" s="327"/>
      <x:c r="V45" s="312"/>
      <x:c r="W45" s="312"/>
      <x:c r="X45" s="312"/>
      <x:c r="Y45" s="312"/>
      <x:c r="Z45" s="312"/>
    </x:row>
    <x:row r="46">
      <x:c r="A46" s="330" t="str">
        <x:v>Mikrodalga Fırın Beyaz</x:v>
      </x:c>
      <x:c r="B46" s="322" t="n">
        <x:f>SUMIF('VERİ'!$C$2:$C$2890,A46,'VERİ'!$F$2:$F$2890)</x:f>
        <x:v>481600</x:v>
      </x:c>
      <x:c r="C46" s="322" t="n">
        <x:f>SUMIF('VERİ'!$C$2:$C$2890,A46,'VERİ'!$G$2:$G$2890)</x:f>
        <x:v>206400</x:v>
      </x:c>
      <x:c r="D46" s="323" t="n">
        <x:f>IFERROR(C46/B46,0)</x:f>
        <x:v>0.42857142857142855</x:v>
      </x:c>
      <x:c r="E46" s="323" t="n">
        <x:f>IFERROR(AVERAGEIF('VERİ'!$C$2:$C$2890,A46,'VERİ'!$J$2:$J$2890),0)</x:f>
        <x:v>0.428571428571429</x:v>
      </x:c>
      <x:c r="F46" s="324" t="n">
        <x:f>SUMIF('VERİ'!$C$2:$C$2890,A46,'VERİ'!$D$2:$D$2890)</x:f>
        <x:v>344</x:v>
      </x:c>
      <x:c r="G46" s="324" t="n">
        <x:f>COUNTIF('VERİ'!$C$2:$C$2890,A46)</x:f>
        <x:v>123</x:v>
      </x:c>
      <x:c r="H46" s="324" t="n">
        <x:f>RANK.EQ(C46,$C$33:$C$55,0)</x:f>
        <x:v>15</x:v>
      </x:c>
      <x:c r="I46" s="330" t="str">
        <x:f>IF(H46&lt;=5,"Top 5",IF(H46&gt;=21,"Düşük 3","Standart"))</x:f>
        <x:v>Standart</x:v>
      </x:c>
      <x:c r="J46" s="327"/>
      <x:c r="K46" s="327"/>
      <x:c r="L46" s="327"/>
      <x:c r="M46" s="327"/>
      <x:c r="N46" s="327"/>
      <x:c r="O46" s="327"/>
      <x:c r="P46" s="327"/>
      <x:c r="Q46" s="327"/>
      <x:c r="R46" s="327"/>
      <x:c r="S46" s="327"/>
      <x:c r="T46" s="327"/>
      <x:c r="U46" s="327"/>
      <x:c r="V46" s="312"/>
      <x:c r="W46" s="312"/>
      <x:c r="X46" s="312"/>
      <x:c r="Y46" s="312"/>
      <x:c r="Z46" s="312"/>
    </x:row>
    <x:row r="47">
      <x:c r="A47" s="330" t="str">
        <x:v>Mikrodalga Fırın Gri</x:v>
      </x:c>
      <x:c r="B47" s="322" t="n">
        <x:f>SUMIF('VERİ'!$C$2:$C$2890,A47,'VERİ'!$F$2:$F$2890)</x:f>
        <x:v>711000</x:v>
      </x:c>
      <x:c r="C47" s="322" t="n">
        <x:f>SUMIF('VERİ'!$C$2:$C$2890,A47,'VERİ'!$G$2:$G$2890)</x:f>
        <x:v>395000</x:v>
      </x:c>
      <x:c r="D47" s="323" t="n">
        <x:f>IFERROR(C47/B47,0)</x:f>
        <x:v>0.5555555555555556</x:v>
      </x:c>
      <x:c r="E47" s="323" t="n">
        <x:f>IFERROR(AVERAGEIF('VERİ'!$C$2:$C$2890,A47,'VERİ'!$J$2:$J$2890),0)</x:f>
        <x:v>0.5555555555555567</x:v>
      </x:c>
      <x:c r="F47" s="324" t="n">
        <x:f>SUMIF('VERİ'!$C$2:$C$2890,A47,'VERİ'!$D$2:$D$2890)</x:f>
        <x:v>395</x:v>
      </x:c>
      <x:c r="G47" s="324" t="n">
        <x:f>COUNTIF('VERİ'!$C$2:$C$2890,A47)</x:f>
        <x:v>136</x:v>
      </x:c>
      <x:c r="H47" s="324" t="n">
        <x:f>RANK.EQ(C47,$C$33:$C$55,0)</x:f>
        <x:v>8</x:v>
      </x:c>
      <x:c r="I47" s="330" t="str">
        <x:f>IF(H47&lt;=5,"Top 5",IF(H47&gt;=21,"Düşük 3","Standart"))</x:f>
        <x:v>Standart</x:v>
      </x:c>
      <x:c r="J47" s="327"/>
      <x:c r="K47" s="327"/>
      <x:c r="L47" s="327"/>
      <x:c r="M47" s="327"/>
      <x:c r="N47" s="327"/>
      <x:c r="O47" s="327"/>
      <x:c r="P47" s="327"/>
      <x:c r="Q47" s="327"/>
      <x:c r="R47" s="327"/>
      <x:c r="S47" s="327"/>
      <x:c r="T47" s="327"/>
      <x:c r="U47" s="327"/>
      <x:c r="V47" s="312"/>
      <x:c r="W47" s="312"/>
      <x:c r="X47" s="312"/>
      <x:c r="Y47" s="312"/>
      <x:c r="Z47" s="312"/>
    </x:row>
    <x:row r="48">
      <x:c r="A48" s="330" t="str">
        <x:v>Ocak Beyaz</x:v>
      </x:c>
      <x:c r="B48" s="322" t="n">
        <x:f>SUMIF('VERİ'!$C$2:$C$2890,A48,'VERİ'!$F$2:$F$2890)</x:f>
        <x:v>424600</x:v>
      </x:c>
      <x:c r="C48" s="322" t="n">
        <x:f>SUMIF('VERİ'!$C$2:$C$2890,A48,'VERİ'!$G$2:$G$2890)</x:f>
        <x:v>115800</x:v>
      </x:c>
      <x:c r="D48" s="323" t="n">
        <x:f>IFERROR(C48/B48,0)</x:f>
        <x:v>0.2727272727272727</x:v>
      </x:c>
      <x:c r="E48" s="323" t="n">
        <x:f>IFERROR(AVERAGEIF('VERİ'!$C$2:$C$2890,A48,'VERİ'!$J$2:$J$2890),0)</x:f>
        <x:v>0.27272727272727315</x:v>
      </x:c>
      <x:c r="F48" s="324" t="n">
        <x:f>SUMIF('VERİ'!$C$2:$C$2890,A48,'VERİ'!$D$2:$D$2890)</x:f>
        <x:v>386</x:v>
      </x:c>
      <x:c r="G48" s="324" t="n">
        <x:f>COUNTIF('VERİ'!$C$2:$C$2890,A48)</x:f>
        <x:v>128</x:v>
      </x:c>
      <x:c r="H48" s="324" t="n">
        <x:f>RANK.EQ(C48,$C$33:$C$55,0)</x:f>
        <x:v>21</x:v>
      </x:c>
      <x:c r="I48" s="330" t="str">
        <x:f>IF(H48&lt;=5,"Top 5",IF(H48&gt;=21,"Düşük 3","Standart"))</x:f>
        <x:v>Düşük 3</x:v>
      </x:c>
      <x:c r="J48" s="327"/>
      <x:c r="K48" s="328" t="str">
        <x:v>Şehir Kârlılık Riski</x:v>
      </x:c>
      <x:c r="L48" s="328"/>
      <x:c r="M48" s="328"/>
      <x:c r="N48" s="328"/>
      <x:c r="O48" s="328"/>
      <x:c r="P48" s="328"/>
      <x:c r="Q48" s="328"/>
      <x:c r="R48" s="327"/>
      <x:c r="S48" s="327"/>
      <x:c r="T48" s="327"/>
      <x:c r="U48" s="327"/>
      <x:c r="V48" s="312"/>
      <x:c r="W48" s="312"/>
      <x:c r="X48" s="312"/>
      <x:c r="Y48" s="312"/>
      <x:c r="Z48" s="312"/>
    </x:row>
    <x:row r="49">
      <x:c r="A49" s="330" t="str">
        <x:v>Ocak Siyah</x:v>
      </x:c>
      <x:c r="B49" s="322" t="n">
        <x:f>SUMIF('VERİ'!$C$2:$C$2890,A49,'VERİ'!$F$2:$F$2890)</x:f>
        <x:v>268750</x:v>
      </x:c>
      <x:c r="C49" s="322" t="n">
        <x:f>SUMIF('VERİ'!$C$2:$C$2890,A49,'VERİ'!$G$2:$G$2890)</x:f>
        <x:v>96750</x:v>
      </x:c>
      <x:c r="D49" s="323" t="n">
        <x:f>IFERROR(C49/B49,0)</x:f>
        <x:v>0.36</x:v>
      </x:c>
      <x:c r="E49" s="323" t="n">
        <x:f>IFERROR(AVERAGEIF('VERİ'!$C$2:$C$2890,A49,'VERİ'!$J$2:$J$2890),0)</x:f>
        <x:v>0.35999999999999965</x:v>
      </x:c>
      <x:c r="F49" s="324" t="n">
        <x:f>SUMIF('VERİ'!$C$2:$C$2890,A49,'VERİ'!$D$2:$D$2890)</x:f>
        <x:v>215</x:v>
      </x:c>
      <x:c r="G49" s="324" t="n">
        <x:f>COUNTIF('VERİ'!$C$2:$C$2890,A49)</x:f>
        <x:v>82</x:v>
      </x:c>
      <x:c r="H49" s="324" t="n">
        <x:f>RANK.EQ(C49,$C$33:$C$55,0)</x:f>
        <x:v>22</x:v>
      </x:c>
      <x:c r="I49" s="330" t="str">
        <x:f>IF(H49&lt;=5,"Top 5",IF(H49&gt;=21,"Düşük 3","Standart"))</x:f>
        <x:v>Düşük 3</x:v>
      </x:c>
      <x:c r="J49" s="327"/>
      <x:c r="K49" s="261" t="str">
        <x:v>Şehir</x:v>
      </x:c>
      <x:c r="L49" s="261" t="str">
        <x:v>Ciro</x:v>
      </x:c>
      <x:c r="M49" s="261" t="str">
        <x:v>Kâr Marjı</x:v>
      </x:c>
      <x:c r="N49" s="261" t="str">
        <x:v>Konsantrasyon</x:v>
      </x:c>
      <x:c r="O49" s="261" t="str">
        <x:v>Ciro Seviyesi</x:v>
      </x:c>
      <x:c r="P49" s="261" t="str">
        <x:v>Risk Skoru</x:v>
      </x:c>
      <x:c r="Q49" s="261" t="str">
        <x:v>Risk</x:v>
      </x:c>
      <x:c r="R49" s="327"/>
      <x:c r="S49" s="327"/>
      <x:c r="T49" s="327"/>
      <x:c r="U49" s="327"/>
      <x:c r="V49" s="312"/>
      <x:c r="W49" s="312"/>
      <x:c r="X49" s="312"/>
      <x:c r="Y49" s="312"/>
      <x:c r="Z49" s="312"/>
    </x:row>
    <x:row r="50">
      <x:c r="A50" s="330" t="str">
        <x:v>Tost Makinesi Gri X Marka</x:v>
      </x:c>
      <x:c r="B50" s="322" t="n">
        <x:f>SUMIF('VERİ'!$C$2:$C$2890,A50,'VERİ'!$F$2:$F$2890)</x:f>
        <x:v>412580</x:v>
      </x:c>
      <x:c r="C50" s="322" t="n">
        <x:f>SUMIF('VERİ'!$C$2:$C$2890,A50,'VERİ'!$G$2:$G$2890)</x:f>
        <x:v>137380</x:v>
      </x:c>
      <x:c r="D50" s="323" t="n">
        <x:f>IFERROR(C50/B50,0)</x:f>
        <x:v>0.332977846720636</x:v>
      </x:c>
      <x:c r="E50" s="323" t="n">
        <x:f>IFERROR(AVERAGEIF('VERİ'!$C$2:$C$2890,A50,'VERİ'!$J$2:$J$2890),0)</x:f>
        <x:v>0.3328274815479068</x:v>
      </x:c>
      <x:c r="F50" s="324" t="n">
        <x:f>SUMIF('VERİ'!$C$2:$C$2890,A50,'VERİ'!$D$2:$D$2890)</x:f>
        <x:v>344</x:v>
      </x:c>
      <x:c r="G50" s="324" t="n">
        <x:f>COUNTIF('VERİ'!$C$2:$C$2890,A50)</x:f>
        <x:v>133</x:v>
      </x:c>
      <x:c r="H50" s="324" t="n">
        <x:f>RANK.EQ(C50,$C$33:$C$55,0)</x:f>
        <x:v>20</x:v>
      </x:c>
      <x:c r="I50" s="330" t="str">
        <x:f>IF(H50&lt;=5,"Top 5",IF(H50&gt;=21,"Düşük 3","Standart"))</x:f>
        <x:v>Standart</x:v>
      </x:c>
      <x:c r="J50" s="327"/>
      <x:c r="K50" s="330" t="str">
        <x:v>Adana</x:v>
      </x:c>
      <x:c r="L50" s="322" t="n">
        <x:f>SUMIF('VERİ'!$I$2:$I$2890,K50,'VERİ'!$F$2:$F$2890)</x:f>
        <x:v>2777940</x:v>
      </x:c>
      <x:c r="M50" s="323" t="n">
        <x:f>IFERROR(SUMIF('VERİ'!$I$2:$I$2890,K50,'VERİ'!$G$2:$G$2890)/L50,0)</x:f>
        <x:v>0.29094940855454043</x:v>
      </x:c>
      <x:c r="N50" s="323" t="n">
        <x:f>IFERROR(L50/SUM('VERİ'!$F$2:$F$2890),0)</x:f>
        <x:v>0.09127687374226673</x:v>
      </x:c>
      <x:c r="O50" s="330" t="str">
        <x:f>IF(L50&gt;$B$11,"Yüksek","Normal")</x:f>
        <x:v>Yüksek</x:v>
      </x:c>
      <x:c r="P50" s="330" t="n">
        <x:f>MIN(10,1+IF(M50&lt;$B$9,4,0)+IF(L50&gt;$B$11,2,0)+IF(N50&gt;$B$10,2,0))</x:f>
        <x:v>5</x:v>
      </x:c>
      <x:c r="Q50" s="330" t="str">
        <x:f>IFERROR(IF(P50&gt;='DASHBOARD (2)'!$I$3,"Yüksek",IF(P50&gt;=2,"Orta","Düşük")),"-")</x:f>
        <x:v>Yüksek</x:v>
      </x:c>
      <x:c r="R50" s="327"/>
      <x:c r="S50" s="327"/>
      <x:c r="T50" s="327"/>
      <x:c r="U50" s="327"/>
      <x:c r="V50" s="312"/>
      <x:c r="W50" s="312"/>
      <x:c r="X50" s="312"/>
      <x:c r="Y50" s="312"/>
      <x:c r="Z50" s="312"/>
    </x:row>
    <x:row r="51">
      <x:c r="A51" s="330" t="str">
        <x:v>Tost Makinesi Gri Y Marka</x:v>
      </x:c>
      <x:c r="B51" s="322" t="n">
        <x:f>SUMIF('VERİ'!$C$2:$C$2890,A51,'VERİ'!$F$2:$F$2890)</x:f>
        <x:v>536280</x:v>
      </x:c>
      <x:c r="C51" s="322" t="n">
        <x:f>SUMIF('VERİ'!$C$2:$C$2890,A51,'VERİ'!$G$2:$G$2890)</x:f>
        <x:v>142680</x:v>
      </x:c>
      <x:c r="D51" s="323" t="n">
        <x:f>IFERROR(C51/B51,0)</x:f>
        <x:v>0.26605504587155965</x:v>
      </x:c>
      <x:c r="E51" s="323" t="n">
        <x:f>IFERROR(AVERAGEIF('VERİ'!$C$2:$C$2890,A51,'VERİ'!$J$2:$J$2890),0)</x:f>
        <x:v>0.2660550458715603</x:v>
      </x:c>
      <x:c r="F51" s="324" t="n">
        <x:f>SUMIF('VERİ'!$C$2:$C$2890,A51,'VERİ'!$D$2:$D$2890)</x:f>
        <x:v>492</x:v>
      </x:c>
      <x:c r="G51" s="324" t="n">
        <x:f>COUNTIF('VERİ'!$C$2:$C$2890,A51)</x:f>
        <x:v>201</x:v>
      </x:c>
      <x:c r="H51" s="324" t="n">
        <x:f>RANK.EQ(C51,$C$33:$C$55,0)</x:f>
        <x:v>19</x:v>
      </x:c>
      <x:c r="I51" s="330" t="str">
        <x:f>IF(H51&lt;=5,"Top 5",IF(H51&gt;=21,"Düşük 3","Standart"))</x:f>
        <x:v>Standart</x:v>
      </x:c>
      <x:c r="J51" s="327"/>
      <x:c r="K51" s="330" t="str">
        <x:v>Ankara</x:v>
      </x:c>
      <x:c r="L51" s="322" t="n">
        <x:f>SUMIF('VERİ'!$I$2:$I$2890,K51,'VERİ'!$F$2:$F$2890)</x:f>
        <x:v>2216245</x:v>
      </x:c>
      <x:c r="M51" s="323" t="n">
        <x:f>IFERROR(SUMIF('VERİ'!$I$2:$I$2890,K51,'VERİ'!$G$2:$G$2890)/L51,0)</x:f>
        <x:v>0.30959799119682163</x:v>
      </x:c>
      <x:c r="N51" s="323" t="n">
        <x:f>IFERROR(L51/SUM('VERİ'!$F$2:$F$2890),0)</x:f>
        <x:v>0.07282083668003266</x:v>
      </x:c>
      <x:c r="O51" s="330" t="str">
        <x:f>IF(L51&gt;$B$11,"Yüksek","Normal")</x:f>
        <x:v>Normal</x:v>
      </x:c>
      <x:c r="P51" s="330" t="n">
        <x:f>MIN(10,1+IF(M51&lt;$B$9,4,0)+IF(L51&gt;$B$11,2,0)+IF(N51&gt;$B$10,2,0))</x:f>
        <x:v>1</x:v>
      </x:c>
      <x:c r="Q51" s="330" t="str">
        <x:f>IFERROR(IF(P51&gt;='DASHBOARD (2)'!$I$3,"Yüksek",IF(P51&gt;=2,"Orta","Düşük")),"-")</x:f>
        <x:v>Düşük</x:v>
      </x:c>
      <x:c r="R51" s="327"/>
      <x:c r="S51" s="327"/>
      <x:c r="T51" s="327"/>
      <x:c r="U51" s="327"/>
      <x:c r="V51" s="312"/>
      <x:c r="W51" s="312"/>
      <x:c r="X51" s="312"/>
      <x:c r="Y51" s="312"/>
      <x:c r="Z51" s="312"/>
    </x:row>
    <x:row r="52">
      <x:c r="A52" s="330" t="str">
        <x:v>Çamaşır Makinesi Beyaz</x:v>
      </x:c>
      <x:c r="B52" s="322" t="n">
        <x:f>SUMIF('VERİ'!$C$2:$C$2890,A52,'VERİ'!$F$2:$F$2890)</x:f>
        <x:v>1165400</x:v>
      </x:c>
      <x:c r="C52" s="322" t="n">
        <x:f>SUMIF('VERİ'!$C$2:$C$2890,A52,'VERİ'!$G$2:$G$2890)</x:f>
        <x:v>293000</x:v>
      </x:c>
      <x:c r="D52" s="323" t="n">
        <x:f>IFERROR(C52/B52,0)</x:f>
        <x:v>0.2514158228934272</x:v>
      </x:c>
      <x:c r="E52" s="323" t="n">
        <x:f>IFERROR(AVERAGEIF('VERİ'!$C$2:$C$2890,A52,'VERİ'!$J$2:$J$2890),0)</x:f>
        <x:v>0.2561111111111111</x:v>
      </x:c>
      <x:c r="F52" s="324" t="n">
        <x:f>SUMIF('VERİ'!$C$2:$C$2890,A52,'VERİ'!$D$2:$D$2890)</x:f>
        <x:v>148</x:v>
      </x:c>
      <x:c r="G52" s="324" t="n">
        <x:f>COUNTIF('VERİ'!$C$2:$C$2890,A52)</x:f>
        <x:v>50</x:v>
      </x:c>
      <x:c r="H52" s="324" t="n">
        <x:f>RANK.EQ(C52,$C$33:$C$55,0)</x:f>
        <x:v>12</x:v>
      </x:c>
      <x:c r="I52" s="330" t="str">
        <x:f>IF(H52&lt;=5,"Top 5",IF(H52&gt;=21,"Düşük 3","Standart"))</x:f>
        <x:v>Standart</x:v>
      </x:c>
      <x:c r="J52" s="327"/>
      <x:c r="K52" s="330" t="str">
        <x:v>Antalya</x:v>
      </x:c>
      <x:c r="L52" s="322" t="n">
        <x:f>SUMIF('VERİ'!$I$2:$I$2890,K52,'VERİ'!$F$2:$F$2890)</x:f>
        <x:v>2534590</x:v>
      </x:c>
      <x:c r="M52" s="323" t="n">
        <x:f>IFERROR(SUMIF('VERİ'!$I$2:$I$2890,K52,'VERİ'!$G$2:$G$2890)/L52,0)</x:f>
        <x:v>0.3001629454862522</x:v>
      </x:c>
      <x:c r="N52" s="323" t="n">
        <x:f>IFERROR(L52/SUM('VERİ'!$F$2:$F$2890),0)</x:f>
        <x:v>0.08328093890379627</x:v>
      </x:c>
      <x:c r="O52" s="330" t="str">
        <x:f>IF(L52&gt;$B$11,"Yüksek","Normal")</x:f>
        <x:v>Yüksek</x:v>
      </x:c>
      <x:c r="P52" s="330" t="n">
        <x:f>MIN(10,1+IF(M52&lt;$B$9,4,0)+IF(L52&gt;$B$11,2,0)+IF(N52&gt;$B$10,2,0))</x:f>
        <x:v>5</x:v>
      </x:c>
      <x:c r="Q52" s="330" t="str">
        <x:f>IFERROR(IF(P52&gt;='DASHBOARD (2)'!$I$3,"Yüksek",IF(P52&gt;=2,"Orta","Düşük")),"-")</x:f>
        <x:v>Yüksek</x:v>
      </x:c>
      <x:c r="R52" s="327"/>
      <x:c r="S52" s="327"/>
      <x:c r="T52" s="327"/>
      <x:c r="U52" s="327"/>
      <x:c r="V52" s="312"/>
      <x:c r="W52" s="312"/>
      <x:c r="X52" s="312"/>
      <x:c r="Y52" s="312"/>
      <x:c r="Z52" s="312"/>
    </x:row>
    <x:row r="53">
      <x:c r="A53" s="330" t="str">
        <x:v>Çamaşır Makinesi Gri</x:v>
      </x:c>
      <x:c r="B53" s="322" t="n">
        <x:f>SUMIF('VERİ'!$C$2:$C$2890,A53,'VERİ'!$F$2:$F$2890)</x:f>
        <x:v>5008400</x:v>
      </x:c>
      <x:c r="C53" s="322" t="n">
        <x:f>SUMIF('VERİ'!$C$2:$C$2890,A53,'VERİ'!$G$2:$G$2890)</x:f>
        <x:v>1054400</x:v>
      </x:c>
      <x:c r="D53" s="323" t="n">
        <x:f>IFERROR(C53/B53,0)</x:f>
        <x:v>0.21052631578947367</x:v>
      </x:c>
      <x:c r="E53" s="323" t="n">
        <x:f>IFERROR(AVERAGEIF('VERİ'!$C$2:$C$2890,A53,'VERİ'!$J$2:$J$2890),0)</x:f>
        <x:v>0.210526315789473</x:v>
      </x:c>
      <x:c r="F53" s="324" t="n">
        <x:f>SUMIF('VERİ'!$C$2:$C$2890,A53,'VERİ'!$D$2:$D$2890)</x:f>
        <x:v>659</x:v>
      </x:c>
      <x:c r="G53" s="324" t="n">
        <x:f>COUNTIF('VERİ'!$C$2:$C$2890,A53)</x:f>
        <x:v>237</x:v>
      </x:c>
      <x:c r="H53" s="324" t="n">
        <x:f>RANK.EQ(C53,$C$33:$C$55,0)</x:f>
        <x:v>3</x:v>
      </x:c>
      <x:c r="I53" s="330" t="str">
        <x:f>IF(H53&lt;=5,"Top 5",IF(H53&gt;=21,"Düşük 3","Standart"))</x:f>
        <x:v>Top 5</x:v>
      </x:c>
      <x:c r="J53" s="327"/>
      <x:c r="K53" s="330" t="str">
        <x:v>Bursa</x:v>
      </x:c>
      <x:c r="L53" s="322" t="n">
        <x:f>SUMIF('VERİ'!$I$2:$I$2890,K53,'VERİ'!$F$2:$F$2890)</x:f>
        <x:v>2450585</x:v>
      </x:c>
      <x:c r="M53" s="323" t="n">
        <x:f>IFERROR(SUMIF('VERİ'!$I$2:$I$2890,K53,'VERİ'!$G$2:$G$2890)/L53,0)</x:f>
        <x:v>0.30865487220398397</x:v>
      </x:c>
      <x:c r="N53" s="323" t="n">
        <x:f>IFERROR(L53/SUM('VERİ'!$F$2:$F$2890),0)</x:f>
        <x:v>0.080520723140058</x:v>
      </x:c>
      <x:c r="O53" s="330" t="str">
        <x:f>IF(L53&gt;$B$11,"Yüksek","Normal")</x:f>
        <x:v>Yüksek</x:v>
      </x:c>
      <x:c r="P53" s="330" t="n">
        <x:f>MIN(10,1+IF(M53&lt;$B$9,4,0)+IF(L53&gt;$B$11,2,0)+IF(N53&gt;$B$10,2,0))</x:f>
        <x:v>5</x:v>
      </x:c>
      <x:c r="Q53" s="330" t="str">
        <x:f>IFERROR(IF(P53&gt;='DASHBOARD (2)'!$I$3,"Yüksek",IF(P53&gt;=2,"Orta","Düşük")),"-")</x:f>
        <x:v>Yüksek</x:v>
      </x:c>
      <x:c r="R53" s="327"/>
      <x:c r="S53" s="327"/>
      <x:c r="T53" s="327"/>
      <x:c r="U53" s="327"/>
      <x:c r="V53" s="312"/>
      <x:c r="W53" s="312"/>
      <x:c r="X53" s="312"/>
      <x:c r="Y53" s="312"/>
      <x:c r="Z53" s="312"/>
    </x:row>
    <x:row r="54">
      <x:c r="A54" s="330" t="str">
        <x:v>Ütü Mor</x:v>
      </x:c>
      <x:c r="B54" s="322" t="n">
        <x:f>SUMIF('VERİ'!$C$2:$C$2890,A54,'VERİ'!$F$2:$F$2890)</x:f>
        <x:v>446400</x:v>
      </x:c>
      <x:c r="C54" s="322" t="n">
        <x:f>SUMIF('VERİ'!$C$2:$C$2890,A54,'VERİ'!$G$2:$G$2890)</x:f>
        <x:v>148800</x:v>
      </x:c>
      <x:c r="D54" s="323" t="n">
        <x:f>IFERROR(C54/B54,0)</x:f>
        <x:v>0.3333333333333333</x:v>
      </x:c>
      <x:c r="E54" s="323" t="n">
        <x:f>IFERROR(AVERAGEIF('VERİ'!$C$2:$C$2890,A54,'VERİ'!$J$2:$J$2890),0)</x:f>
        <x:v>0.3333333333333338</x:v>
      </x:c>
      <x:c r="F54" s="324" t="n">
        <x:f>SUMIF('VERİ'!$C$2:$C$2890,A54,'VERİ'!$D$2:$D$2890)</x:f>
        <x:v>372</x:v>
      </x:c>
      <x:c r="G54" s="324" t="n">
        <x:f>COUNTIF('VERİ'!$C$2:$C$2890,A54)</x:f>
        <x:v>146</x:v>
      </x:c>
      <x:c r="H54" s="324" t="n">
        <x:f>RANK.EQ(C54,$C$33:$C$55,0)</x:f>
        <x:v>18</x:v>
      </x:c>
      <x:c r="I54" s="330" t="str">
        <x:f>IF(H54&lt;=5,"Top 5",IF(H54&gt;=21,"Düşük 3","Standart"))</x:f>
        <x:v>Standart</x:v>
      </x:c>
      <x:c r="J54" s="327"/>
      <x:c r="K54" s="330" t="str">
        <x:v>Diyarbakır</x:v>
      </x:c>
      <x:c r="L54" s="322" t="n">
        <x:f>SUMIF('VERİ'!$I$2:$I$2890,K54,'VERİ'!$F$2:$F$2890)</x:f>
        <x:v>2709440</x:v>
      </x:c>
      <x:c r="M54" s="323" t="n">
        <x:f>IFERROR(SUMIF('VERİ'!$I$2:$I$2890,K54,'VERİ'!$G$2:$G$2890)/L54,0)</x:f>
        <x:v>0.29295352545175385</x:v>
      </x:c>
      <x:c r="N54" s="323" t="n">
        <x:f>IFERROR(L54/SUM('VERİ'!$F$2:$F$2890),0)</x:f>
        <x:v>0.08902611747994814</x:v>
      </x:c>
      <x:c r="O54" s="330" t="str">
        <x:f>IF(L54&gt;$B$11,"Yüksek","Normal")</x:f>
        <x:v>Yüksek</x:v>
      </x:c>
      <x:c r="P54" s="330" t="n">
        <x:f>MIN(10,1+IF(M54&lt;$B$9,4,0)+IF(L54&gt;$B$11,2,0)+IF(N54&gt;$B$10,2,0))</x:f>
        <x:v>5</x:v>
      </x:c>
      <x:c r="Q54" s="330" t="str">
        <x:f>IFERROR(IF(P54&gt;='DASHBOARD (2)'!$I$3,"Yüksek",IF(P54&gt;=2,"Orta","Düşük")),"-")</x:f>
        <x:v>Yüksek</x:v>
      </x:c>
      <x:c r="R54" s="327"/>
      <x:c r="S54" s="327"/>
      <x:c r="T54" s="327"/>
      <x:c r="U54" s="327"/>
      <x:c r="V54" s="312"/>
      <x:c r="W54" s="312"/>
      <x:c r="X54" s="312"/>
      <x:c r="Y54" s="312"/>
      <x:c r="Z54" s="312"/>
    </x:row>
    <x:row r="55">
      <x:c r="A55" s="330" t="str">
        <x:v>Ütü Siyah</x:v>
      </x:c>
      <x:c r="B55" s="322" t="n">
        <x:f>SUMIF('VERİ'!$C$2:$C$2890,A55,'VERİ'!$F$2:$F$2890)</x:f>
        <x:v>554850</x:v>
      </x:c>
      <x:c r="C55" s="322" t="n">
        <x:f>SUMIF('VERİ'!$C$2:$C$2890,A55,'VERİ'!$G$2:$G$2890)</x:f>
        <x:v>226050</x:v>
      </x:c>
      <x:c r="D55" s="323" t="n">
        <x:f>IFERROR(C55/B55,0)</x:f>
        <x:v>0.4074074074074074</x:v>
      </x:c>
      <x:c r="E55" s="323" t="n">
        <x:f>IFERROR(AVERAGEIF('VERİ'!$C$2:$C$2890,A55,'VERİ'!$J$2:$J$2890),0)</x:f>
        <x:v>0.4074074074074061</x:v>
      </x:c>
      <x:c r="F55" s="324" t="n">
        <x:f>SUMIF('VERİ'!$C$2:$C$2890,A55,'VERİ'!$D$2:$D$2890)</x:f>
        <x:v>411</x:v>
      </x:c>
      <x:c r="G55" s="324" t="n">
        <x:f>COUNTIF('VERİ'!$C$2:$C$2890,A55)</x:f>
        <x:v>170</x:v>
      </x:c>
      <x:c r="H55" s="324" t="n">
        <x:f>RANK.EQ(C55,$C$33:$C$55,0)</x:f>
        <x:v>14</x:v>
      </x:c>
      <x:c r="I55" s="330" t="str">
        <x:f>IF(H55&lt;=5,"Top 5",IF(H55&gt;=21,"Düşük 3","Standart"))</x:f>
        <x:v>Standart</x:v>
      </x:c>
      <x:c r="J55" s="327"/>
      <x:c r="K55" s="330" t="str">
        <x:v>Gaziantep</x:v>
      </x:c>
      <x:c r="L55" s="322" t="n">
        <x:f>SUMIF('VERİ'!$I$2:$I$2890,K55,'VERİ'!$F$2:$F$2890)</x:f>
        <x:v>2277785</x:v>
      </x:c>
      <x:c r="M55" s="323" t="n">
        <x:f>IFERROR(SUMIF('VERİ'!$I$2:$I$2890,K55,'VERİ'!$G$2:$G$2890)/L55,0)</x:f>
        <x:v>0.2981778350458889</x:v>
      </x:c>
      <x:c r="N55" s="323" t="n">
        <x:f>IFERROR(L55/SUM('VERİ'!$F$2:$F$2890),0)</x:f>
        <x:v>0.0748429029629974</x:v>
      </x:c>
      <x:c r="O55" s="330" t="str">
        <x:f>IF(L55&gt;$B$11,"Yüksek","Normal")</x:f>
        <x:v>Normal</x:v>
      </x:c>
      <x:c r="P55" s="330" t="n">
        <x:f>MIN(10,1+IF(M55&lt;$B$9,4,0)+IF(L55&gt;$B$11,2,0)+IF(N55&gt;$B$10,2,0))</x:f>
        <x:v>1</x:v>
      </x:c>
      <x:c r="Q55" s="330" t="str">
        <x:f>IFERROR(IF(P55&gt;='DASHBOARD (2)'!$I$3,"Yüksek",IF(P55&gt;=2,"Orta","Düşük")),"-")</x:f>
        <x:v>Düşük</x:v>
      </x:c>
      <x:c r="R55" s="327"/>
      <x:c r="S55" s="327"/>
      <x:c r="T55" s="327"/>
      <x:c r="U55" s="327"/>
      <x:c r="V55" s="312"/>
      <x:c r="W55" s="312"/>
      <x:c r="X55" s="312"/>
      <x:c r="Y55" s="312"/>
      <x:c r="Z55" s="312"/>
    </x:row>
    <x:row r="56">
      <x:c r="A56" s="312" t="str">
        <x:v>Row Labels</x:v>
      </x:c>
      <x:c r="B56" s="312" t="str">
        <x:v>Toplam Toplam Sipariş Tutarı</x:v>
      </x:c>
      <x:c r="C56" s="312" t="str">
        <x:v>Toplam Birim Fiyat</x:v>
      </x:c>
      <x:c r="D56" s="312" t="str">
        <x:v>Toplam Satış Adet</x:v>
      </x:c>
      <x:c r="E56" s="312" t="str">
        <x:v>Toplam Ürün Kar Tutarı</x:v>
      </x:c>
      <x:c r="F56" s="312"/>
      <x:c r="G56" s="312"/>
      <x:c r="H56" s="312"/>
      <x:c r="I56" s="312"/>
      <x:c r="J56" s="312"/>
      <x:c r="K56" s="330" t="str">
        <x:v>Hatay</x:v>
      </x:c>
      <x:c r="L56" s="322" t="n">
        <x:f>SUMIF('VERİ'!$I$2:$I$2890,K56,'VERİ'!$F$2:$F$2890)</x:f>
        <x:v>2369710</x:v>
      </x:c>
      <x:c r="M56" s="323" t="n">
        <x:f>IFERROR(SUMIF('VERİ'!$I$2:$I$2890,K56,'VERİ'!$G$2:$G$2890)/L56,0)</x:f>
        <x:v>0.2956522106080491</x:v>
      </x:c>
      <x:c r="N56" s="323" t="n">
        <x:f>IFERROR(L56/SUM('VERİ'!$F$2:$F$2890),0)</x:f>
        <x:v>0.07786335215151763</x:v>
      </x:c>
      <x:c r="O56" s="330" t="str">
        <x:f>IF(L56&gt;$B$11,"Yüksek","Normal")</x:f>
        <x:v>Yüksek</x:v>
      </x:c>
      <x:c r="P56" s="330" t="n">
        <x:f>MIN(10,1+IF(M56&lt;$B$9,4,0)+IF(L56&gt;$B$11,2,0)+IF(N56&gt;$B$10,2,0))</x:f>
        <x:v>3</x:v>
      </x:c>
      <x:c r="Q56" s="330" t="str">
        <x:f>IFERROR(IF(P56&gt;='DASHBOARD (2)'!$I$3,"Yüksek",IF(P56&gt;=2,"Orta","Düşük")),"-")</x:f>
        <x:v>Orta</x:v>
      </x:c>
      <x:c r="R56" s="327"/>
      <x:c r="S56" s="327"/>
      <x:c r="T56" s="327"/>
      <x:c r="U56" s="327"/>
      <x:c r="V56" s="312"/>
      <x:c r="W56" s="312"/>
      <x:c r="X56" s="312"/>
      <x:c r="Y56" s="312"/>
      <x:c r="Z56" s="312"/>
    </x:row>
    <x:row r="57">
      <x:c r="A57" s="312" t="str">
        <x:v>Buzdolabı İki Kapaklı Beyaz</x:v>
      </x:c>
      <x:c r="B57" s="312" t="n">
        <x:v>1968850</x:v>
      </x:c>
      <x:c r="C57" s="312" t="n">
        <x:v>659100</x:v>
      </x:c>
      <x:c r="D57" s="312" t="n">
        <x:v>233</x:v>
      </x:c>
      <x:c r="E57" s="312" t="n">
        <x:v>570850</x:v>
      </x:c>
      <x:c r="F57" s="312"/>
      <x:c r="G57" s="312"/>
      <x:c r="H57" s="312"/>
      <x:c r="I57" s="312"/>
      <x:c r="J57" s="312"/>
      <x:c r="K57" s="330" t="str">
        <x:v>Kocaeli</x:v>
      </x:c>
      <x:c r="L57" s="322" t="n">
        <x:f>SUMIF('VERİ'!$I$2:$I$2890,K57,'VERİ'!$F$2:$F$2890)</x:f>
        <x:v>2200840</x:v>
      </x:c>
      <x:c r="M57" s="323" t="n">
        <x:f>IFERROR(SUMIF('VERİ'!$I$2:$I$2890,K57,'VERİ'!$G$2:$G$2890)/L57,0)</x:f>
        <x:v>0.3106722887624725</x:v>
      </x:c>
      <x:c r="N57" s="323" t="n">
        <x:f>IFERROR(L57/SUM('VERİ'!$F$2:$F$2890),0)</x:f>
        <x:v>0.07231466295417838</x:v>
      </x:c>
      <x:c r="O57" s="330" t="str">
        <x:f>IF(L57&gt;$B$11,"Yüksek","Normal")</x:f>
        <x:v>Normal</x:v>
      </x:c>
      <x:c r="P57" s="330" t="n">
        <x:f>MIN(10,1+IF(M57&lt;$B$9,4,0)+IF(L57&gt;$B$11,2,0)+IF(N57&gt;$B$10,2,0))</x:f>
        <x:v>1</x:v>
      </x:c>
      <x:c r="Q57" s="330" t="str">
        <x:f>IFERROR(IF(P57&gt;='DASHBOARD (2)'!$I$3,"Yüksek",IF(P57&gt;=2,"Orta","Düşük")),"-")</x:f>
        <x:v>Düşük</x:v>
      </x:c>
      <x:c r="R57" s="327"/>
      <x:c r="S57" s="327"/>
      <x:c r="T57" s="327"/>
      <x:c r="U57" s="327"/>
      <x:c r="V57" s="312"/>
      <x:c r="W57" s="312"/>
      <x:c r="X57" s="312"/>
      <x:c r="Y57" s="312"/>
      <x:c r="Z57" s="312"/>
    </x:row>
    <x:row r="58">
      <x:c r="A58" s="312" t="str">
        <x:v>Grand Total</x:v>
      </x:c>
      <x:c r="B58" s="312" t="n">
        <x:v>1968850</x:v>
      </x:c>
      <x:c r="C58" s="312" t="n">
        <x:v>659100</x:v>
      </x:c>
      <x:c r="D58" s="312" t="n">
        <x:v>233</x:v>
      </x:c>
      <x:c r="E58" s="312" t="n">
        <x:v>570850</x:v>
      </x:c>
      <x:c r="F58" s="312"/>
      <x:c r="G58" s="312"/>
      <x:c r="H58" s="312"/>
      <x:c r="I58" s="312"/>
      <x:c r="J58" s="312"/>
      <x:c r="K58" s="330" t="str">
        <x:v>Konya</x:v>
      </x:c>
      <x:c r="L58" s="322" t="n">
        <x:f>SUMIF('VERİ'!$I$2:$I$2890,K58,'VERİ'!$F$2:$F$2890)</x:f>
        <x:v>2045210</x:v>
      </x:c>
      <x:c r="M58" s="323" t="n">
        <x:f>IFERROR(SUMIF('VERİ'!$I$2:$I$2890,K58,'VERİ'!$G$2:$G$2890)/L58,0)</x:f>
        <x:v>0.2940089281785245</x:v>
      </x:c>
      <x:c r="N58" s="323" t="n">
        <x:f>IFERROR(L58/SUM('VERİ'!$F$2:$F$2890),0)</x:f>
        <x:v>0.06720101044170187</x:v>
      </x:c>
      <x:c r="O58" s="330" t="str">
        <x:f>IF(L58&gt;$B$11,"Yüksek","Normal")</x:f>
        <x:v>Normal</x:v>
      </x:c>
      <x:c r="P58" s="330" t="n">
        <x:f>MIN(10,1+IF(M58&lt;$B$9,4,0)+IF(L58&gt;$B$11,2,0)+IF(N58&gt;$B$10,2,0))</x:f>
        <x:v>1</x:v>
      </x:c>
      <x:c r="Q58" s="330" t="str">
        <x:f>IFERROR(IF(P58&gt;='DASHBOARD (2)'!$I$3,"Yüksek",IF(P58&gt;=2,"Orta","Düşük")),"-")</x:f>
        <x:v>Düşük</x:v>
      </x:c>
      <x:c r="R58" s="327"/>
      <x:c r="S58" s="327"/>
      <x:c r="T58" s="327"/>
      <x:c r="U58" s="327"/>
      <x:c r="V58" s="312"/>
      <x:c r="W58" s="312"/>
      <x:c r="X58" s="312"/>
      <x:c r="Y58" s="312"/>
      <x:c r="Z58" s="312"/>
    </x:row>
    <x:row r="59">
      <x:c r="A59" s="312"/>
      <x:c r="B59" s="312"/>
      <x:c r="C59" s="312"/>
      <x:c r="D59" s="312"/>
      <x:c r="E59" s="312"/>
      <x:c r="F59" s="312"/>
      <x:c r="G59" s="312"/>
      <x:c r="H59" s="312"/>
      <x:c r="I59" s="312"/>
      <x:c r="J59" s="312"/>
      <x:c r="K59" s="330" t="str">
        <x:v>Mersin</x:v>
      </x:c>
      <x:c r="L59" s="322" t="n">
        <x:f>SUMIF('VERİ'!$I$2:$I$2890,K59,'VERİ'!$F$2:$F$2890)</x:f>
        <x:v>2221530</x:v>
      </x:c>
      <x:c r="M59" s="323" t="n">
        <x:f>IFERROR(SUMIF('VERİ'!$I$2:$I$2890,K59,'VERİ'!$G$2:$G$2890)/L59,0)</x:f>
        <x:v>0.3109253532475366</x:v>
      </x:c>
      <x:c r="N59" s="323" t="n">
        <x:f>IFERROR(L59/SUM('VERİ'!$F$2:$F$2890),0)</x:f>
        <x:v>0.07299448991866556</x:v>
      </x:c>
      <x:c r="O59" s="330" t="str">
        <x:f>IF(L59&gt;$B$11,"Yüksek","Normal")</x:f>
        <x:v>Normal</x:v>
      </x:c>
      <x:c r="P59" s="330" t="n">
        <x:f>MIN(10,1+IF(M59&lt;$B$9,4,0)+IF(L59&gt;$B$11,2,0)+IF(N59&gt;$B$10,2,0))</x:f>
        <x:v>1</x:v>
      </x:c>
      <x:c r="Q59" s="330" t="str">
        <x:f>IFERROR(IF(P59&gt;='DASHBOARD (2)'!$I$3,"Yüksek",IF(P59&gt;=2,"Orta","Düşük")),"-")</x:f>
        <x:v>Düşük</x:v>
      </x:c>
      <x:c r="R59" s="327"/>
      <x:c r="S59" s="327"/>
      <x:c r="T59" s="327"/>
      <x:c r="U59" s="327"/>
      <x:c r="V59" s="312"/>
      <x:c r="W59" s="312"/>
      <x:c r="X59" s="312"/>
      <x:c r="Y59" s="312"/>
      <x:c r="Z59" s="312"/>
    </x:row>
    <x:row r="60">
      <x:c r="A60" s="312"/>
      <x:c r="B60" s="312"/>
      <x:c r="C60" s="312"/>
      <x:c r="D60" s="312"/>
      <x:c r="E60" s="312"/>
      <x:c r="F60" s="312"/>
      <x:c r="G60" s="312"/>
      <x:c r="H60" s="312"/>
      <x:c r="I60" s="312"/>
      <x:c r="J60" s="312"/>
      <x:c r="K60" s="330" t="str">
        <x:v>İstanbul</x:v>
      </x:c>
      <x:c r="L60" s="322" t="n">
        <x:f>SUMIF('VERİ'!$I$2:$I$2890,K60,'VERİ'!$F$2:$F$2890)</x:f>
        <x:v>2308105</x:v>
      </x:c>
      <x:c r="M60" s="323" t="n">
        <x:f>IFERROR(SUMIF('VERİ'!$I$2:$I$2890,K60,'VERİ'!$G$2:$G$2890)/L60,0)</x:f>
        <x:v>0.30185151888670575</x:v>
      </x:c>
      <x:c r="N60" s="323" t="n">
        <x:f>IFERROR(L60/SUM('VERİ'!$F$2:$F$2890),0)</x:f>
        <x:v>0.07583915011443534</x:v>
      </x:c>
      <x:c r="O60" s="330" t="str">
        <x:f>IF(L60&gt;$B$11,"Yüksek","Normal")</x:f>
        <x:v>Normal</x:v>
      </x:c>
      <x:c r="P60" s="330" t="n">
        <x:f>MIN(10,1+IF(M60&lt;$B$9,4,0)+IF(L60&gt;$B$11,2,0)+IF(N60&gt;$B$10,2,0))</x:f>
        <x:v>1</x:v>
      </x:c>
      <x:c r="Q60" s="330" t="str">
        <x:f>IFERROR(IF(P60&gt;='DASHBOARD (2)'!$I$3,"Yüksek",IF(P60&gt;=2,"Orta","Düşük")),"-")</x:f>
        <x:v>Düşük</x:v>
      </x:c>
      <x:c r="R60" s="327"/>
      <x:c r="S60" s="327"/>
      <x:c r="T60" s="327"/>
      <x:c r="U60" s="327"/>
      <x:c r="V60" s="312"/>
      <x:c r="W60" s="312"/>
      <x:c r="X60" s="312"/>
      <x:c r="Y60" s="312"/>
      <x:c r="Z60" s="312"/>
    </x:row>
    <x:row r="61">
      <x:c r="A61" s="312"/>
      <x:c r="B61" s="312"/>
      <x:c r="C61" s="312"/>
      <x:c r="D61" s="312"/>
      <x:c r="E61" s="312"/>
      <x:c r="F61" s="312"/>
      <x:c r="G61" s="312"/>
      <x:c r="H61" s="312"/>
      <x:c r="I61" s="312"/>
      <x:c r="J61" s="312"/>
      <x:c r="K61" s="330" t="str">
        <x:v>İzmir</x:v>
      </x:c>
      <x:c r="L61" s="322" t="n">
        <x:f>SUMIF('VERİ'!$I$2:$I$2890,K61,'VERİ'!$F$2:$F$2890)</x:f>
        <x:v>2224770</x:v>
      </x:c>
      <x:c r="M61" s="323" t="n">
        <x:f>IFERROR(SUMIF('VERİ'!$I$2:$I$2890,K61,'VERİ'!$G$2:$G$2890)/L61,0)</x:f>
        <x:v>0.31210866741281124</x:v>
      </x:c>
      <x:c r="N61" s="323" t="n">
        <x:f>IFERROR(L61/SUM('VERİ'!$F$2:$F$2890),0)</x:f>
        <x:v>0.07310094904698544</x:v>
      </x:c>
      <x:c r="O61" s="330" t="str">
        <x:f>IF(L61&gt;$B$11,"Yüksek","Normal")</x:f>
        <x:v>Normal</x:v>
      </x:c>
      <x:c r="P61" s="330" t="n">
        <x:f>MIN(10,1+IF(M61&lt;$B$9,4,0)+IF(L61&gt;$B$11,2,0)+IF(N61&gt;$B$10,2,0))</x:f>
        <x:v>1</x:v>
      </x:c>
      <x:c r="Q61" s="330" t="str">
        <x:f>IFERROR(IF(P61&gt;='DASHBOARD (2)'!$I$3,"Yüksek",IF(P61&gt;=2,"Orta","Düşük")),"-")</x:f>
        <x:v>Düşük</x:v>
      </x:c>
      <x:c r="R61" s="327"/>
      <x:c r="S61" s="327"/>
      <x:c r="T61" s="327"/>
      <x:c r="U61" s="327"/>
      <x:c r="V61" s="312"/>
      <x:c r="W61" s="312"/>
      <x:c r="X61" s="312"/>
      <x:c r="Y61" s="312"/>
      <x:c r="Z61" s="312"/>
    </x:row>
    <x:row r="62">
      <x:c r="A62" s="312"/>
      <x:c r="B62" s="312"/>
      <x:c r="C62" s="312"/>
      <x:c r="D62" s="312"/>
      <x:c r="E62" s="312"/>
      <x:c r="F62" s="312"/>
      <x:c r="G62" s="312"/>
      <x:c r="H62" s="312"/>
      <x:c r="I62" s="312"/>
      <x:c r="J62" s="312"/>
      <x:c r="K62" s="330" t="str">
        <x:v>Şanlıurfa</x:v>
      </x:c>
      <x:c r="L62" s="322" t="n">
        <x:f>SUMIF('VERİ'!$I$2:$I$2890,K62,'VERİ'!$F$2:$F$2890)</x:f>
        <x:v>2097465</x:v>
      </x:c>
      <x:c r="M62" s="323" t="n">
        <x:f>IFERROR(SUMIF('VERİ'!$I$2:$I$2890,K62,'VERİ'!$G$2:$G$2890)/L62,0)</x:f>
        <x:v>0.31941653376814394</x:v>
      </x:c>
      <x:c r="N62" s="323" t="n">
        <x:f>IFERROR(L62/SUM('VERİ'!$F$2:$F$2890),0)</x:f>
        <x:v>0.06891799246341658</x:v>
      </x:c>
      <x:c r="O62" s="330" t="str">
        <x:f>IF(L62&gt;$B$11,"Yüksek","Normal")</x:f>
        <x:v>Normal</x:v>
      </x:c>
      <x:c r="P62" s="330" t="n">
        <x:f>MIN(10,1+IF(M62&lt;$B$9,4,0)+IF(L62&gt;$B$11,2,0)+IF(N62&gt;$B$10,2,0))</x:f>
        <x:v>1</x:v>
      </x:c>
      <x:c r="Q62" s="330" t="str">
        <x:f>IFERROR(IF(P62&gt;='DASHBOARD (2)'!$I$3,"Yüksek",IF(P62&gt;=2,"Orta","Düşük")),"-")</x:f>
        <x:v>Düşük</x:v>
      </x:c>
      <x:c r="R62" s="327"/>
      <x:c r="S62" s="327"/>
      <x:c r="T62" s="327"/>
      <x:c r="U62" s="327"/>
      <x:c r="V62" s="312"/>
      <x:c r="W62" s="312"/>
      <x:c r="X62" s="312"/>
      <x:c r="Y62" s="312"/>
      <x:c r="Z62" s="31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</x:row>
    <x:row r="64">
      <x:c r="A64"/>
      <x:c r="B64"/>
      <x:c r="C64"/>
    </x:row>
    <x:row r="65">
      <x:c r="A65"/>
      <x:c r="B65"/>
      <x:c r="C65"/>
    </x:row>
    <x:row r="66">
      <x:c r="A66"/>
      <x:c r="B66"/>
      <x:c r="C66"/>
    </x:row>
    <x:row r="67">
      <x:c r="A67"/>
      <x:c r="B67"/>
      <x:c r="C67"/>
      <x:c r="G67"/>
    </x:row>
    <x:row r="68">
      <x:c r="A68"/>
      <x:c r="B68"/>
      <x:c r="C68"/>
    </x:row>
    <x:row r="69">
      <x:c r="A69"/>
      <x:c r="B69"/>
      <x:c r="C69"/>
      <x:c r="D69"/>
      <x:c r="G69"/>
      <x:c r="H69"/>
    </x:row>
    <x:row r="70">
      <x:c r="A70"/>
      <x:c r="B70"/>
      <x:c r="C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</x:row>
    <x:row r="74">
      <x:c r="A74"/>
      <x:c r="B74"/>
      <x:c r="C74"/>
    </x:row>
    <x:row r="75">
      <x:c r="A75"/>
      <x:c r="B75"/>
      <x:c r="C75"/>
    </x:row>
    <x:row r="76">
      <x:c r="A76"/>
      <x:c r="B76"/>
      <x:c r="C76"/>
    </x:row>
    <x:row r="77">
      <x:c r="A77"/>
      <x:c r="B77"/>
      <x:c r="C77"/>
    </x:row>
    <x:row r="78">
      <x:c r="A78"/>
      <x:c r="B78"/>
      <x:c r="C78"/>
    </x:row>
    <x:row r="79">
      <x:c r="A79"/>
      <x:c r="B79"/>
      <x:c r="C79"/>
    </x:row>
    <x:row r="80">
      <x:c r="A80"/>
      <x:c r="B80"/>
      <x:c r="C80"/>
    </x:row>
    <x:row r="81">
      <x:c r="A81"/>
      <x:c r="B81"/>
      <x:c r="C81"/>
    </x:row>
    <x:row r="82">
      <x:c r="A82"/>
      <x:c r="B82"/>
      <x:c r="C82"/>
    </x:row>
    <x:row r="98">
      <x:c r="A98"/>
      <x:c r="B98"/>
    </x:row>
    <x:row r="99">
      <x:c r="A99"/>
      <x:c r="B99"/>
    </x:row>
    <x:row r="100">
      <x:c r="A100"/>
      <x:c r="B100"/>
    </x:row>
  </x:sheetData>
  <x:mergeCells>
    <x:mergeCell ref="A1:U1"/>
    <x:mergeCell ref="A3:B3"/>
    <x:mergeCell ref="D3:J3"/>
    <x:mergeCell ref="L3:U3"/>
    <x:mergeCell ref="A14:M14"/>
    <x:mergeCell ref="A31:I31"/>
    <x:mergeCell ref="K31:Q31"/>
    <x:mergeCell ref="K48:Q48"/>
    <x:mergeCell ref="A14:K14"/>
  </x:mergeCells>
  <x:conditionalFormatting sqref="L16:L28">
    <x:cfRule type="colorScale" priority="1">
      <x:colorScale>
        <x:cfvo type="min"/>
        <x:cfvo type="percentile" val="50"/>
        <x:cfvo type="max"/>
        <x:color rgb="FFDCF3E7"/>
        <x:color rgb="FFF9E8B5"/>
        <x:color rgb="FFF2C3C3"/>
      </x:colorScale>
    </x:cfRule>
  </x:conditionalFormatting>
  <x:conditionalFormatting sqref="L33:P45">
    <x:cfRule type="colorScale" priority="2">
      <x:colorScale>
        <x:cfvo type="min"/>
        <x:cfvo type="percentile" val="50"/>
        <x:cfvo type="max"/>
        <x:color rgb="FFDCF3E7"/>
        <x:color rgb="FFF9E8B5"/>
        <x:color rgb="FFF2C3C3"/>
      </x:colorScale>
    </x:cfRule>
  </x:conditionalFormatting>
  <x:conditionalFormatting sqref="T5:T17">
    <x:cfRule type="colorScale" priority="3">
      <x:colorScale>
        <x:cfvo type="min"/>
        <x:cfvo type="percentile" val="50"/>
        <x:cfvo type="max"/>
        <x:color rgb="FFDCF3E7"/>
        <x:color rgb="FFF9E8B5"/>
        <x:color rgb="FFF2C3C3"/>
      </x:colorScale>
    </x:cfRule>
  </x:conditionalFormatting>
  <x:conditionalFormatting sqref="P50:P62">
    <x:cfRule type="colorScale" priority="4">
      <x:colorScale>
        <x:cfvo type="min"/>
        <x:cfvo type="percentile" val="50"/>
        <x:cfvo type="max"/>
        <x:color rgb="FFDCF3E7"/>
        <x:color rgb="FFF9E8B5"/>
        <x:color rgb="FFF2C3C3"/>
      </x:colorScale>
    </x:cfRule>
  </x:conditionalFormatting>
  <x:dataValidations count="2">
    <x:dataValidation type="list" sqref="B4">
      <x:formula1>ANALİZ!$Z$2:$Z$13</x:formula1>
    </x:dataValidation>
    <x:dataValidation type="list" sqref="B5">
      <x:formula1>ANALİZ!$Z$2:$Z$13</x:formula1>
    </x:dataValidation>
  </x:dataValidations>
  <x:pageMargins left="0.7" right="0.7" top="0.75" bottom="0.75" header="0.3" footer="0.3"/>
  <x:tableParts count="4">
    <x:tablePart xmlns:r="http://schemas.openxmlformats.org/officeDocument/2006/relationships" r:id="R245a460cd42540dd"/>
    <x:tablePart xmlns:r="http://schemas.openxmlformats.org/officeDocument/2006/relationships" r:id="R2428fd4a5f114309"/>
    <x:tablePart xmlns:r="http://schemas.openxmlformats.org/officeDocument/2006/relationships" r:id="R5f5c3876c88b4506"/>
    <x:tablePart xmlns:r="http://schemas.openxmlformats.org/officeDocument/2006/relationships" r:id="R70ee60b19057426f"/>
  </x:tableParts>
</x:worksheet>
</file>

<file path=xl/worksheets/sheet4.xml><?xml version="1.0" encoding="utf-8"?>
<x:worksheet xmlns:x="http://schemas.openxmlformats.org/spreadsheetml/2006/main">
  <x:sheetPr>
    <x:tabColor rgb="FF0070C0"/>
  </x:sheetPr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3" hidden="0" customWidth="1"/>
    <x:col min="8" max="8" width="10" hidden="0" customWidth="1"/>
    <x:col min="9" max="9" width="22" hidden="0" customWidth="1"/>
    <x:col min="10" max="10" width="16" hidden="0" customWidth="1"/>
    <x:col min="11" max="11" width="16" hidden="0" customWidth="1"/>
    <x:col min="12" max="12" width="16" hidden="0" customWidth="1"/>
    <x:col min="13" max="13" width="13" hidden="0" customWidth="1"/>
    <x:col min="14" max="14" width="16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527" t="str">
        <x:v>SATIŞ PERFORMANS DASHBOARD • YÖNETİM ÖZETİ</x:v>
      </x:c>
      <x:c r="B1" s="527"/>
      <x:c r="C1" s="527"/>
      <x:c r="D1" s="527"/>
      <x:c r="E1" s="527"/>
      <x:c r="F1" s="527"/>
      <x:c r="G1" s="527"/>
      <x:c r="H1" s="527"/>
      <x:c r="I1" s="527"/>
      <x:c r="J1" s="527"/>
      <x:c r="K1" s="527"/>
      <x:c r="L1" s="527"/>
      <x:c r="M1" s="527"/>
      <x:c r="N1"/>
      <x:c r="O1"/>
      <x:c r="P1"/>
      <x:c r="Q1"/>
      <x:c r="R1"/>
      <x:c r="S1"/>
      <x:c r="T1"/>
      <x:c r="U1"/>
      <x:c r="V1"/>
      <x:c r="W1"/>
      <x:c r="X1"/>
    </x:row>
    <x:row r="2" ht="30" customHeight="1">
      <x:c r="A2" s="527"/>
      <x:c r="B2" s="527"/>
      <x:c r="C2" s="527"/>
      <x:c r="D2" s="527"/>
      <x:c r="E2" s="527"/>
      <x:c r="F2" s="527"/>
      <x:c r="G2" s="527"/>
      <x:c r="H2" s="527"/>
      <x:c r="I2" s="527"/>
      <x:c r="J2" s="527"/>
      <x:c r="K2" s="527"/>
      <x:c r="L2" s="527"/>
      <x:c r="M2" s="527"/>
      <x:c r="N2"/>
      <x:c r="O2"/>
      <x:c r="P2"/>
      <x:c r="Q2"/>
      <x:c r="R2"/>
      <x:c r="S2"/>
      <x:c r="T2"/>
      <x:c r="U2"/>
      <x:c r="V2"/>
      <x:c r="W2"/>
      <x:c r="X2"/>
    </x:row>
    <x:row r="3" ht="26" customHeight="1">
      <x:c r="A3" s="528" t="str">
        <x:v>Ay</x:v>
      </x:c>
      <x:c r="B3" s="529" t="str">
        <x:v>Tümü</x:v>
      </x:c>
      <x:c r="C3" s="530"/>
      <x:c r="D3" s="528" t="str">
        <x:v>Şehir</x:v>
      </x:c>
      <x:c r="E3" s="529" t="str">
        <x:v>Tümü</x:v>
      </x:c>
      <x:c r="F3" s="530"/>
      <x:c r="G3" s="530"/>
      <x:c r="H3" s="528" t="str">
        <x:v>Personel</x:v>
      </x:c>
      <x:c r="I3" s="529" t="str">
        <x:v>Tümü</x:v>
      </x:c>
      <x:c r="J3" s="530"/>
      <x:c r="K3" s="528" t="str">
        <x:v>Ürün</x:v>
      </x:c>
      <x:c r="L3" s="529" t="str">
        <x:v>Tümü</x:v>
      </x:c>
      <x:c r="M3" s="530"/>
      <x:c r="N3"/>
      <x:c r="O3"/>
      <x:c r="P3"/>
      <x:c r="Q3"/>
      <x:c r="R3"/>
      <x:c r="S3"/>
      <x:c r="T3"/>
      <x:c r="U3"/>
      <x:c r="V3"/>
      <x:c r="W3"/>
      <x:c r="X3"/>
    </x:row>
    <x:row r="4" ht="22" customHeight="1">
      <x:c r="A4" s="531" t="str">
        <x:f>"Aktif filtreler • Ay: "&amp;B3&amp;" | Şehir: "&amp;E3&amp;" | Personel: "&amp;I3&amp;" | Ürün: "&amp;L3</x:f>
        <x:v>Aktif filtreler • Ay: Tümü | Şehir: Tümü | Personel: Tümü | Ürün: Tümü</x:v>
      </x:c>
      <x:c r="B4" s="531"/>
      <x:c r="C4" s="531"/>
      <x:c r="D4" s="531"/>
      <x:c r="E4" s="531"/>
      <x:c r="F4" s="531"/>
      <x:c r="G4" s="531"/>
      <x:c r="H4" s="531"/>
      <x:c r="I4" s="531"/>
      <x:c r="J4" s="531"/>
      <x:c r="K4" s="531"/>
      <x:c r="L4" s="531"/>
      <x:c r="M4" s="531"/>
      <x:c r="N4"/>
      <x:c r="O4"/>
      <x:c r="P4"/>
      <x:c r="Q4"/>
      <x:c r="R4"/>
      <x:c r="S4"/>
      <x:c r="T4"/>
      <x:c r="U4"/>
      <x:c r="V4"/>
      <x:c r="W4"/>
      <x:c r="X4"/>
    </x:row>
    <x:row r="5" ht="22" customHeight="1">
      <x:c r="A5" s="532" t="str">
        <x:v>TOPLAM CİRO</x:v>
      </x:c>
      <x:c r="B5" s="533"/>
      <x:c r="C5" s="534"/>
      <x:c r="D5" s="535" t="str">
        <x:v>TOPLAM KÂR</x:v>
      </x:c>
      <x:c r="E5" s="536"/>
      <x:c r="F5" s="537"/>
      <x:c r="G5" s="530"/>
      <x:c r="H5" s="538" t="str">
        <x:v>ORTALAMA KÂR MARJI</x:v>
      </x:c>
      <x:c r="I5" s="539"/>
      <x:c r="J5" s="540"/>
      <x:c r="K5" s="541" t="str">
        <x:v>TOPLAM SİPARİŞ / İŞLEM</x:v>
      </x:c>
      <x:c r="L5" s="542"/>
      <x:c r="M5" s="543"/>
      <x:c r="N5"/>
      <x:c r="O5"/>
      <x:c r="P5"/>
      <x:c r="Q5"/>
      <x:c r="R5"/>
      <x:c r="S5"/>
      <x:c r="T5"/>
      <x:c r="U5"/>
      <x:c r="V5"/>
      <x:c r="W5"/>
      <x:c r="X5"/>
    </x:row>
    <x:row r="6" ht="27" customHeight="1">
      <x:c r="A6" s="544" t="n">
        <x:f>IFERROR(SUMIFS('VERİ'!$F$2:$F$2890,'VERİ'!$H$2:$H$2890,IF($B$3="Tümü","*",$B$3),'VERİ'!$I$2:$I$2890,IF($E$3="Tümü","*",$E$3),'VERİ'!$B$2:$B$2890,IF($I$3="Tümü","*",$I$3),'VERİ'!$C$2:$C$2890,IF($L$3="Tümü","*",$L$3)),0)</x:f>
        <x:v>30434215</x:v>
      </x:c>
      <x:c r="B6" s="545"/>
      <x:c r="C6" s="546"/>
      <x:c r="D6" s="547" t="n">
        <x:f>IFERROR(SUMIFS('VERİ'!$G$2:$G$2890,'VERİ'!$H$2:$H$2890,IF($B$3="Tümü","*",$B$3),'VERİ'!$I$2:$I$2890,IF($E$3="Tümü","*",$E$3),'VERİ'!$B$2:$B$2890,IF($I$3="Tümü","*",$I$3),'VERİ'!$C$2:$C$2890,IF($L$3="Tümü","*",$L$3)),0)</x:f>
        <x:v>9221915</x:v>
      </x:c>
      <x:c r="E6" s="548"/>
      <x:c r="F6" s="549"/>
      <x:c r="G6" s="530"/>
      <x:c r="H6" s="550" t="n">
        <x:f>IFERROR(D6/A6,0)</x:f>
        <x:v>0.3030114297345931</x:v>
      </x:c>
      <x:c r="I6" s="551"/>
      <x:c r="J6" s="552"/>
      <x:c r="K6" s="553" t="n">
        <x:f>IFERROR(COUNTIFS('VERİ'!$H$2:$H$2890,IF($B$3="Tümü","*",$B$3),'VERİ'!$I$2:$I$2890,IF($E$3="Tümü","*",$E$3),'VERİ'!$B$2:$B$2890,IF($I$3="Tümü","*",$I$3),'VERİ'!$C$2:$C$2890,IF($L$3="Tümü","*",$L$3)),0)</x:f>
        <x:v>2889</x:v>
      </x:c>
      <x:c r="L6" s="554"/>
      <x:c r="M6" s="555"/>
      <x:c r="N6"/>
      <x:c r="O6"/>
      <x:c r="P6"/>
      <x:c r="Q6"/>
      <x:c r="R6"/>
      <x:c r="S6"/>
      <x:c r="T6"/>
      <x:c r="U6"/>
      <x:c r="V6"/>
      <x:c r="W6"/>
      <x:c r="X6"/>
    </x:row>
    <x:row r="7" ht="27" customHeight="1">
      <x:c r="A7" s="556"/>
      <x:c r="B7" s="557"/>
      <x:c r="C7" s="558"/>
      <x:c r="D7" s="559"/>
      <x:c r="E7" s="560"/>
      <x:c r="F7" s="561"/>
      <x:c r="G7" s="530"/>
      <x:c r="H7" s="562"/>
      <x:c r="I7" s="563"/>
      <x:c r="J7" s="564"/>
      <x:c r="K7" s="565"/>
      <x:c r="L7" s="566"/>
      <x:c r="M7" s="567"/>
      <x:c r="N7"/>
      <x:c r="O7"/>
      <x:c r="P7"/>
      <x:c r="Q7"/>
      <x:c r="R7"/>
      <x:c r="S7"/>
      <x:c r="T7"/>
      <x:c r="U7"/>
      <x:c r="V7"/>
      <x:c r="W7"/>
      <x:c r="X7"/>
    </x:row>
    <x:row r="8" ht="27" customHeight="1">
      <x:c r="A8" s="568"/>
      <x:c r="B8" s="569"/>
      <x:c r="C8" s="570"/>
      <x:c r="D8" s="571"/>
      <x:c r="E8" s="572"/>
      <x:c r="F8" s="573"/>
      <x:c r="G8" s="530"/>
      <x:c r="H8" s="574"/>
      <x:c r="I8" s="575"/>
      <x:c r="J8" s="576"/>
      <x:c r="K8" s="577"/>
      <x:c r="L8" s="578"/>
      <x:c r="M8" s="579"/>
      <x:c r="N8"/>
      <x:c r="O8"/>
      <x:c r="P8"/>
      <x:c r="Q8"/>
      <x:c r="R8"/>
      <x:c r="S8"/>
      <x:c r="T8"/>
      <x:c r="U8"/>
      <x:c r="V8"/>
      <x:c r="W8"/>
      <x:c r="X8"/>
    </x:row>
    <x:row r="9" ht="22" customHeight="1">
      <x:c r="A9" s="530"/>
      <x:c r="B9" s="530"/>
      <x:c r="C9" s="530"/>
      <x:c r="D9" s="530"/>
      <x:c r="E9" s="530"/>
      <x:c r="F9" s="530"/>
      <x:c r="G9" s="530"/>
      <x:c r="H9" s="530"/>
      <x:c r="I9" s="530"/>
      <x:c r="J9" s="530"/>
      <x:c r="K9" s="530"/>
      <x:c r="L9" s="530"/>
      <x:c r="M9" s="530"/>
      <x:c r="N9"/>
      <x:c r="O9"/>
      <x:c r="P9"/>
      <x:c r="Q9"/>
      <x:c r="R9"/>
      <x:c r="S9"/>
      <x:c r="T9"/>
      <x:c r="U9"/>
      <x:c r="V9"/>
      <x:c r="W9"/>
      <x:c r="X9"/>
    </x:row>
    <x:row r="10" ht="22" customHeight="1">
      <x:c r="A10" s="580" t="str">
        <x:v>AYLIK TOPLAM CİRO TRENDİ</x:v>
      </x:c>
      <x:c r="B10" s="580"/>
      <x:c r="C10" s="580"/>
      <x:c r="D10" s="580"/>
      <x:c r="E10" s="580"/>
      <x:c r="F10" s="580"/>
      <x:c r="G10" s="530"/>
      <x:c r="H10" s="580" t="str">
        <x:v>AYLIK FİLTRELİ KÂR TRENDİ</x:v>
      </x:c>
      <x:c r="I10" s="580"/>
      <x:c r="J10" s="580"/>
      <x:c r="K10" s="580"/>
      <x:c r="L10" s="580"/>
      <x:c r="M10" s="580"/>
      <x:c r="N10"/>
      <x:c r="O10"/>
      <x:c r="P10"/>
      <x:c r="Q10"/>
      <x:c r="R10"/>
      <x:c r="S10"/>
      <x:c r="T10"/>
      <x:c r="U10"/>
      <x:c r="V10"/>
      <x:c r="W10"/>
      <x:c r="X10"/>
    </x:row>
    <x:row r="11" ht="22" customHeight="1">
      <x:c r="A11" s="530"/>
      <x:c r="B11" s="530"/>
      <x:c r="C11" s="530"/>
      <x:c r="D11" s="530"/>
      <x:c r="E11" s="530"/>
      <x:c r="F11" s="530"/>
      <x:c r="G11" s="530"/>
      <x:c r="H11" s="530"/>
      <x:c r="I11" s="530"/>
      <x:c r="J11" s="530"/>
      <x:c r="K11" s="530"/>
      <x:c r="L11" s="530"/>
      <x:c r="M11" s="530"/>
      <x:c r="N11"/>
      <x:c r="O11"/>
      <x:c r="P11"/>
      <x:c r="Q11"/>
      <x:c r="R11"/>
      <x:c r="S11"/>
      <x:c r="T11"/>
      <x:c r="U11"/>
      <x:c r="V11"/>
      <x:c r="W11"/>
      <x:c r="X11"/>
    </x:row>
    <x:row r="12" ht="22" customHeight="1">
      <x:c r="A12" s="530"/>
      <x:c r="B12" s="530"/>
      <x:c r="C12" s="530"/>
      <x:c r="D12" s="530"/>
      <x:c r="E12" s="530"/>
      <x:c r="F12" s="530"/>
      <x:c r="G12" s="530"/>
      <x:c r="H12" s="530"/>
      <x:c r="I12" s="530"/>
      <x:c r="J12" s="530"/>
      <x:c r="K12" s="530"/>
      <x:c r="L12" s="530"/>
      <x:c r="M12" s="530"/>
      <x:c r="N12"/>
      <x:c r="O12"/>
      <x:c r="P12"/>
      <x:c r="Q12"/>
      <x:c r="R12"/>
      <x:c r="S12"/>
      <x:c r="T12"/>
      <x:c r="U12"/>
      <x:c r="V12"/>
      <x:c r="W12"/>
      <x:c r="X12"/>
    </x:row>
    <x:row r="13" ht="22" customHeight="1">
      <x:c r="A13" s="530"/>
      <x:c r="B13" s="530"/>
      <x:c r="C13" s="530"/>
      <x:c r="D13" s="530"/>
      <x:c r="E13" s="530"/>
      <x:c r="F13" s="530"/>
      <x:c r="G13" s="530"/>
      <x:c r="H13" s="530"/>
      <x:c r="I13" s="530"/>
      <x:c r="J13" s="530"/>
      <x:c r="K13" s="530"/>
      <x:c r="L13" s="530"/>
      <x:c r="M13" s="530"/>
      <x:c r="N13"/>
      <x:c r="O13"/>
      <x:c r="P13"/>
      <x:c r="Q13"/>
      <x:c r="R13"/>
      <x:c r="S13"/>
      <x:c r="T13"/>
      <x:c r="U13"/>
      <x:c r="V13"/>
      <x:c r="W13"/>
      <x:c r="X13"/>
    </x:row>
    <x:row r="14" ht="22" customHeight="1">
      <x:c r="A14" s="530"/>
      <x:c r="B14" s="530"/>
      <x:c r="C14" s="530"/>
      <x:c r="D14" s="530"/>
      <x:c r="E14" s="530"/>
      <x:c r="F14" s="530"/>
      <x:c r="G14" s="530"/>
      <x:c r="H14" s="530"/>
      <x:c r="I14" s="530"/>
      <x:c r="J14" s="530"/>
      <x:c r="K14" s="530"/>
      <x:c r="L14" s="530"/>
      <x:c r="M14" s="530"/>
      <x:c r="N14"/>
      <x:c r="O14"/>
      <x:c r="P14"/>
      <x:c r="Q14"/>
      <x:c r="R14"/>
      <x:c r="S14"/>
      <x:c r="T14"/>
      <x:c r="U14"/>
      <x:c r="V14"/>
      <x:c r="W14"/>
      <x:c r="X14"/>
    </x:row>
    <x:row r="15" ht="22" customHeight="1">
      <x:c r="A15" s="530"/>
      <x:c r="B15" s="530"/>
      <x:c r="C15" s="530"/>
      <x:c r="D15" s="530"/>
      <x:c r="E15" s="530"/>
      <x:c r="F15" s="530"/>
      <x:c r="G15" s="530"/>
      <x:c r="H15" s="530"/>
      <x:c r="I15" s="530"/>
      <x:c r="J15" s="530"/>
      <x:c r="K15" s="530"/>
      <x:c r="L15" s="530"/>
      <x:c r="M15" s="530"/>
      <x:c r="N15"/>
      <x:c r="O15"/>
      <x:c r="P15"/>
      <x:c r="Q15"/>
      <x:c r="R15"/>
      <x:c r="S15"/>
      <x:c r="T15"/>
      <x:c r="U15"/>
    </x:row>
    <x:row r="16" ht="22" customHeight="1">
      <x:c r="A16" s="530"/>
      <x:c r="B16" s="530"/>
      <x:c r="C16" s="530"/>
      <x:c r="D16" s="530"/>
      <x:c r="E16" s="530"/>
      <x:c r="F16" s="530"/>
      <x:c r="G16" s="530"/>
      <x:c r="H16" s="530"/>
      <x:c r="I16" s="530"/>
      <x:c r="J16" s="530"/>
      <x:c r="K16" s="530"/>
      <x:c r="L16" s="530"/>
      <x:c r="M16" s="530"/>
      <x:c r="N16"/>
      <x:c r="O16"/>
      <x:c r="P16"/>
      <x:c r="Q16"/>
      <x:c r="R16"/>
      <x:c r="S16"/>
      <x:c r="T16"/>
      <x:c r="U16"/>
    </x:row>
    <x:row r="17" ht="22" customHeight="1">
      <x:c r="A17" s="530"/>
      <x:c r="B17" s="530"/>
      <x:c r="C17" s="530"/>
      <x:c r="D17" s="530"/>
      <x:c r="E17" s="530"/>
      <x:c r="F17" s="530"/>
      <x:c r="G17" s="530"/>
      <x:c r="H17" s="530"/>
      <x:c r="I17" s="530"/>
      <x:c r="J17" s="530"/>
      <x:c r="K17" s="530"/>
      <x:c r="L17" s="530"/>
      <x:c r="M17" s="530"/>
      <x:c r="N17"/>
      <x:c r="O17"/>
      <x:c r="P17"/>
      <x:c r="Q17"/>
      <x:c r="R17"/>
      <x:c r="S17"/>
      <x:c r="T17"/>
      <x:c r="U17"/>
    </x:row>
    <x:row r="18" ht="22" customHeight="1">
      <x:c r="A18" s="530"/>
      <x:c r="B18" s="530"/>
      <x:c r="C18" s="530"/>
      <x:c r="D18" s="530"/>
      <x:c r="E18" s="530"/>
      <x:c r="F18" s="530"/>
      <x:c r="G18" s="530"/>
      <x:c r="H18" s="530"/>
      <x:c r="I18" s="530"/>
      <x:c r="J18" s="530"/>
      <x:c r="K18" s="530"/>
      <x:c r="L18" s="530"/>
      <x:c r="M18" s="530"/>
      <x:c r="N18"/>
      <x:c r="O18"/>
      <x:c r="P18"/>
      <x:c r="Q18"/>
      <x:c r="R18"/>
      <x:c r="S18"/>
      <x:c r="T18"/>
      <x:c r="U18"/>
    </x:row>
    <x:row r="19" ht="22" customHeight="1">
      <x:c r="A19" s="530"/>
      <x:c r="B19" s="530"/>
      <x:c r="C19" s="530"/>
      <x:c r="D19" s="530"/>
      <x:c r="E19" s="530"/>
      <x:c r="F19" s="530"/>
      <x:c r="G19" s="530"/>
      <x:c r="H19" s="530"/>
      <x:c r="I19" s="530"/>
      <x:c r="J19" s="530"/>
      <x:c r="K19" s="530"/>
      <x:c r="L19" s="530"/>
      <x:c r="M19" s="530"/>
      <x:c r="N19"/>
      <x:c r="O19"/>
      <x:c r="P19"/>
      <x:c r="Q19"/>
      <x:c r="R19"/>
      <x:c r="S19"/>
      <x:c r="T19"/>
      <x:c r="U19"/>
    </x:row>
    <x:row r="20" ht="22" customHeight="1">
      <x:c r="A20" s="530"/>
      <x:c r="B20" s="530"/>
      <x:c r="C20" s="530"/>
      <x:c r="D20" s="530"/>
      <x:c r="E20" s="530"/>
      <x:c r="F20" s="530"/>
      <x:c r="G20" s="530"/>
      <x:c r="H20" s="530"/>
      <x:c r="I20" s="530"/>
      <x:c r="J20" s="530"/>
      <x:c r="K20" s="530"/>
      <x:c r="L20" s="530"/>
      <x:c r="M20" s="530"/>
      <x:c r="N20"/>
      <x:c r="O20"/>
      <x:c r="P20"/>
      <x:c r="Q20"/>
      <x:c r="R20"/>
      <x:c r="S20"/>
      <x:c r="T20"/>
      <x:c r="U20"/>
    </x:row>
    <x:row r="21" ht="22" customHeight="1">
      <x:c r="A21" s="530"/>
      <x:c r="B21" s="530"/>
      <x:c r="C21" s="530"/>
      <x:c r="D21" s="530"/>
      <x:c r="E21" s="530"/>
      <x:c r="F21" s="530"/>
      <x:c r="G21" s="530"/>
      <x:c r="H21" s="530"/>
      <x:c r="I21" s="530"/>
      <x:c r="J21" s="530"/>
      <x:c r="K21" s="530"/>
      <x:c r="L21" s="530"/>
      <x:c r="M21" s="530"/>
      <x:c r="N21"/>
      <x:c r="O21"/>
      <x:c r="P21"/>
      <x:c r="Q21"/>
      <x:c r="R21"/>
      <x:c r="S21"/>
      <x:c r="T21"/>
      <x:c r="U21"/>
    </x:row>
    <x:row r="22" ht="22" customHeight="1">
      <x:c r="A22" s="530"/>
      <x:c r="B22" s="530"/>
      <x:c r="C22" s="530"/>
      <x:c r="D22" s="530"/>
      <x:c r="E22" s="530"/>
      <x:c r="F22" s="530"/>
      <x:c r="G22" s="530"/>
      <x:c r="H22" s="530"/>
      <x:c r="I22" s="530"/>
      <x:c r="J22" s="530"/>
      <x:c r="K22" s="530"/>
      <x:c r="L22" s="530"/>
      <x:c r="M22" s="530"/>
      <x:c r="N22"/>
      <x:c r="O22"/>
      <x:c r="P22"/>
      <x:c r="Q22"/>
      <x:c r="R22"/>
      <x:c r="S22"/>
      <x:c r="T22"/>
      <x:c r="U22"/>
    </x:row>
    <x:row r="23" ht="22" customHeight="1">
      <x:c r="A23" s="530"/>
      <x:c r="B23" s="530"/>
      <x:c r="C23" s="530"/>
      <x:c r="D23" s="530"/>
      <x:c r="E23" s="530"/>
      <x:c r="F23" s="530"/>
      <x:c r="G23" s="530"/>
      <x:c r="H23" s="530"/>
      <x:c r="I23" s="530"/>
      <x:c r="J23" s="530"/>
      <x:c r="K23" s="530"/>
      <x:c r="L23" s="530"/>
      <x:c r="M23" s="530"/>
      <x:c r="N23"/>
      <x:c r="O23"/>
      <x:c r="P23"/>
      <x:c r="Q23"/>
      <x:c r="R23"/>
      <x:c r="S23"/>
      <x:c r="T23"/>
      <x:c r="U23"/>
    </x:row>
    <x:row r="24" ht="22" customHeight="1">
      <x:c r="A24" s="530"/>
      <x:c r="B24" s="530"/>
      <x:c r="C24" s="530"/>
      <x:c r="D24" s="530"/>
      <x:c r="E24" s="530"/>
      <x:c r="F24" s="530"/>
      <x:c r="G24" s="530"/>
      <x:c r="H24" s="530"/>
      <x:c r="I24" s="530"/>
      <x:c r="J24" s="530"/>
      <x:c r="K24" s="530"/>
      <x:c r="L24" s="530"/>
      <x:c r="M24" s="530"/>
      <x:c r="N24"/>
      <x:c r="O24"/>
      <x:c r="P24"/>
      <x:c r="Q24"/>
      <x:c r="R24"/>
      <x:c r="S24"/>
      <x:c r="T24"/>
      <x:c r="U24"/>
    </x:row>
    <x:row r="25" ht="22" customHeight="1">
      <x:c r="A25" s="530"/>
      <x:c r="B25" s="530"/>
      <x:c r="C25" s="530"/>
      <x:c r="D25" s="530"/>
      <x:c r="E25" s="530"/>
      <x:c r="F25" s="530"/>
      <x:c r="G25" s="530"/>
      <x:c r="H25" s="530"/>
      <x:c r="I25" s="530"/>
      <x:c r="J25" s="530"/>
      <x:c r="K25" s="530"/>
      <x:c r="L25" s="530"/>
      <x:c r="M25" s="530"/>
      <x:c r="N25"/>
      <x:c r="O25"/>
      <x:c r="P25"/>
      <x:c r="Q25"/>
      <x:c r="R25"/>
      <x:c r="S25"/>
      <x:c r="T25"/>
      <x:c r="U25"/>
    </x:row>
    <x:row r="26" ht="22" customHeight="1">
      <x:c r="A26" s="580" t="str">
        <x:v>PERSONEL CİRO SIRALAMASI</x:v>
      </x:c>
      <x:c r="B26" s="580"/>
      <x:c r="C26" s="580"/>
      <x:c r="D26" s="580"/>
      <x:c r="E26" s="580"/>
      <x:c r="F26" s="580"/>
      <x:c r="G26" s="530"/>
      <x:c r="H26" s="580" t="str">
        <x:v>ŞEHİR KÂRLILIK KARŞILAŞTIRMASI</x:v>
      </x:c>
      <x:c r="I26" s="580"/>
      <x:c r="J26" s="580"/>
      <x:c r="K26" s="580"/>
      <x:c r="L26" s="580"/>
      <x:c r="M26" s="580"/>
      <x:c r="N26"/>
      <x:c r="O26"/>
      <x:c r="P26"/>
      <x:c r="Q26"/>
      <x:c r="R26"/>
      <x:c r="S26"/>
      <x:c r="T26"/>
      <x:c r="U26"/>
    </x:row>
    <x:row r="27" ht="22" customHeight="1">
      <x:c r="A27" s="530"/>
      <x:c r="B27" s="530"/>
      <x:c r="C27" s="530"/>
      <x:c r="D27" s="530"/>
      <x:c r="E27" s="530"/>
      <x:c r="F27" s="530"/>
      <x:c r="G27" s="530"/>
      <x:c r="H27" s="530"/>
      <x:c r="I27" s="530"/>
      <x:c r="J27" s="530"/>
      <x:c r="K27" s="530"/>
      <x:c r="L27" s="530"/>
      <x:c r="M27" s="530"/>
      <x:c r="N27"/>
      <x:c r="O27"/>
      <x:c r="P27"/>
      <x:c r="Q27"/>
      <x:c r="R27"/>
      <x:c r="S27"/>
      <x:c r="T27"/>
      <x:c r="U27"/>
    </x:row>
    <x:row r="28" ht="22" customHeight="1">
      <x:c r="A28" s="530"/>
      <x:c r="B28" s="530"/>
      <x:c r="C28" s="530"/>
      <x:c r="D28" s="530"/>
      <x:c r="E28" s="530"/>
      <x:c r="F28" s="530"/>
      <x:c r="G28" s="530"/>
      <x:c r="H28" s="530"/>
      <x:c r="I28" s="530"/>
      <x:c r="J28" s="530"/>
      <x:c r="K28" s="530"/>
      <x:c r="L28" s="530"/>
      <x:c r="M28" s="530"/>
      <x:c r="N28"/>
      <x:c r="O28"/>
      <x:c r="P28"/>
      <x:c r="Q28"/>
      <x:c r="R28"/>
      <x:c r="S28"/>
      <x:c r="T28"/>
      <x:c r="U28"/>
    </x:row>
    <x:row r="29" ht="22" customHeight="1">
      <x:c r="A29" s="530"/>
      <x:c r="B29" s="530"/>
      <x:c r="C29" s="530"/>
      <x:c r="D29" s="530"/>
      <x:c r="E29" s="530"/>
      <x:c r="F29" s="530"/>
      <x:c r="G29" s="530"/>
      <x:c r="H29" s="530"/>
      <x:c r="I29" s="530"/>
      <x:c r="J29" s="530"/>
      <x:c r="K29" s="530"/>
      <x:c r="L29" s="530"/>
      <x:c r="M29" s="530"/>
      <x:c r="N29"/>
      <x:c r="O29"/>
      <x:c r="P29"/>
      <x:c r="Q29"/>
      <x:c r="R29"/>
      <x:c r="S29"/>
      <x:c r="T29"/>
      <x:c r="U29"/>
    </x:row>
    <x:row r="30" ht="22" customHeight="1">
      <x:c r="A30" s="530"/>
      <x:c r="B30" s="530"/>
      <x:c r="C30" s="530"/>
      <x:c r="D30" s="530"/>
      <x:c r="E30" s="530"/>
      <x:c r="F30" s="530"/>
      <x:c r="G30" s="530"/>
      <x:c r="H30" s="530"/>
      <x:c r="I30" s="530"/>
      <x:c r="J30" s="530"/>
      <x:c r="K30" s="530"/>
      <x:c r="L30" s="530"/>
      <x:c r="M30" s="530"/>
      <x:c r="N30"/>
      <x:c r="O30"/>
      <x:c r="P30"/>
      <x:c r="Q30"/>
      <x:c r="R30"/>
      <x:c r="S30"/>
      <x:c r="T30"/>
      <x:c r="U30"/>
    </x:row>
    <x:row r="31" ht="22" customHeight="1">
      <x:c r="A31" s="530"/>
      <x:c r="B31" s="530"/>
      <x:c r="C31" s="530"/>
      <x:c r="D31" s="530"/>
      <x:c r="E31" s="530"/>
      <x:c r="F31" s="530"/>
      <x:c r="G31" s="530"/>
      <x:c r="H31" s="530"/>
      <x:c r="I31" s="530"/>
      <x:c r="J31" s="530"/>
      <x:c r="K31" s="530"/>
      <x:c r="L31" s="530"/>
      <x:c r="M31" s="530"/>
      <x:c r="N31"/>
      <x:c r="O31"/>
      <x:c r="P31"/>
      <x:c r="Q31"/>
      <x:c r="R31"/>
      <x:c r="S31"/>
      <x:c r="T31"/>
      <x:c r="U31"/>
    </x:row>
    <x:row r="32" ht="22" customHeight="1">
      <x:c r="A32" s="530"/>
      <x:c r="B32" s="530"/>
      <x:c r="C32" s="530"/>
      <x:c r="D32" s="530"/>
      <x:c r="E32" s="530"/>
      <x:c r="F32" s="530"/>
      <x:c r="G32" s="530"/>
      <x:c r="H32" s="530"/>
      <x:c r="I32" s="530"/>
      <x:c r="J32" s="530"/>
      <x:c r="K32" s="530"/>
      <x:c r="L32" s="530"/>
      <x:c r="M32" s="530"/>
      <x:c r="N32"/>
      <x:c r="O32"/>
      <x:c r="P32"/>
      <x:c r="Q32"/>
      <x:c r="R32"/>
      <x:c r="S32"/>
      <x:c r="T32"/>
      <x:c r="U32"/>
    </x:row>
    <x:row r="33" ht="22" customHeight="1">
      <x:c r="A33" s="530"/>
      <x:c r="B33" s="530"/>
      <x:c r="C33" s="530"/>
      <x:c r="D33" s="530"/>
      <x:c r="E33" s="530"/>
      <x:c r="F33" s="530"/>
      <x:c r="G33" s="530"/>
      <x:c r="H33" s="530"/>
      <x:c r="I33" s="530"/>
      <x:c r="J33" s="530"/>
      <x:c r="K33" s="530"/>
      <x:c r="L33" s="530"/>
      <x:c r="M33" s="530"/>
      <x:c r="N33"/>
      <x:c r="O33"/>
      <x:c r="P33"/>
      <x:c r="Q33"/>
      <x:c r="R33"/>
      <x:c r="S33"/>
      <x:c r="T33"/>
      <x:c r="U33"/>
    </x:row>
    <x:row r="34" ht="22" customHeight="1">
      <x:c r="A34" s="530"/>
      <x:c r="B34" s="530"/>
      <x:c r="C34" s="530"/>
      <x:c r="D34" s="530"/>
      <x:c r="E34" s="530"/>
      <x:c r="F34" s="530"/>
      <x:c r="G34" s="530"/>
      <x:c r="H34" s="530"/>
      <x:c r="I34" s="530"/>
      <x:c r="J34" s="530"/>
      <x:c r="K34" s="530"/>
      <x:c r="L34" s="530"/>
      <x:c r="M34" s="530"/>
      <x:c r="N34"/>
      <x:c r="O34"/>
      <x:c r="P34"/>
      <x:c r="Q34"/>
      <x:c r="R34"/>
      <x:c r="S34"/>
      <x:c r="T34"/>
      <x:c r="U34"/>
    </x:row>
    <x:row r="35" ht="22" customHeight="1">
      <x:c r="A35" s="530"/>
      <x:c r="B35" s="530"/>
      <x:c r="C35" s="530"/>
      <x:c r="D35" s="530"/>
      <x:c r="E35" s="530"/>
      <x:c r="F35" s="530"/>
      <x:c r="G35" s="530"/>
      <x:c r="H35" s="530"/>
      <x:c r="I35" s="530"/>
      <x:c r="J35" s="530"/>
      <x:c r="K35" s="530"/>
      <x:c r="L35" s="530"/>
      <x:c r="M35" s="530"/>
      <x:c r="N35"/>
      <x:c r="O35"/>
      <x:c r="P35"/>
      <x:c r="Q35"/>
      <x:c r="R35"/>
      <x:c r="S35"/>
      <x:c r="T35"/>
      <x:c r="U35"/>
    </x:row>
    <x:row r="36" ht="22" customHeight="1">
      <x:c r="A36" s="530"/>
      <x:c r="B36" s="530"/>
      <x:c r="C36" s="530"/>
      <x:c r="D36" s="530"/>
      <x:c r="E36" s="530"/>
      <x:c r="F36" s="530"/>
      <x:c r="G36" s="530"/>
      <x:c r="H36" s="530"/>
      <x:c r="I36" s="530"/>
      <x:c r="J36" s="530"/>
      <x:c r="K36" s="530"/>
      <x:c r="L36" s="530"/>
      <x:c r="M36" s="530"/>
      <x:c r="N36"/>
      <x:c r="O36"/>
      <x:c r="P36"/>
      <x:c r="Q36"/>
      <x:c r="R36"/>
      <x:c r="S36"/>
      <x:c r="T36"/>
      <x:c r="U36"/>
    </x:row>
    <x:row r="37" ht="22" customHeight="1">
      <x:c r="A37" s="530"/>
      <x:c r="B37" s="530"/>
      <x:c r="C37" s="530"/>
      <x:c r="D37" s="530"/>
      <x:c r="E37" s="530"/>
      <x:c r="F37" s="530"/>
      <x:c r="G37" s="530"/>
      <x:c r="H37" s="530"/>
      <x:c r="I37" s="530"/>
      <x:c r="J37" s="530"/>
      <x:c r="K37" s="530"/>
      <x:c r="L37" s="530"/>
      <x:c r="M37" s="530"/>
      <x:c r="N37"/>
      <x:c r="O37"/>
      <x:c r="P37"/>
      <x:c r="Q37"/>
      <x:c r="R37"/>
      <x:c r="S37"/>
      <x:c r="T37"/>
      <x:c r="U37"/>
    </x:row>
    <x:row r="38" ht="22" customHeight="1">
      <x:c r="A38" s="530"/>
      <x:c r="B38" s="530"/>
      <x:c r="C38" s="530"/>
      <x:c r="D38" s="530"/>
      <x:c r="E38" s="530"/>
      <x:c r="F38" s="530"/>
      <x:c r="G38" s="530"/>
      <x:c r="H38" s="530"/>
      <x:c r="I38" s="530"/>
      <x:c r="J38" s="530"/>
      <x:c r="K38" s="530"/>
      <x:c r="L38" s="530"/>
      <x:c r="M38" s="530"/>
      <x:c r="N38"/>
      <x:c r="O38"/>
      <x:c r="P38"/>
      <x:c r="Q38"/>
      <x:c r="R38"/>
      <x:c r="S38"/>
      <x:c r="T38"/>
      <x:c r="U38"/>
    </x:row>
    <x:row r="39" ht="22" customHeight="1">
      <x:c r="A39" s="530"/>
      <x:c r="B39" s="530"/>
      <x:c r="C39" s="530"/>
      <x:c r="D39" s="530"/>
      <x:c r="E39" s="530"/>
      <x:c r="F39" s="530"/>
      <x:c r="G39" s="530"/>
      <x:c r="H39" s="530"/>
      <x:c r="I39" s="530"/>
      <x:c r="J39" s="530"/>
      <x:c r="K39" s="530"/>
      <x:c r="L39" s="530"/>
      <x:c r="M39" s="530"/>
      <x:c r="N39"/>
      <x:c r="O39"/>
      <x:c r="P39"/>
      <x:c r="Q39"/>
      <x:c r="R39"/>
      <x:c r="S39"/>
      <x:c r="T39"/>
      <x:c r="U39"/>
    </x:row>
    <x:row r="40" ht="22" customHeight="1">
      <x:c r="A40" s="530"/>
      <x:c r="B40" s="530"/>
      <x:c r="C40" s="530"/>
      <x:c r="D40" s="530"/>
      <x:c r="E40" s="530"/>
      <x:c r="F40" s="530"/>
      <x:c r="G40" s="530"/>
      <x:c r="H40" s="530"/>
      <x:c r="I40" s="530"/>
      <x:c r="J40" s="530"/>
      <x:c r="K40" s="530"/>
      <x:c r="L40" s="530"/>
      <x:c r="M40" s="530"/>
      <x:c r="N40"/>
      <x:c r="O40"/>
      <x:c r="P40"/>
      <x:c r="Q40"/>
      <x:c r="R40"/>
      <x:c r="S40"/>
      <x:c r="T40"/>
      <x:c r="U40"/>
    </x:row>
    <x:row r="41" ht="22" customHeight="1">
      <x:c r="A41" s="530"/>
      <x:c r="B41" s="530"/>
      <x:c r="C41" s="530"/>
      <x:c r="D41" s="530"/>
      <x:c r="E41" s="530"/>
      <x:c r="F41" s="530"/>
      <x:c r="G41" s="530"/>
      <x:c r="H41" s="530"/>
      <x:c r="I41" s="530"/>
      <x:c r="J41" s="530"/>
      <x:c r="K41" s="530"/>
      <x:c r="L41" s="530"/>
      <x:c r="M41" s="530"/>
      <x:c r="N41"/>
      <x:c r="O41"/>
      <x:c r="P41"/>
      <x:c r="Q41"/>
      <x:c r="R41"/>
      <x:c r="S41"/>
      <x:c r="T41"/>
      <x:c r="U41"/>
    </x:row>
    <x:row r="42" ht="22" customHeight="1">
      <x:c r="A42" s="580" t="str">
        <x:v>TOP 5 ÜRÜN • SATIŞ ADEDİ</x:v>
      </x:c>
      <x:c r="B42" s="580"/>
      <x:c r="C42" s="580"/>
      <x:c r="D42" s="580"/>
      <x:c r="E42" s="580"/>
      <x:c r="F42" s="580"/>
      <x:c r="G42" s="530"/>
      <x:c r="H42" s="580" t="str">
        <x:v>EN KÂRLI 5 ŞEHİR / BÖLGE</x:v>
      </x:c>
      <x:c r="I42" s="580"/>
      <x:c r="J42" s="580"/>
      <x:c r="K42" s="580"/>
      <x:c r="L42" s="580"/>
      <x:c r="M42" s="580"/>
      <x:c r="N42"/>
      <x:c r="O42"/>
      <x:c r="P42"/>
      <x:c r="Q42"/>
      <x:c r="R42"/>
      <x:c r="S42"/>
      <x:c r="T42"/>
      <x:c r="U42"/>
    </x:row>
    <x:row r="43" ht="24" customHeight="1">
      <x:c r="A43" s="509" t="str">
        <x:v>Sıra</x:v>
      </x:c>
      <x:c r="B43" s="509" t="str">
        <x:v>Ürün</x:v>
      </x:c>
      <x:c r="C43" s="509" t="str">
        <x:v>Satış Adedi</x:v>
      </x:c>
      <x:c r="D43" s="509" t="str">
        <x:v>Kâr</x:v>
      </x:c>
      <x:c r="E43" s="509" t="str">
        <x:v>Marj</x:v>
      </x:c>
      <x:c r="F43" s="596"/>
      <x:c r="G43" s="596"/>
      <x:c r="H43" s="509" t="str">
        <x:v>Sıra</x:v>
      </x:c>
      <x:c r="I43" s="509" t="str">
        <x:v>Şehir</x:v>
      </x:c>
      <x:c r="J43" s="509" t="str">
        <x:v>Ciro</x:v>
      </x:c>
      <x:c r="K43" s="509" t="str">
        <x:v>Kâr</x:v>
      </x:c>
      <x:c r="L43" s="509" t="str">
        <x:v>Marj</x:v>
      </x:c>
      <x:c r="M43" s="509" t="str">
        <x:v>Risk</x:v>
      </x:c>
      <x:c r="N43"/>
      <x:c r="O43"/>
      <x:c r="P43"/>
      <x:c r="Q43"/>
      <x:c r="R43"/>
      <x:c r="S43"/>
      <x:c r="T43"/>
      <x:c r="U43"/>
    </x:row>
    <x:row r="44" ht="24" customHeight="1">
      <x:c r="A44" s="582" t="n">
        <x:f>ROW()-43</x:f>
        <x:v>1</x:v>
      </x:c>
      <x:c r="B44" s="583" t="str">
        <x:f>IFERROR(INDEX('ANALİZ'!$AL$2:$AL$24,MATCH($A44,'ANALİZ'!$AQ$2:$AQ$24,0)),"-")</x:f>
        <x:v>Çamaşır Makinesi Gri</x:v>
      </x:c>
      <x:c r="C44" s="584" t="n">
        <x:f>IFERROR(INDEX('ANALİZ'!$AM$2:$AM$24,MATCH($A44,'ANALİZ'!$AQ$2:$AQ$24,0)),0)</x:f>
        <x:v>659</x:v>
      </x:c>
      <x:c r="D44" s="585" t="n">
        <x:f>IFERROR(INDEX('ANALİZ'!$AO$2:$AO$24,MATCH($A44,'ANALİZ'!$AQ$2:$AQ$24,0)),0)</x:f>
        <x:v>1054400</x:v>
      </x:c>
      <x:c r="E44" s="586" t="n">
        <x:f>IFERROR(INDEX('ANALİZ'!$AP$2:$AP$24,MATCH($A44,'ANALİZ'!$AQ$2:$AQ$24,0)),0)</x:f>
        <x:v>0.21052631578947367</x:v>
      </x:c>
      <x:c r="F44" s="530"/>
      <x:c r="G44" s="530"/>
      <x:c r="H44" s="582" t="n">
        <x:f>ROW()-43</x:f>
        <x:v>1</x:v>
      </x:c>
      <x:c r="I44" s="583" t="str">
        <x:f>IFERROR(INDEX('ANALİZ'!$AR$2:$AR$14,MATCH($H44,'ANALİZ'!$AW$2:$AW$14,0)),"-")</x:f>
        <x:v>Adana</x:v>
      </x:c>
      <x:c r="J44" s="585" t="n">
        <x:f>IFERROR(INDEX('ANALİZ'!$AS$2:$AS$14,MATCH($H44,'ANALİZ'!$AW$2:$AW$14,0)),0)</x:f>
        <x:v>2777940</x:v>
      </x:c>
      <x:c r="K44" s="585" t="n">
        <x:f>IFERROR(INDEX('ANALİZ'!$AT$2:$AT$14,MATCH($H44,'ANALİZ'!$AW$2:$AW$14,0)),0)</x:f>
        <x:v>808240</x:v>
      </x:c>
      <x:c r="L44" s="587" t="n">
        <x:f>IFERROR(INDEX('ANALİZ'!$AU$2:$AU$14,MATCH($H44,'ANALİZ'!$AW$2:$AW$14,0)),0)</x:f>
        <x:v>0.29094940855454043</x:v>
      </x:c>
      <x:c r="M44" s="588" t="str">
        <x:f>IFERROR(INDEX('ANALİZ'!$AV$2:$AV$14,MATCH($H44,'ANALİZ'!$AW$2:$AW$14,0)),"-")</x:f>
        <x:v>Yüksek</x:v>
      </x:c>
      <x:c r="N44"/>
      <x:c r="O44"/>
      <x:c r="P44"/>
      <x:c r="Q44"/>
      <x:c r="R44"/>
      <x:c r="S44"/>
      <x:c r="T44"/>
      <x:c r="U44"/>
    </x:row>
    <x:row r="45" ht="24" customHeight="1">
      <x:c r="A45" s="589" t="n">
        <x:f>ROW()-43</x:f>
        <x:v>2</x:v>
      </x:c>
      <x:c r="B45" s="590" t="str">
        <x:f>IFERROR(INDEX('ANALİZ'!$AL$2:$AL$24,MATCH($A45,'ANALİZ'!$AQ$2:$AQ$24,0)),"-")</x:f>
        <x:v>Derin Dondurucu Gri</x:v>
      </x:c>
      <x:c r="C45" s="591" t="n">
        <x:f>IFERROR(INDEX('ANALİZ'!$AM$2:$AM$24,MATCH($A45,'ANALİZ'!$AQ$2:$AQ$24,0)),0)</x:f>
        <x:v>611</x:v>
      </x:c>
      <x:c r="D45" s="592" t="n">
        <x:f>IFERROR(INDEX('ANALİZ'!$AO$2:$AO$24,MATCH($A45,'ANALİZ'!$AQ$2:$AQ$24,0)),0)</x:f>
        <x:v>1374750</x:v>
      </x:c>
      <x:c r="E45" s="593" t="n">
        <x:f>IFERROR(INDEX('ANALİZ'!$AP$2:$AP$24,MATCH($A45,'ANALİZ'!$AQ$2:$AQ$24,0)),0)</x:f>
        <x:v>0.3103448275862069</x:v>
      </x:c>
      <x:c r="F45" s="530"/>
      <x:c r="G45" s="530"/>
      <x:c r="H45" s="589" t="n">
        <x:f>ROW()-43</x:f>
        <x:v>2</x:v>
      </x:c>
      <x:c r="I45" s="590" t="str">
        <x:f>IFERROR(INDEX('ANALİZ'!$AR$2:$AR$14,MATCH($H45,'ANALİZ'!$AW$2:$AW$14,0)),"-")</x:f>
        <x:v>Diyarbakır</x:v>
      </x:c>
      <x:c r="J45" s="592" t="n">
        <x:f>IFERROR(INDEX('ANALİZ'!$AS$2:$AS$14,MATCH($H45,'ANALİZ'!$AW$2:$AW$14,0)),0)</x:f>
        <x:v>2709440</x:v>
      </x:c>
      <x:c r="K45" s="592" t="n">
        <x:f>IFERROR(INDEX('ANALİZ'!$AT$2:$AT$14,MATCH($H45,'ANALİZ'!$AW$2:$AW$14,0)),0)</x:f>
        <x:v>793740</x:v>
      </x:c>
      <x:c r="L45" s="594" t="n">
        <x:f>IFERROR(INDEX('ANALİZ'!$AU$2:$AU$14,MATCH($H45,'ANALİZ'!$AW$2:$AW$14,0)),0)</x:f>
        <x:v>0.29295352545175385</x:v>
      </x:c>
      <x:c r="M45" s="595" t="str">
        <x:f>IFERROR(INDEX('ANALİZ'!$AV$2:$AV$14,MATCH($H45,'ANALİZ'!$AW$2:$AW$14,0)),"-")</x:f>
        <x:v>Yüksek</x:v>
      </x:c>
      <x:c r="N45"/>
      <x:c r="O45"/>
      <x:c r="P45"/>
      <x:c r="Q45"/>
      <x:c r="R45"/>
      <x:c r="S45"/>
      <x:c r="T45"/>
      <x:c r="U45"/>
    </x:row>
    <x:row r="46" ht="24" customHeight="1">
      <x:c r="A46" s="589" t="n">
        <x:f>ROW()-43</x:f>
        <x:v>3</x:v>
      </x:c>
      <x:c r="B46" s="590" t="str">
        <x:f>IFERROR(INDEX('ANALİZ'!$AL$2:$AL$24,MATCH($A46,'ANALİZ'!$AQ$2:$AQ$24,0)),"-")</x:f>
        <x:v>Tost Makinesi Gri Y Marka</x:v>
      </x:c>
      <x:c r="C46" s="591" t="n">
        <x:f>IFERROR(INDEX('ANALİZ'!$AM$2:$AM$24,MATCH($A46,'ANALİZ'!$AQ$2:$AQ$24,0)),0)</x:f>
        <x:v>492</x:v>
      </x:c>
      <x:c r="D46" s="592" t="n">
        <x:f>IFERROR(INDEX('ANALİZ'!$AO$2:$AO$24,MATCH($A46,'ANALİZ'!$AQ$2:$AQ$24,0)),0)</x:f>
        <x:v>142680</x:v>
      </x:c>
      <x:c r="E46" s="593" t="n">
        <x:f>IFERROR(INDEX('ANALİZ'!$AP$2:$AP$24,MATCH($A46,'ANALİZ'!$AQ$2:$AQ$24,0)),0)</x:f>
        <x:v>0.26605504587155965</x:v>
      </x:c>
      <x:c r="F46" s="530"/>
      <x:c r="G46" s="530"/>
      <x:c r="H46" s="589" t="n">
        <x:f>ROW()-43</x:f>
        <x:v>3</x:v>
      </x:c>
      <x:c r="I46" s="590" t="str">
        <x:f>IFERROR(INDEX('ANALİZ'!$AR$2:$AR$14,MATCH($H46,'ANALİZ'!$AW$2:$AW$14,0)),"-")</x:f>
        <x:v>Antalya</x:v>
      </x:c>
      <x:c r="J46" s="592" t="n">
        <x:f>IFERROR(INDEX('ANALİZ'!$AS$2:$AS$14,MATCH($H46,'ANALİZ'!$AW$2:$AW$14,0)),0)</x:f>
        <x:v>2534590</x:v>
      </x:c>
      <x:c r="K46" s="592" t="n">
        <x:f>IFERROR(INDEX('ANALİZ'!$AT$2:$AT$14,MATCH($H46,'ANALİZ'!$AW$2:$AW$14,0)),0)</x:f>
        <x:v>760790</x:v>
      </x:c>
      <x:c r="L46" s="594" t="n">
        <x:f>IFERROR(INDEX('ANALİZ'!$AU$2:$AU$14,MATCH($H46,'ANALİZ'!$AW$2:$AW$14,0)),0)</x:f>
        <x:v>0.3001629454862522</x:v>
      </x:c>
      <x:c r="M46" s="595" t="str">
        <x:f>IFERROR(INDEX('ANALİZ'!$AV$2:$AV$14,MATCH($H46,'ANALİZ'!$AW$2:$AW$14,0)),"-")</x:f>
        <x:v>Yüksek</x:v>
      </x:c>
      <x:c r="N46"/>
      <x:c r="O46"/>
      <x:c r="P46"/>
      <x:c r="Q46"/>
      <x:c r="R46"/>
      <x:c r="S46"/>
      <x:c r="T46"/>
      <x:c r="U46"/>
    </x:row>
    <x:row r="47" ht="24" customHeight="1">
      <x:c r="A47" s="589" t="n">
        <x:f>ROW()-43</x:f>
        <x:v>4</x:v>
      </x:c>
      <x:c r="B47" s="590" t="str">
        <x:f>IFERROR(INDEX('ANALİZ'!$AL$2:$AL$24,MATCH($A47,'ANALİZ'!$AQ$2:$AQ$24,0)),"-")</x:f>
        <x:v>Kahve Makinesi Y Marka</x:v>
      </x:c>
      <x:c r="C47" s="591" t="n">
        <x:f>IFERROR(INDEX('ANALİZ'!$AM$2:$AM$24,MATCH($A47,'ANALİZ'!$AQ$2:$AQ$24,0)),0)</x:f>
        <x:v>450</x:v>
      </x:c>
      <x:c r="D47" s="592" t="n">
        <x:f>IFERROR(INDEX('ANALİZ'!$AO$2:$AO$24,MATCH($A47,'ANALİZ'!$AQ$2:$AQ$24,0)),0)</x:f>
        <x:v>306000</x:v>
      </x:c>
      <x:c r="E47" s="593" t="n">
        <x:f>IFERROR(INDEX('ANALİZ'!$AP$2:$AP$24,MATCH($A47,'ANALİZ'!$AQ$2:$AQ$24,0)),0)</x:f>
        <x:v>0.3119266055045872</x:v>
      </x:c>
      <x:c r="F47" s="530"/>
      <x:c r="G47" s="530"/>
      <x:c r="H47" s="589" t="n">
        <x:f>ROW()-43</x:f>
        <x:v>4</x:v>
      </x:c>
      <x:c r="I47" s="590" t="str">
        <x:f>IFERROR(INDEX('ANALİZ'!$AR$2:$AR$14,MATCH($H47,'ANALİZ'!$AW$2:$AW$14,0)),"-")</x:f>
        <x:v>Bursa</x:v>
      </x:c>
      <x:c r="J47" s="592" t="n">
        <x:f>IFERROR(INDEX('ANALİZ'!$AS$2:$AS$14,MATCH($H47,'ANALİZ'!$AW$2:$AW$14,0)),0)</x:f>
        <x:v>2450585</x:v>
      </x:c>
      <x:c r="K47" s="592" t="n">
        <x:f>IFERROR(INDEX('ANALİZ'!$AT$2:$AT$14,MATCH($H47,'ANALİZ'!$AW$2:$AW$14,0)),0)</x:f>
        <x:v>756385</x:v>
      </x:c>
      <x:c r="L47" s="594" t="n">
        <x:f>IFERROR(INDEX('ANALİZ'!$AU$2:$AU$14,MATCH($H47,'ANALİZ'!$AW$2:$AW$14,0)),0)</x:f>
        <x:v>0.30865487220398397</x:v>
      </x:c>
      <x:c r="M47" s="595" t="str">
        <x:f>IFERROR(INDEX('ANALİZ'!$AV$2:$AV$14,MATCH($H47,'ANALİZ'!$AW$2:$AW$14,0)),"-")</x:f>
        <x:v>Yüksek</x:v>
      </x:c>
      <x:c r="N47"/>
      <x:c r="O47"/>
      <x:c r="P47"/>
      <x:c r="Q47"/>
      <x:c r="R47"/>
      <x:c r="S47"/>
      <x:c r="T47"/>
      <x:c r="U47"/>
    </x:row>
    <x:row r="48" ht="24" customHeight="1">
      <x:c r="A48" s="589" t="n">
        <x:f>ROW()-43</x:f>
        <x:v>5</x:v>
      </x:c>
      <x:c r="B48" s="590" t="str">
        <x:f>IFERROR(INDEX('ANALİZ'!$AL$2:$AL$24,MATCH($A48,'ANALİZ'!$AQ$2:$AQ$24,0)),"-")</x:f>
        <x:v>Davlumbaz Gri X Marka</x:v>
      </x:c>
      <x:c r="C48" s="591" t="n">
        <x:f>IFERROR(INDEX('ANALİZ'!$AM$2:$AM$24,MATCH($A48,'ANALİZ'!$AQ$2:$AQ$24,0)),0)</x:f>
        <x:v>425</x:v>
      </x:c>
      <x:c r="D48" s="592" t="n">
        <x:f>IFERROR(INDEX('ANALİZ'!$AO$2:$AO$24,MATCH($A48,'ANALİZ'!$AQ$2:$AQ$24,0)),0)</x:f>
        <x:v>293250</x:v>
      </x:c>
      <x:c r="E48" s="593" t="n">
        <x:f>IFERROR(INDEX('ANALİZ'!$AP$2:$AP$24,MATCH($A48,'ANALİZ'!$AQ$2:$AQ$24,0)),0)</x:f>
        <x:v>0.46308724832214765</x:v>
      </x:c>
      <x:c r="F48" s="530"/>
      <x:c r="G48" s="530"/>
      <x:c r="H48" s="589" t="n">
        <x:f>ROW()-43</x:f>
        <x:v>5</x:v>
      </x:c>
      <x:c r="I48" s="590" t="str">
        <x:f>IFERROR(INDEX('ANALİZ'!$AR$2:$AR$14,MATCH($H48,'ANALİZ'!$AW$2:$AW$14,0)),"-")</x:f>
        <x:v>Hatay</x:v>
      </x:c>
      <x:c r="J48" s="592" t="n">
        <x:f>IFERROR(INDEX('ANALİZ'!$AS$2:$AS$14,MATCH($H48,'ANALİZ'!$AW$2:$AW$14,0)),0)</x:f>
        <x:v>2369710</x:v>
      </x:c>
      <x:c r="K48" s="592" t="n">
        <x:f>IFERROR(INDEX('ANALİZ'!$AT$2:$AT$14,MATCH($H48,'ANALİZ'!$AW$2:$AW$14,0)),0)</x:f>
        <x:v>700610</x:v>
      </x:c>
      <x:c r="L48" s="594" t="n">
        <x:f>IFERROR(INDEX('ANALİZ'!$AU$2:$AU$14,MATCH($H48,'ANALİZ'!$AW$2:$AW$14,0)),0)</x:f>
        <x:v>0.2956522106080491</x:v>
      </x:c>
      <x:c r="M48" s="595" t="str">
        <x:f>IFERROR(INDEX('ANALİZ'!$AV$2:$AV$14,MATCH($H48,'ANALİZ'!$AW$2:$AW$14,0)),"-")</x:f>
        <x:v>Orta</x:v>
      </x:c>
      <x:c r="N48"/>
      <x:c r="O48"/>
      <x:c r="P48"/>
      <x:c r="Q48"/>
      <x:c r="R48"/>
      <x:c r="S48"/>
      <x:c r="T48"/>
      <x:c r="U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</x:row>
    <x:row r="61">
      <x:c r="A61" s="258"/>
      <x:c r="B61" s="258"/>
      <x:c r="C61" s="258"/>
      <x:c r="D61" s="258"/>
      <x:c r="E61" s="258"/>
      <x:c r="F61" s="258"/>
      <x:c r="G61" s="258"/>
      <x:c r="H61" s="258"/>
      <x:c r="I61" s="258"/>
      <x:c r="J61" s="258"/>
      <x:c r="K61" s="258"/>
      <x:c r="L61" s="258"/>
      <x:c r="M61" s="258"/>
      <x:c r="N61" s="258"/>
      <x:c r="O61" s="258"/>
      <x:c r="P61" s="258"/>
      <x:c r="Q61" s="258"/>
      <x:c r="R61" s="258"/>
      <x:c r="S61" s="258"/>
      <x:c r="T61" s="258"/>
      <x:c r="U61" s="258"/>
    </x:row>
    <x:row r="62">
      <x:c r="A62" s="258"/>
      <x:c r="B62" s="258"/>
      <x:c r="C62" s="258"/>
      <x:c r="D62" s="258"/>
      <x:c r="E62" s="258"/>
      <x:c r="F62" s="258"/>
      <x:c r="G62" s="258"/>
      <x:c r="H62" s="258"/>
      <x:c r="I62" s="258"/>
      <x:c r="J62" s="258"/>
      <x:c r="K62" s="258"/>
      <x:c r="L62" s="258"/>
      <x:c r="M62" s="258"/>
      <x:c r="N62" s="258"/>
      <x:c r="O62" s="258"/>
      <x:c r="P62" s="258"/>
      <x:c r="Q62" s="258"/>
      <x:c r="R62" s="258"/>
      <x:c r="S62" s="258"/>
      <x:c r="T62" s="258"/>
      <x:c r="U62" s="258"/>
    </x:row>
  </x:sheetData>
  <x:mergeCells>
    <x:mergeCell ref="A1:M2"/>
    <x:mergeCell ref="A4:M4"/>
    <x:mergeCell ref="A5:C5"/>
    <x:mergeCell ref="A6:C8"/>
    <x:mergeCell ref="D5:F5"/>
    <x:mergeCell ref="D6:F8"/>
    <x:mergeCell ref="H5:J5"/>
    <x:mergeCell ref="H6:J8"/>
    <x:mergeCell ref="K5:M5"/>
    <x:mergeCell ref="K6:M8"/>
    <x:mergeCell ref="A10:F10"/>
    <x:mergeCell ref="H10:M10"/>
    <x:mergeCell ref="A26:F26"/>
    <x:mergeCell ref="H26:M26"/>
    <x:mergeCell ref="A42:F42"/>
    <x:mergeCell ref="H42:M42"/>
  </x:mergeCells>
  <x:dataValidations count="10">
    <x:dataValidation type="list" sqref="B6:C6">
      <x:formula1>"Tümü,Ocak,Şubat,Mart,Nisan,Mayıs,Haziran,Temmuz,Ağustos,Eylül,Ekim,Kasım,Aralık"</x:formula1>
    </x:dataValidation>
    <x:dataValidation type="list" sqref="B8:C8">
      <x:formula1>"Tümü,Adana,Ankara,Antalya,Bursa,Diyarbakır,Gaziantep,Hatay,Kocaeli,Konya,Mersin,İstanbul,İzmir,Şanlıurfa"</x:formula1>
    </x:dataValidation>
    <x:dataValidation type="list" sqref="B10:C10">
      <x:formula1>"Tümü,Ali Kandemir,Bedriye Vural,Ferdi Dede,Gamze Erkuran,Gülşah Akbulut,Mertcan Ülker,Miraç Tüten,Reyhan Uyanık,Serdal Yücel,Yücel Öztürk,Zeynep Şen,Özgür Ertekin"</x:formula1>
    </x:dataValidation>
    <x:dataValidation type="list" sqref="B6">
      <x:formula1>ANALİZ!$V$2:$V$14</x:formula1>
    </x:dataValidation>
    <x:dataValidation type="list" sqref="B7">
      <x:formula1>ANALİZ!$W$2:$W$15</x:formula1>
    </x:dataValidation>
    <x:dataValidation type="list" sqref="E6">
      <x:formula1>ANALİZ!$X$2:$X$15</x:formula1>
    </x:dataValidation>
    <x:dataValidation type="list" sqref="B3">
      <x:formula1>'ANALİZ'!$V$2:$V$14</x:formula1>
    </x:dataValidation>
    <x:dataValidation type="list" sqref="E3">
      <x:formula1>'ANALİZ'!$W$2:$W$15</x:formula1>
    </x:dataValidation>
    <x:dataValidation type="list" sqref="I3">
      <x:formula1>'ANALİZ'!$X$2:$X$15</x:formula1>
    </x:dataValidation>
    <x:dataValidation type="list" sqref="L3">
      <x:formula1>'ANALİZ'!$Y$2:$Y$25</x:formula1>
    </x:dataValidation>
  </x:dataValidations>
  <x:pageMargins left="0.7" right="0.7" top="0.75" bottom="0.75" header="0.3" footer="0.3"/>
  <x:drawing xmlns:r="http://schemas.openxmlformats.org/officeDocument/2006/relationships" r:id="R8fa15357663d4cad"/>
  <x:extLst>
    <x:ext uri="{A8765BA9-456A-4dab-B4F3-ACF838C121DE}">
      <x14:slicerList xmlns:x14="http://schemas.microsoft.com/office/spreadsheetml/2009/9/main">
        <x14:slicer xmlns:r="http://schemas.openxmlformats.org/officeDocument/2006/relationships" r:id="R74e3972182f640bd"/>
      </x14:slicerList>
    </x:ext>
  </x:extLst>
</x:worksheet>
</file>

<file path=xl/worksheets/sheet5.xml><?xml version="1.0" encoding="utf-8"?>
<x:worksheet xmlns:x="http://schemas.openxmlformats.org/spreadsheetml/2006/main">
  <x:sheetPr>
    <x:tabColor rgb="FF0070C0"/>
  </x:sheetPr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5" hidden="0" customWidth="1"/>
    <x:col min="4" max="4" width="18" hidden="0" customWidth="1"/>
    <x:col min="5" max="5" width="12" hidden="0" customWidth="1"/>
    <x:col min="6" max="6" width="14" hidden="0" customWidth="1"/>
    <x:col min="7" max="7" width="3" hidden="0" customWidth="1"/>
    <x:col min="8" max="8" width="18" hidden="0" customWidth="1"/>
    <x:col min="9" max="9" width="18" hidden="0" customWidth="1"/>
    <x:col min="10" max="10" width="15" hidden="0" customWidth="1"/>
    <x:col min="11" max="11" width="15" hidden="0" customWidth="1"/>
    <x:col min="12" max="12" width="12" hidden="0" customWidth="1"/>
    <x:col min="13" max="13" width="14" hidden="0" customWidth="1"/>
    <x:col min="14" max="14" width="27" hidden="0" customWidth="1"/>
  </x:cols>
  <x:sheetData>
    <x:row r="1" ht="30" customHeight="1">
      <x:c r="A1" s="349" t="str">
        <x:v>YÖNETİCİ RİSK &amp; VERİMLİLİK ANALİZİ</x:v>
      </x:c>
      <x:c r="B1" s="349"/>
      <x:c r="C1" s="349"/>
      <x:c r="D1" s="349"/>
      <x:c r="E1" s="349"/>
      <x:c r="F1" s="349"/>
      <x:c r="G1" s="349"/>
      <x:c r="H1" s="349"/>
      <x:c r="I1" s="349"/>
      <x:c r="J1" s="349"/>
      <x:c r="K1" s="349"/>
      <x:c r="L1" s="349"/>
      <x:c r="M1" s="349"/>
      <x:c r="N1"/>
      <x:c r="O1"/>
      <x:c r="P1"/>
      <x:c r="Q1"/>
      <x:c r="R1"/>
      <x:c r="S1"/>
      <x:c r="T1"/>
      <x:c r="U1" s="258"/>
    </x:row>
    <x:row r="2" ht="30" customHeight="1">
      <x:c r="A2" s="349"/>
      <x:c r="B2" s="349"/>
      <x:c r="C2" s="349"/>
      <x:c r="D2" s="349"/>
      <x:c r="E2" s="349"/>
      <x:c r="F2" s="349"/>
      <x:c r="G2" s="349"/>
      <x:c r="H2" s="349"/>
      <x:c r="I2" s="349"/>
      <x:c r="J2" s="349"/>
      <x:c r="K2" s="349"/>
      <x:c r="L2" s="349"/>
      <x:c r="M2" s="349"/>
      <x:c r="N2"/>
      <x:c r="O2"/>
      <x:c r="P2"/>
      <x:c r="Q2"/>
      <x:c r="R2"/>
      <x:c r="S2"/>
      <x:c r="T2"/>
      <x:c r="U2" s="258"/>
    </x:row>
    <x:row r="3" ht="26" customHeight="1">
      <x:c r="A3" s="352" t="str">
        <x:v>Risk Son Dönem</x:v>
      </x:c>
      <x:c r="B3" s="356" t="str">
        <x:v>Aralık</x:v>
      </x:c>
      <x:c r="C3" s="346"/>
      <x:c r="D3" s="352" t="str">
        <x:v>Önceki Dönem</x:v>
      </x:c>
      <x:c r="E3" s="356" t="str">
        <x:v>Kasım</x:v>
      </x:c>
      <x:c r="F3" s="346"/>
      <x:c r="G3" s="346"/>
      <x:c r="H3" s="352" t="str">
        <x:v>Yüksek Risk Eşiği</x:v>
      </x:c>
      <x:c r="I3" s="356" t="n">
        <x:v>4</x:v>
      </x:c>
      <x:c r="J3" s="346"/>
      <x:c r="K3" s="346"/>
      <x:c r="L3" s="346"/>
      <x:c r="M3" s="346"/>
      <x:c r="N3"/>
      <x:c r="O3"/>
      <x:c r="P3"/>
      <x:c r="Q3"/>
      <x:c r="R3"/>
      <x:c r="S3"/>
      <x:c r="T3"/>
      <x:c r="U3" s="258"/>
    </x:row>
    <x:row r="4" ht="22" customHeight="1">
      <x:c r="A4" s="358" t="str">
        <x:f>"Seçili dönem: "&amp;B3&amp;" | Karşılaştırma: "&amp;E3&amp;" | Yüksek risk: skor ≥ "&amp;TEXT(I3,"0")&amp;" | Orta risk: 2–"&amp;TEXT(I3-1,"0")</x:f>
        <x:v>Seçili dönem: Aralık | Karşılaştırma: Kasım | Yüksek risk: skor ≥ 4 | Orta risk: 2–3</x:v>
      </x:c>
      <x:c r="B4" s="358"/>
      <x:c r="C4" s="358"/>
      <x:c r="D4" s="358"/>
      <x:c r="E4" s="358"/>
      <x:c r="F4" s="358"/>
      <x:c r="G4" s="358"/>
      <x:c r="H4" s="358"/>
      <x:c r="I4" s="358"/>
      <x:c r="J4" s="358"/>
      <x:c r="K4" s="358"/>
      <x:c r="L4" s="358"/>
      <x:c r="M4" s="358"/>
      <x:c r="N4"/>
      <x:c r="O4"/>
      <x:c r="P4"/>
      <x:c r="Q4"/>
      <x:c r="R4"/>
      <x:c r="S4"/>
      <x:c r="T4"/>
      <x:c r="U4" s="258"/>
    </x:row>
    <x:row r="5" ht="22" customHeight="1">
      <x:c r="A5" s="472" t="str">
        <x:v>YÜKSEK RİSKLİ PERSONEL</x:v>
      </x:c>
      <x:c r="B5" s="473"/>
      <x:c r="C5" s="474"/>
      <x:c r="D5" s="472" t="str">
        <x:v>YÜKSEK RİSKLİ ŞEHİR</x:v>
      </x:c>
      <x:c r="E5" s="473"/>
      <x:c r="F5" s="474"/>
      <x:c r="G5" s="346"/>
      <x:c r="H5" s="436" t="str">
        <x:v>ORT. PERSONEL RİSK SKORU</x:v>
      </x:c>
      <x:c r="I5" s="437"/>
      <x:c r="J5" s="438"/>
      <x:c r="K5" s="364" t="str">
        <x:v>KRİTİK MARJLI ŞEHİR</x:v>
      </x:c>
      <x:c r="L5" s="365"/>
      <x:c r="M5" s="366"/>
      <x:c r="N5"/>
      <x:c r="O5"/>
      <x:c r="P5"/>
      <x:c r="Q5"/>
      <x:c r="R5"/>
      <x:c r="S5"/>
      <x:c r="T5"/>
      <x:c r="U5" s="258"/>
    </x:row>
    <x:row r="6" ht="27" customHeight="1">
      <x:c r="A6" s="494" t="n">
        <x:f>IFERROR(COUNTIF('ANALİZ'!$Q$33:$Q$45,"Yüksek"),0)</x:f>
        <x:v>4</x:v>
      </x:c>
      <x:c r="B6" s="495"/>
      <x:c r="C6" s="496"/>
      <x:c r="D6" s="494" t="n">
        <x:f>IFERROR(COUNTIF('ANALİZ'!$Q$50:$Q$62,"Yüksek"),0)</x:f>
        <x:v>4</x:v>
      </x:c>
      <x:c r="E6" s="495"/>
      <x:c r="F6" s="496"/>
      <x:c r="G6" s="346"/>
      <x:c r="H6" s="606" t="n">
        <x:f>IFERROR(AVERAGE('ANALİZ'!$P$33:$P$45),0)</x:f>
        <x:v>1.9230769230769231</x:v>
      </x:c>
      <x:c r="I6" s="607"/>
      <x:c r="J6" s="608"/>
      <x:c r="K6" s="624" t="n">
        <x:f>IFERROR(COUNTIF('ANALİZ'!$M$50:$M$62,"&lt;"&amp;'ANALİZ'!$B$9),0)</x:f>
        <x:v>0</x:v>
      </x:c>
      <x:c r="L6" s="625"/>
      <x:c r="M6" s="626"/>
      <x:c r="N6"/>
      <x:c r="O6"/>
      <x:c r="P6"/>
      <x:c r="Q6"/>
      <x:c r="R6"/>
      <x:c r="S6"/>
      <x:c r="T6"/>
      <x:c r="U6" s="258"/>
    </x:row>
    <x:row r="7" ht="27" customHeight="1">
      <x:c r="A7" s="497"/>
      <x:c r="B7" s="498"/>
      <x:c r="C7" s="499"/>
      <x:c r="D7" s="497"/>
      <x:c r="E7" s="498"/>
      <x:c r="F7" s="499"/>
      <x:c r="G7" s="346"/>
      <x:c r="H7" s="609"/>
      <x:c r="I7" s="610"/>
      <x:c r="J7" s="611"/>
      <x:c r="K7" s="627"/>
      <x:c r="L7" s="628"/>
      <x:c r="M7" s="629"/>
      <x:c r="N7"/>
      <x:c r="O7"/>
      <x:c r="P7"/>
      <x:c r="Q7"/>
      <x:c r="R7"/>
      <x:c r="S7"/>
      <x:c r="T7"/>
      <x:c r="U7" s="258"/>
    </x:row>
    <x:row r="8" ht="27" customHeight="1">
      <x:c r="A8" s="500"/>
      <x:c r="B8" s="501"/>
      <x:c r="C8" s="502"/>
      <x:c r="D8" s="500"/>
      <x:c r="E8" s="501"/>
      <x:c r="F8" s="502"/>
      <x:c r="G8" s="346"/>
      <x:c r="H8" s="612"/>
      <x:c r="I8" s="613"/>
      <x:c r="J8" s="614"/>
      <x:c r="K8" s="630"/>
      <x:c r="L8" s="631"/>
      <x:c r="M8" s="632"/>
      <x:c r="N8"/>
      <x:c r="O8"/>
      <x:c r="P8"/>
      <x:c r="Q8"/>
      <x:c r="R8"/>
      <x:c r="S8"/>
      <x:c r="T8"/>
      <x:c r="U8" s="258"/>
    </x:row>
    <x:row r="9" ht="22" customHeight="1">
      <x:c r="A9" s="346"/>
      <x:c r="B9" s="346"/>
      <x:c r="C9" s="346"/>
      <x:c r="D9" s="346"/>
      <x:c r="E9" s="346"/>
      <x:c r="F9" s="346"/>
      <x:c r="G9" s="346"/>
      <x:c r="H9" s="346"/>
      <x:c r="I9" s="346"/>
      <x:c r="J9" s="346"/>
      <x:c r="K9" s="346"/>
      <x:c r="L9" s="346"/>
      <x:c r="M9" s="346"/>
      <x:c r="N9"/>
      <x:c r="O9"/>
      <x:c r="P9"/>
      <x:c r="Q9"/>
      <x:c r="R9"/>
      <x:c r="S9"/>
      <x:c r="T9"/>
      <x:c r="U9" s="258"/>
    </x:row>
    <x:row r="10" ht="24" customHeight="1">
      <x:c r="A10" s="509" t="str">
        <x:v>Personel</x:v>
      </x:c>
      <x:c r="B10" s="509" t="str">
        <x:v>Son Dönem Ciro</x:v>
      </x:c>
      <x:c r="C10" s="509" t="str">
        <x:v>Hedef Sapması</x:v>
      </x:c>
      <x:c r="D10" s="509" t="str">
        <x:v>Hedef Durumu</x:v>
      </x:c>
      <x:c r="E10" s="509" t="str">
        <x:v>Risk Skoru</x:v>
      </x:c>
      <x:c r="F10" s="509" t="str">
        <x:v>Risk Seviyesi</x:v>
      </x:c>
      <x:c r="G10" s="346"/>
      <x:c r="H10" s="509" t="str">
        <x:v>Şehir</x:v>
      </x:c>
      <x:c r="I10" s="509" t="str">
        <x:v>Ciro</x:v>
      </x:c>
      <x:c r="J10" s="509" t="str">
        <x:v>Kâr Marjı</x:v>
      </x:c>
      <x:c r="K10" s="509" t="str">
        <x:v>Konsantrasyon</x:v>
      </x:c>
      <x:c r="L10" s="509" t="str">
        <x:v>Risk Skoru</x:v>
      </x:c>
      <x:c r="M10" s="509" t="str">
        <x:v>Risk Seviyesi</x:v>
      </x:c>
      <x:c r="N10"/>
      <x:c r="O10"/>
      <x:c r="P10"/>
      <x:c r="Q10"/>
      <x:c r="R10"/>
      <x:c r="S10"/>
      <x:c r="T10"/>
      <x:c r="U10" s="258"/>
    </x:row>
    <x:row r="11" ht="24" customHeight="1">
      <x:c r="A11" s="511" t="str">
        <x:f>IFERROR(INDEX('ANALİZ'!$K$33:$K$45,ROW()-10),"-")</x:f>
        <x:v>Ali Kandemir</x:v>
      </x:c>
      <x:c r="B11" s="521" t="n">
        <x:f>IFERROR(INDEX('ANALİZ'!$L$33:$L$45,MATCH($A11,'ANALİZ'!$K$33:$K$45,0)),0)</x:f>
        <x:v>194780</x:v>
      </x:c>
      <x:c r="C11" s="525" t="n">
        <x:f>IFERROR(INDEX('ANALİZ'!$N$33:$N$45,MATCH($A11,'ANALİZ'!$K$33:$K$45,0)),0)</x:f>
        <x:v>-0.0324375341513089</x:v>
      </x:c>
      <x:c r="D11" s="512" t="str">
        <x:f>IFERROR(INDEX('ANALİZ'!$O$33:$O$45,MATCH($A11,'ANALİZ'!$K$33:$K$45,0)),"-")</x:f>
        <x:v>Hedef Altı</x:v>
      </x:c>
      <x:c r="E11" s="633" t="n">
        <x:f>IFERROR(INDEX('ANALİZ'!$P$33:$P$45,MATCH($A11,'ANALİZ'!$K$33:$K$45,0)),0)</x:f>
        <x:v>4</x:v>
      </x:c>
      <x:c r="F11" s="513" t="str">
        <x:f>IFERROR(INDEX('ANALİZ'!$Q$33:$Q$45,MATCH($A11,'ANALİZ'!$K$33:$K$45,0)),"-")</x:f>
        <x:v>Yüksek</x:v>
      </x:c>
      <x:c r="G11" s="346"/>
      <x:c r="H11" s="511" t="str">
        <x:f>IFERROR(INDEX('ANALİZ'!$K$50:$K$62,ROW()-10),"-")</x:f>
        <x:v>Adana</x:v>
      </x:c>
      <x:c r="I11" s="521" t="n">
        <x:f>IFERROR(INDEX('ANALİZ'!$L$50:$L$62,MATCH($H11,'ANALİZ'!$K$50:$K$62,0)),0)</x:f>
        <x:v>2777940</x:v>
      </x:c>
      <x:c r="J11" s="525" t="n">
        <x:f>IFERROR(INDEX('ANALİZ'!$M$50:$M$62,MATCH($H11,'ANALİZ'!$K$50:$K$62,0)),0)</x:f>
        <x:v>0.29094940855454043</x:v>
      </x:c>
      <x:c r="K11" s="525" t="n">
        <x:f>IFERROR(INDEX('ANALİZ'!$N$50:$N$62,MATCH($H11,'ANALİZ'!$K$50:$K$62,0)),0)</x:f>
        <x:v>0.09127687374226673</x:v>
      </x:c>
      <x:c r="L11" s="633" t="n">
        <x:f>IFERROR(INDEX('ANALİZ'!$P$50:$P$62,MATCH($H11,'ANALİZ'!$K$50:$K$62,0)),0)</x:f>
        <x:v>5</x:v>
      </x:c>
      <x:c r="M11" s="513" t="str">
        <x:f>IFERROR(INDEX('ANALİZ'!$Q$50:$Q$62,MATCH($H11,'ANALİZ'!$K$50:$K$62,0)),"-")</x:f>
        <x:v>Yüksek</x:v>
      </x:c>
      <x:c r="N11"/>
      <x:c r="O11"/>
      <x:c r="P11"/>
      <x:c r="Q11"/>
      <x:c r="R11"/>
      <x:c r="S11"/>
      <x:c r="T11"/>
      <x:c r="U11" s="258"/>
    </x:row>
    <x:row r="12" ht="24" customHeight="1">
      <x:c r="A12" s="514" t="str">
        <x:f>IFERROR(INDEX('ANALİZ'!$K$33:$K$45,ROW()-10),"-")</x:f>
        <x:v>Bedriye Vural</x:v>
      </x:c>
      <x:c r="B12" s="522" t="n">
        <x:f>IFERROR(INDEX('ANALİZ'!$L$33:$L$45,MATCH($A12,'ANALİZ'!$K$33:$K$45,0)),0)</x:f>
        <x:v>286460</x:v>
      </x:c>
      <x:c r="C12" s="526" t="n">
        <x:f>IFERROR(INDEX('ANALİZ'!$N$33:$N$45,MATCH($A12,'ANALİZ'!$K$33:$K$45,0)),0)</x:f>
        <x:v>0.36976999952182843</x:v>
      </x:c>
      <x:c r="D12" s="515" t="str">
        <x:f>IFERROR(INDEX('ANALİZ'!$O$33:$O$45,MATCH($A12,'ANALİZ'!$K$33:$K$45,0)),"-")</x:f>
        <x:v>Hedef Üstü</x:v>
      </x:c>
      <x:c r="E12" s="634" t="n">
        <x:f>IFERROR(INDEX('ANALİZ'!$P$33:$P$45,MATCH($A12,'ANALİZ'!$K$33:$K$45,0)),0)</x:f>
        <x:v>1</x:v>
      </x:c>
      <x:c r="F12" s="516" t="str">
        <x:f>IFERROR(INDEX('ANALİZ'!$Q$33:$Q$45,MATCH($A12,'ANALİZ'!$K$33:$K$45,0)),"-")</x:f>
        <x:v>Düşük</x:v>
      </x:c>
      <x:c r="G12" s="346"/>
      <x:c r="H12" s="514" t="str">
        <x:f>IFERROR(INDEX('ANALİZ'!$K$50:$K$62,ROW()-10),"-")</x:f>
        <x:v>Ankara</x:v>
      </x:c>
      <x:c r="I12" s="522" t="n">
        <x:f>IFERROR(INDEX('ANALİZ'!$L$50:$L$62,MATCH($H12,'ANALİZ'!$K$50:$K$62,0)),0)</x:f>
        <x:v>2216245</x:v>
      </x:c>
      <x:c r="J12" s="526" t="n">
        <x:f>IFERROR(INDEX('ANALİZ'!$M$50:$M$62,MATCH($H12,'ANALİZ'!$K$50:$K$62,0)),0)</x:f>
        <x:v>0.30959799119682163</x:v>
      </x:c>
      <x:c r="K12" s="526" t="n">
        <x:f>IFERROR(INDEX('ANALİZ'!$N$50:$N$62,MATCH($H12,'ANALİZ'!$K$50:$K$62,0)),0)</x:f>
        <x:v>0.07282083668003266</x:v>
      </x:c>
      <x:c r="L12" s="634" t="n">
        <x:f>IFERROR(INDEX('ANALİZ'!$P$50:$P$62,MATCH($H12,'ANALİZ'!$K$50:$K$62,0)),0)</x:f>
        <x:v>1</x:v>
      </x:c>
      <x:c r="M12" s="516" t="str">
        <x:f>IFERROR(INDEX('ANALİZ'!$Q$50:$Q$62,MATCH($H12,'ANALİZ'!$K$50:$K$62,0)),"-")</x:f>
        <x:v>Düşük</x:v>
      </x:c>
      <x:c r="N12"/>
      <x:c r="O12"/>
      <x:c r="P12"/>
      <x:c r="Q12"/>
      <x:c r="R12"/>
      <x:c r="S12"/>
      <x:c r="T12"/>
      <x:c r="U12" s="258"/>
    </x:row>
    <x:row r="13" ht="24" customHeight="1">
      <x:c r="A13" s="514" t="str">
        <x:f>IFERROR(INDEX('ANALİZ'!$K$33:$K$45,ROW()-10),"-")</x:f>
        <x:v>Bilinmeyen Personel</x:v>
      </x:c>
      <x:c r="B13" s="522" t="n">
        <x:f>IFERROR(INDEX('ANALİZ'!$L$33:$L$45,MATCH($A13,'ANALİZ'!$K$33:$K$45,0)),0)</x:f>
        <x:v>0</x:v>
      </x:c>
      <x:c r="C13" s="526" t="n">
        <x:f>IFERROR(INDEX('ANALİZ'!$N$33:$N$45,MATCH($A13,'ANALİZ'!$K$33:$K$45,0)),0)</x:f>
        <x:v>0</x:v>
      </x:c>
      <x:c r="D13" s="515" t="str">
        <x:f>IFERROR(INDEX('ANALİZ'!$O$33:$O$45,MATCH($A13,'ANALİZ'!$K$33:$K$45,0)),"-")</x:f>
        <x:v>Hedef Altı</x:v>
      </x:c>
      <x:c r="E13" s="634" t="n">
        <x:f>IFERROR(INDEX('ANALİZ'!$P$33:$P$45,MATCH($A13,'ANALİZ'!$K$33:$K$45,0)),0)</x:f>
        <x:v>4</x:v>
      </x:c>
      <x:c r="F13" s="516" t="str">
        <x:f>IFERROR(INDEX('ANALİZ'!$Q$33:$Q$45,MATCH($A13,'ANALİZ'!$K$33:$K$45,0)),"-")</x:f>
        <x:v>Yüksek</x:v>
      </x:c>
      <x:c r="G13" s="346"/>
      <x:c r="H13" s="514" t="str">
        <x:f>IFERROR(INDEX('ANALİZ'!$K$50:$K$62,ROW()-10),"-")</x:f>
        <x:v>Antalya</x:v>
      </x:c>
      <x:c r="I13" s="522" t="n">
        <x:f>IFERROR(INDEX('ANALİZ'!$L$50:$L$62,MATCH($H13,'ANALİZ'!$K$50:$K$62,0)),0)</x:f>
        <x:v>2534590</x:v>
      </x:c>
      <x:c r="J13" s="526" t="n">
        <x:f>IFERROR(INDEX('ANALİZ'!$M$50:$M$62,MATCH($H13,'ANALİZ'!$K$50:$K$62,0)),0)</x:f>
        <x:v>0.3001629454862522</x:v>
      </x:c>
      <x:c r="K13" s="526" t="n">
        <x:f>IFERROR(INDEX('ANALİZ'!$N$50:$N$62,MATCH($H13,'ANALİZ'!$K$50:$K$62,0)),0)</x:f>
        <x:v>0.08328093890379627</x:v>
      </x:c>
      <x:c r="L13" s="634" t="n">
        <x:f>IFERROR(INDEX('ANALİZ'!$P$50:$P$62,MATCH($H13,'ANALİZ'!$K$50:$K$62,0)),0)</x:f>
        <x:v>5</x:v>
      </x:c>
      <x:c r="M13" s="516" t="str">
        <x:f>IFERROR(INDEX('ANALİZ'!$Q$50:$Q$62,MATCH($H13,'ANALİZ'!$K$50:$K$62,0)),"-")</x:f>
        <x:v>Yüksek</x:v>
      </x:c>
      <x:c r="N13"/>
      <x:c r="O13"/>
      <x:c r="P13"/>
      <x:c r="Q13"/>
      <x:c r="R13"/>
      <x:c r="S13"/>
      <x:c r="T13"/>
      <x:c r="U13" s="258"/>
    </x:row>
    <x:row r="14" ht="24" customHeight="1">
      <x:c r="A14" s="514" t="str">
        <x:f>IFERROR(INDEX('ANALİZ'!$K$33:$K$45,ROW()-10),"-")</x:f>
        <x:v>Ferdi Dede</x:v>
      </x:c>
      <x:c r="B14" s="522" t="n">
        <x:f>IFERROR(INDEX('ANALİZ'!$L$33:$L$45,MATCH($A14,'ANALİZ'!$K$33:$K$45,0)),0)</x:f>
        <x:v>192490</x:v>
      </x:c>
      <x:c r="C14" s="526" t="n">
        <x:f>IFERROR(INDEX('ANALİZ'!$N$33:$N$45,MATCH($A14,'ANALİZ'!$K$33:$K$45,0)),0)</x:f>
        <x:v>0.11646656226436991</x:v>
      </x:c>
      <x:c r="D14" s="515" t="str">
        <x:f>IFERROR(INDEX('ANALİZ'!$O$33:$O$45,MATCH($A14,'ANALİZ'!$K$33:$K$45,0)),"-")</x:f>
        <x:v>Hedef Altı</x:v>
      </x:c>
      <x:c r="E14" s="634" t="n">
        <x:f>IFERROR(INDEX('ANALİZ'!$P$33:$P$45,MATCH($A14,'ANALİZ'!$K$33:$K$45,0)),0)</x:f>
        <x:v>4</x:v>
      </x:c>
      <x:c r="F14" s="516" t="str">
        <x:f>IFERROR(INDEX('ANALİZ'!$Q$33:$Q$45,MATCH($A14,'ANALİZ'!$K$33:$K$45,0)),"-")</x:f>
        <x:v>Yüksek</x:v>
      </x:c>
      <x:c r="G14" s="346"/>
      <x:c r="H14" s="514" t="str">
        <x:f>IFERROR(INDEX('ANALİZ'!$K$50:$K$62,ROW()-10),"-")</x:f>
        <x:v>Bursa</x:v>
      </x:c>
      <x:c r="I14" s="522" t="n">
        <x:f>IFERROR(INDEX('ANALİZ'!$L$50:$L$62,MATCH($H14,'ANALİZ'!$K$50:$K$62,0)),0)</x:f>
        <x:v>2450585</x:v>
      </x:c>
      <x:c r="J14" s="526" t="n">
        <x:f>IFERROR(INDEX('ANALİZ'!$M$50:$M$62,MATCH($H14,'ANALİZ'!$K$50:$K$62,0)),0)</x:f>
        <x:v>0.30865487220398397</x:v>
      </x:c>
      <x:c r="K14" s="526" t="n">
        <x:f>IFERROR(INDEX('ANALİZ'!$N$50:$N$62,MATCH($H14,'ANALİZ'!$K$50:$K$62,0)),0)</x:f>
        <x:v>0.080520723140058</x:v>
      </x:c>
      <x:c r="L14" s="634" t="n">
        <x:f>IFERROR(INDEX('ANALİZ'!$P$50:$P$62,MATCH($H14,'ANALİZ'!$K$50:$K$62,0)),0)</x:f>
        <x:v>5</x:v>
      </x:c>
      <x:c r="M14" s="516" t="str">
        <x:f>IFERROR(INDEX('ANALİZ'!$Q$50:$Q$62,MATCH($H14,'ANALİZ'!$K$50:$K$62,0)),"-")</x:f>
        <x:v>Yüksek</x:v>
      </x:c>
      <x:c r="N14"/>
      <x:c r="O14"/>
      <x:c r="P14"/>
      <x:c r="Q14"/>
      <x:c r="R14"/>
      <x:c r="S14"/>
      <x:c r="T14"/>
      <x:c r="U14" s="258"/>
    </x:row>
    <x:row r="15" ht="24" customHeight="1">
      <x:c r="A15" s="514" t="str">
        <x:f>IFERROR(INDEX('ANALİZ'!$K$33:$K$45,ROW()-10),"-")</x:f>
        <x:v>Gamze Erkuran</x:v>
      </x:c>
      <x:c r="B15" s="522" t="n">
        <x:f>IFERROR(INDEX('ANALİZ'!$L$33:$L$45,MATCH($A15,'ANALİZ'!$K$33:$K$45,0)),0)</x:f>
        <x:v>88580</x:v>
      </x:c>
      <x:c r="C15" s="526" t="n">
        <x:f>IFERROR(INDEX('ANALİZ'!$N$33:$N$45,MATCH($A15,'ANALİZ'!$K$33:$K$45,0)),0)</x:f>
        <x:v>1.4268493150684933</x:v>
      </x:c>
      <x:c r="D15" s="515" t="str">
        <x:f>IFERROR(INDEX('ANALİZ'!$O$33:$O$45,MATCH($A15,'ANALİZ'!$K$33:$K$45,0)),"-")</x:f>
        <x:v>Hedef Altı</x:v>
      </x:c>
      <x:c r="E15" s="634" t="n">
        <x:f>IFERROR(INDEX('ANALİZ'!$P$33:$P$45,MATCH($A15,'ANALİZ'!$K$33:$K$45,0)),0)</x:f>
        <x:v>4</x:v>
      </x:c>
      <x:c r="F15" s="516" t="str">
        <x:f>IFERROR(INDEX('ANALİZ'!$Q$33:$Q$45,MATCH($A15,'ANALİZ'!$K$33:$K$45,0)),"-")</x:f>
        <x:v>Yüksek</x:v>
      </x:c>
      <x:c r="G15" s="346"/>
      <x:c r="H15" s="514" t="str">
        <x:f>IFERROR(INDEX('ANALİZ'!$K$50:$K$62,ROW()-10),"-")</x:f>
        <x:v>Diyarbakır</x:v>
      </x:c>
      <x:c r="I15" s="522" t="n">
        <x:f>IFERROR(INDEX('ANALİZ'!$L$50:$L$62,MATCH($H15,'ANALİZ'!$K$50:$K$62,0)),0)</x:f>
        <x:v>2709440</x:v>
      </x:c>
      <x:c r="J15" s="526" t="n">
        <x:f>IFERROR(INDEX('ANALİZ'!$M$50:$M$62,MATCH($H15,'ANALİZ'!$K$50:$K$62,0)),0)</x:f>
        <x:v>0.29295352545175385</x:v>
      </x:c>
      <x:c r="K15" s="526" t="n">
        <x:f>IFERROR(INDEX('ANALİZ'!$N$50:$N$62,MATCH($H15,'ANALİZ'!$K$50:$K$62,0)),0)</x:f>
        <x:v>0.08902611747994814</x:v>
      </x:c>
      <x:c r="L15" s="634" t="n">
        <x:f>IFERROR(INDEX('ANALİZ'!$P$50:$P$62,MATCH($H15,'ANALİZ'!$K$50:$K$62,0)),0)</x:f>
        <x:v>5</x:v>
      </x:c>
      <x:c r="M15" s="516" t="str">
        <x:f>IFERROR(INDEX('ANALİZ'!$Q$50:$Q$62,MATCH($H15,'ANALİZ'!$K$50:$K$62,0)),"-")</x:f>
        <x:v>Yüksek</x:v>
      </x:c>
      <x:c r="N15"/>
      <x:c r="O15"/>
      <x:c r="P15"/>
      <x:c r="Q15"/>
      <x:c r="R15"/>
      <x:c r="S15"/>
      <x:c r="T15"/>
      <x:c r="U15" s="258"/>
    </x:row>
    <x:row r="16" ht="24" customHeight="1">
      <x:c r="A16" s="514" t="str">
        <x:f>IFERROR(INDEX('ANALİZ'!$K$33:$K$45,ROW()-10),"-")</x:f>
        <x:v>Gülşah Akbulut</x:v>
      </x:c>
      <x:c r="B16" s="522" t="n">
        <x:f>IFERROR(INDEX('ANALİZ'!$L$33:$L$45,MATCH($A16,'ANALİZ'!$K$33:$K$45,0)),0)</x:f>
        <x:v>312190</x:v>
      </x:c>
      <x:c r="C16" s="526" t="n">
        <x:f>IFERROR(INDEX('ANALİZ'!$N$33:$N$45,MATCH($A16,'ANALİZ'!$K$33:$K$45,0)),0)</x:f>
        <x:v>0.7849628359062322</x:v>
      </x:c>
      <x:c r="D16" s="515" t="str">
        <x:f>IFERROR(INDEX('ANALİZ'!$O$33:$O$45,MATCH($A16,'ANALİZ'!$K$33:$K$45,0)),"-")</x:f>
        <x:v>Hedef Üstü</x:v>
      </x:c>
      <x:c r="E16" s="634" t="n">
        <x:f>IFERROR(INDEX('ANALİZ'!$P$33:$P$45,MATCH($A16,'ANALİZ'!$K$33:$K$45,0)),0)</x:f>
        <x:v>1</x:v>
      </x:c>
      <x:c r="F16" s="516" t="str">
        <x:f>IFERROR(INDEX('ANALİZ'!$Q$33:$Q$45,MATCH($A16,'ANALİZ'!$K$33:$K$45,0)),"-")</x:f>
        <x:v>Düşük</x:v>
      </x:c>
      <x:c r="G16" s="346"/>
      <x:c r="H16" s="514" t="str">
        <x:f>IFERROR(INDEX('ANALİZ'!$K$50:$K$62,ROW()-10),"-")</x:f>
        <x:v>Gaziantep</x:v>
      </x:c>
      <x:c r="I16" s="522" t="n">
        <x:f>IFERROR(INDEX('ANALİZ'!$L$50:$L$62,MATCH($H16,'ANALİZ'!$K$50:$K$62,0)),0)</x:f>
        <x:v>2277785</x:v>
      </x:c>
      <x:c r="J16" s="526" t="n">
        <x:f>IFERROR(INDEX('ANALİZ'!$M$50:$M$62,MATCH($H16,'ANALİZ'!$K$50:$K$62,0)),0)</x:f>
        <x:v>0.2981778350458889</x:v>
      </x:c>
      <x:c r="K16" s="526" t="n">
        <x:f>IFERROR(INDEX('ANALİZ'!$N$50:$N$62,MATCH($H16,'ANALİZ'!$K$50:$K$62,0)),0)</x:f>
        <x:v>0.0748429029629974</x:v>
      </x:c>
      <x:c r="L16" s="634" t="n">
        <x:f>IFERROR(INDEX('ANALİZ'!$P$50:$P$62,MATCH($H16,'ANALİZ'!$K$50:$K$62,0)),0)</x:f>
        <x:v>1</x:v>
      </x:c>
      <x:c r="M16" s="516" t="str">
        <x:f>IFERROR(INDEX('ANALİZ'!$Q$50:$Q$62,MATCH($H16,'ANALİZ'!$K$50:$K$62,0)),"-")</x:f>
        <x:v>Düşük</x:v>
      </x:c>
      <x:c r="N16"/>
      <x:c r="O16"/>
      <x:c r="P16"/>
      <x:c r="Q16"/>
      <x:c r="R16"/>
      <x:c r="S16"/>
      <x:c r="T16"/>
      <x:c r="U16" s="258"/>
    </x:row>
    <x:row r="17" ht="24" customHeight="1">
      <x:c r="A17" s="514" t="str">
        <x:f>IFERROR(INDEX('ANALİZ'!$K$33:$K$45,ROW()-10),"-")</x:f>
        <x:v>Mertcan Ülker</x:v>
      </x:c>
      <x:c r="B17" s="522" t="n">
        <x:f>IFERROR(INDEX('ANALİZ'!$L$33:$L$45,MATCH($A17,'ANALİZ'!$K$33:$K$45,0)),0)</x:f>
        <x:v>202460</x:v>
      </x:c>
      <x:c r="C17" s="526" t="n">
        <x:f>IFERROR(INDEX('ANALİZ'!$N$33:$N$45,MATCH($A17,'ANALİZ'!$K$33:$K$45,0)),0)</x:f>
        <x:v>0.0800746865830888</x:v>
      </x:c>
      <x:c r="D17" s="515" t="str">
        <x:f>IFERROR(INDEX('ANALİZ'!$O$33:$O$45,MATCH($A17,'ANALİZ'!$K$33:$K$45,0)),"-")</x:f>
        <x:v>Hedef Üstü</x:v>
      </x:c>
      <x:c r="E17" s="634" t="n">
        <x:f>IFERROR(INDEX('ANALİZ'!$P$33:$P$45,MATCH($A17,'ANALİZ'!$K$33:$K$45,0)),0)</x:f>
        <x:v>1</x:v>
      </x:c>
      <x:c r="F17" s="516" t="str">
        <x:f>IFERROR(INDEX('ANALİZ'!$Q$33:$Q$45,MATCH($A17,'ANALİZ'!$K$33:$K$45,0)),"-")</x:f>
        <x:v>Düşük</x:v>
      </x:c>
      <x:c r="G17" s="346"/>
      <x:c r="H17" s="514" t="str">
        <x:f>IFERROR(INDEX('ANALİZ'!$K$50:$K$62,ROW()-10),"-")</x:f>
        <x:v>Hatay</x:v>
      </x:c>
      <x:c r="I17" s="522" t="n">
        <x:f>IFERROR(INDEX('ANALİZ'!$L$50:$L$62,MATCH($H17,'ANALİZ'!$K$50:$K$62,0)),0)</x:f>
        <x:v>2369710</x:v>
      </x:c>
      <x:c r="J17" s="526" t="n">
        <x:f>IFERROR(INDEX('ANALİZ'!$M$50:$M$62,MATCH($H17,'ANALİZ'!$K$50:$K$62,0)),0)</x:f>
        <x:v>0.2956522106080491</x:v>
      </x:c>
      <x:c r="K17" s="526" t="n">
        <x:f>IFERROR(INDEX('ANALİZ'!$N$50:$N$62,MATCH($H17,'ANALİZ'!$K$50:$K$62,0)),0)</x:f>
        <x:v>0.07786335215151763</x:v>
      </x:c>
      <x:c r="L17" s="634" t="n">
        <x:f>IFERROR(INDEX('ANALİZ'!$P$50:$P$62,MATCH($H17,'ANALİZ'!$K$50:$K$62,0)),0)</x:f>
        <x:v>3</x:v>
      </x:c>
      <x:c r="M17" s="516" t="str">
        <x:f>IFERROR(INDEX('ANALİZ'!$Q$50:$Q$62,MATCH($H17,'ANALİZ'!$K$50:$K$62,0)),"-")</x:f>
        <x:v>Orta</x:v>
      </x:c>
      <x:c r="N17"/>
      <x:c r="O17"/>
      <x:c r="P17"/>
      <x:c r="Q17"/>
      <x:c r="R17"/>
      <x:c r="S17"/>
      <x:c r="T17"/>
      <x:c r="U17" s="258"/>
    </x:row>
    <x:row r="18" ht="24" customHeight="1">
      <x:c r="A18" s="514" t="str">
        <x:f>IFERROR(INDEX('ANALİZ'!$K$33:$K$45,ROW()-10),"-")</x:f>
        <x:v>Miraç Tüten</x:v>
      </x:c>
      <x:c r="B18" s="522" t="n">
        <x:f>IFERROR(INDEX('ANALİZ'!$L$33:$L$45,MATCH($A18,'ANALİZ'!$K$33:$K$45,0)),0)</x:f>
        <x:v>245805</x:v>
      </x:c>
      <x:c r="C18" s="526" t="n">
        <x:f>IFERROR(INDEX('ANALİZ'!$N$33:$N$45,MATCH($A18,'ANALİZ'!$K$33:$K$45,0)),0)</x:f>
        <x:v>0.7582618025751073</x:v>
      </x:c>
      <x:c r="D18" s="515" t="str">
        <x:f>IFERROR(INDEX('ANALİZ'!$O$33:$O$45,MATCH($A18,'ANALİZ'!$K$33:$K$45,0)),"-")</x:f>
        <x:v>Hedef Üstü</x:v>
      </x:c>
      <x:c r="E18" s="634" t="n">
        <x:f>IFERROR(INDEX('ANALİZ'!$P$33:$P$45,MATCH($A18,'ANALİZ'!$K$33:$K$45,0)),0)</x:f>
        <x:v>1</x:v>
      </x:c>
      <x:c r="F18" s="516" t="str">
        <x:f>IFERROR(INDEX('ANALİZ'!$Q$33:$Q$45,MATCH($A18,'ANALİZ'!$K$33:$K$45,0)),"-")</x:f>
        <x:v>Düşük</x:v>
      </x:c>
      <x:c r="G18" s="346"/>
      <x:c r="H18" s="514" t="str">
        <x:f>IFERROR(INDEX('ANALİZ'!$K$50:$K$62,ROW()-10),"-")</x:f>
        <x:v>Kocaeli</x:v>
      </x:c>
      <x:c r="I18" s="522" t="n">
        <x:f>IFERROR(INDEX('ANALİZ'!$L$50:$L$62,MATCH($H18,'ANALİZ'!$K$50:$K$62,0)),0)</x:f>
        <x:v>2200840</x:v>
      </x:c>
      <x:c r="J18" s="526" t="n">
        <x:f>IFERROR(INDEX('ANALİZ'!$M$50:$M$62,MATCH($H18,'ANALİZ'!$K$50:$K$62,0)),0)</x:f>
        <x:v>0.3106722887624725</x:v>
      </x:c>
      <x:c r="K18" s="526" t="n">
        <x:f>IFERROR(INDEX('ANALİZ'!$N$50:$N$62,MATCH($H18,'ANALİZ'!$K$50:$K$62,0)),0)</x:f>
        <x:v>0.07231466295417838</x:v>
      </x:c>
      <x:c r="L18" s="634" t="n">
        <x:f>IFERROR(INDEX('ANALİZ'!$P$50:$P$62,MATCH($H18,'ANALİZ'!$K$50:$K$62,0)),0)</x:f>
        <x:v>1</x:v>
      </x:c>
      <x:c r="M18" s="516" t="str">
        <x:f>IFERROR(INDEX('ANALİZ'!$Q$50:$Q$62,MATCH($H18,'ANALİZ'!$K$50:$K$62,0)),"-")</x:f>
        <x:v>Düşük</x:v>
      </x:c>
      <x:c r="N18"/>
      <x:c r="O18"/>
      <x:c r="P18"/>
      <x:c r="Q18"/>
      <x:c r="R18"/>
      <x:c r="S18"/>
      <x:c r="T18"/>
      <x:c r="U18" s="258"/>
    </x:row>
    <x:row r="19" ht="24" customHeight="1">
      <x:c r="A19" s="514" t="str">
        <x:f>IFERROR(INDEX('ANALİZ'!$K$33:$K$45,ROW()-10),"-")</x:f>
        <x:v>Reyhan Uyanık</x:v>
      </x:c>
      <x:c r="B19" s="522" t="n">
        <x:f>IFERROR(INDEX('ANALİZ'!$L$33:$L$45,MATCH($A19,'ANALİZ'!$K$33:$K$45,0)),0)</x:f>
        <x:v>304980</x:v>
      </x:c>
      <x:c r="C19" s="526" t="n">
        <x:f>IFERROR(INDEX('ANALİZ'!$N$33:$N$45,MATCH($A19,'ANALİZ'!$K$33:$K$45,0)),0)</x:f>
        <x:v>1.206642066420664</x:v>
      </x:c>
      <x:c r="D19" s="515" t="str">
        <x:f>IFERROR(INDEX('ANALİZ'!$O$33:$O$45,MATCH($A19,'ANALİZ'!$K$33:$K$45,0)),"-")</x:f>
        <x:v>Hedef Üstü</x:v>
      </x:c>
      <x:c r="E19" s="634" t="n">
        <x:f>IFERROR(INDEX('ANALİZ'!$P$33:$P$45,MATCH($A19,'ANALİZ'!$K$33:$K$45,0)),0)</x:f>
        <x:v>1</x:v>
      </x:c>
      <x:c r="F19" s="516" t="str">
        <x:f>IFERROR(INDEX('ANALİZ'!$Q$33:$Q$45,MATCH($A19,'ANALİZ'!$K$33:$K$45,0)),"-")</x:f>
        <x:v>Düşük</x:v>
      </x:c>
      <x:c r="G19" s="346"/>
      <x:c r="H19" s="514" t="str">
        <x:f>IFERROR(INDEX('ANALİZ'!$K$50:$K$62,ROW()-10),"-")</x:f>
        <x:v>Konya</x:v>
      </x:c>
      <x:c r="I19" s="522" t="n">
        <x:f>IFERROR(INDEX('ANALİZ'!$L$50:$L$62,MATCH($H19,'ANALİZ'!$K$50:$K$62,0)),0)</x:f>
        <x:v>2045210</x:v>
      </x:c>
      <x:c r="J19" s="526" t="n">
        <x:f>IFERROR(INDEX('ANALİZ'!$M$50:$M$62,MATCH($H19,'ANALİZ'!$K$50:$K$62,0)),0)</x:f>
        <x:v>0.2940089281785245</x:v>
      </x:c>
      <x:c r="K19" s="526" t="n">
        <x:f>IFERROR(INDEX('ANALİZ'!$N$50:$N$62,MATCH($H19,'ANALİZ'!$K$50:$K$62,0)),0)</x:f>
        <x:v>0.06720101044170187</x:v>
      </x:c>
      <x:c r="L19" s="634" t="n">
        <x:f>IFERROR(INDEX('ANALİZ'!$P$50:$P$62,MATCH($H19,'ANALİZ'!$K$50:$K$62,0)),0)</x:f>
        <x:v>1</x:v>
      </x:c>
      <x:c r="M19" s="516" t="str">
        <x:f>IFERROR(INDEX('ANALİZ'!$Q$50:$Q$62,MATCH($H19,'ANALİZ'!$K$50:$K$62,0)),"-")</x:f>
        <x:v>Düşük</x:v>
      </x:c>
      <x:c r="N19"/>
      <x:c r="O19"/>
      <x:c r="P19"/>
      <x:c r="Q19"/>
      <x:c r="R19"/>
      <x:c r="S19"/>
      <x:c r="T19"/>
      <x:c r="U19" s="258"/>
    </x:row>
    <x:row r="20" ht="24" customHeight="1">
      <x:c r="A20" s="514" t="str">
        <x:f>IFERROR(INDEX('ANALİZ'!$K$33:$K$45,ROW()-10),"-")</x:f>
        <x:v>Serdal Yücel</x:v>
      </x:c>
      <x:c r="B20" s="522" t="n">
        <x:f>IFERROR(INDEX('ANALİZ'!$L$33:$L$45,MATCH($A20,'ANALİZ'!$K$33:$K$45,0)),0)</x:f>
        <x:v>297600</x:v>
      </x:c>
      <x:c r="C20" s="526" t="n">
        <x:f>IFERROR(INDEX('ANALİZ'!$N$33:$N$45,MATCH($A20,'ANALİZ'!$K$33:$K$45,0)),0)</x:f>
        <x:v>-0.02795923700026126</x:v>
      </x:c>
      <x:c r="D20" s="515" t="str">
        <x:f>IFERROR(INDEX('ANALİZ'!$O$33:$O$45,MATCH($A20,'ANALİZ'!$K$33:$K$45,0)),"-")</x:f>
        <x:v>Hedef Üstü</x:v>
      </x:c>
      <x:c r="E20" s="634" t="n">
        <x:f>IFERROR(INDEX('ANALİZ'!$P$33:$P$45,MATCH($A20,'ANALİZ'!$K$33:$K$45,0)),0)</x:f>
        <x:v>1</x:v>
      </x:c>
      <x:c r="F20" s="516" t="str">
        <x:f>IFERROR(INDEX('ANALİZ'!$Q$33:$Q$45,MATCH($A20,'ANALİZ'!$K$33:$K$45,0)),"-")</x:f>
        <x:v>Düşük</x:v>
      </x:c>
      <x:c r="G20" s="346"/>
      <x:c r="H20" s="514" t="str">
        <x:f>IFERROR(INDEX('ANALİZ'!$K$50:$K$62,ROW()-10),"-")</x:f>
        <x:v>Mersin</x:v>
      </x:c>
      <x:c r="I20" s="522" t="n">
        <x:f>IFERROR(INDEX('ANALİZ'!$L$50:$L$62,MATCH($H20,'ANALİZ'!$K$50:$K$62,0)),0)</x:f>
        <x:v>2221530</x:v>
      </x:c>
      <x:c r="J20" s="526" t="n">
        <x:f>IFERROR(INDEX('ANALİZ'!$M$50:$M$62,MATCH($H20,'ANALİZ'!$K$50:$K$62,0)),0)</x:f>
        <x:v>0.3109253532475366</x:v>
      </x:c>
      <x:c r="K20" s="526" t="n">
        <x:f>IFERROR(INDEX('ANALİZ'!$N$50:$N$62,MATCH($H20,'ANALİZ'!$K$50:$K$62,0)),0)</x:f>
        <x:v>0.07299448991866556</x:v>
      </x:c>
      <x:c r="L20" s="634" t="n">
        <x:f>IFERROR(INDEX('ANALİZ'!$P$50:$P$62,MATCH($H20,'ANALİZ'!$K$50:$K$62,0)),0)</x:f>
        <x:v>1</x:v>
      </x:c>
      <x:c r="M20" s="516" t="str">
        <x:f>IFERROR(INDEX('ANALİZ'!$Q$50:$Q$62,MATCH($H20,'ANALİZ'!$K$50:$K$62,0)),"-")</x:f>
        <x:v>Düşük</x:v>
      </x:c>
      <x:c r="N20"/>
      <x:c r="O20"/>
      <x:c r="P20"/>
      <x:c r="Q20"/>
      <x:c r="R20"/>
      <x:c r="S20"/>
      <x:c r="T20"/>
      <x:c r="U20" s="258"/>
    </x:row>
    <x:row r="21" ht="24" customHeight="1">
      <x:c r="A21" s="514" t="str">
        <x:f>IFERROR(INDEX('ANALİZ'!$K$33:$K$45,ROW()-10),"-")</x:f>
        <x:v>Yücel Öztürk</x:v>
      </x:c>
      <x:c r="B21" s="522" t="n">
        <x:f>IFERROR(INDEX('ANALİZ'!$L$33:$L$45,MATCH($A21,'ANALİZ'!$K$33:$K$45,0)),0)</x:f>
        <x:v>202570</x:v>
      </x:c>
      <x:c r="C21" s="526" t="n">
        <x:f>IFERROR(INDEX('ANALİZ'!$N$33:$N$45,MATCH($A21,'ANALİZ'!$K$33:$K$45,0)),0)</x:f>
        <x:v>0.4805583978950445</x:v>
      </x:c>
      <x:c r="D21" s="515" t="str">
        <x:f>IFERROR(INDEX('ANALİZ'!$O$33:$O$45,MATCH($A21,'ANALİZ'!$K$33:$K$45,0)),"-")</x:f>
        <x:v>Hedef Üstü</x:v>
      </x:c>
      <x:c r="E21" s="634" t="n">
        <x:f>IFERROR(INDEX('ANALİZ'!$P$33:$P$45,MATCH($A21,'ANALİZ'!$K$33:$K$45,0)),0)</x:f>
        <x:v>1</x:v>
      </x:c>
      <x:c r="F21" s="516" t="str">
        <x:f>IFERROR(INDEX('ANALİZ'!$Q$33:$Q$45,MATCH($A21,'ANALİZ'!$K$33:$K$45,0)),"-")</x:f>
        <x:v>Düşük</x:v>
      </x:c>
      <x:c r="G21" s="346"/>
      <x:c r="H21" s="514" t="str">
        <x:f>IFERROR(INDEX('ANALİZ'!$K$50:$K$62,ROW()-10),"-")</x:f>
        <x:v>İstanbul</x:v>
      </x:c>
      <x:c r="I21" s="522" t="n">
        <x:f>IFERROR(INDEX('ANALİZ'!$L$50:$L$62,MATCH($H21,'ANALİZ'!$K$50:$K$62,0)),0)</x:f>
        <x:v>2308105</x:v>
      </x:c>
      <x:c r="J21" s="526" t="n">
        <x:f>IFERROR(INDEX('ANALİZ'!$M$50:$M$62,MATCH($H21,'ANALİZ'!$K$50:$K$62,0)),0)</x:f>
        <x:v>0.30185151888670575</x:v>
      </x:c>
      <x:c r="K21" s="526" t="n">
        <x:f>IFERROR(INDEX('ANALİZ'!$N$50:$N$62,MATCH($H21,'ANALİZ'!$K$50:$K$62,0)),0)</x:f>
        <x:v>0.07583915011443534</x:v>
      </x:c>
      <x:c r="L21" s="634" t="n">
        <x:f>IFERROR(INDEX('ANALİZ'!$P$50:$P$62,MATCH($H21,'ANALİZ'!$K$50:$K$62,0)),0)</x:f>
        <x:v>1</x:v>
      </x:c>
      <x:c r="M21" s="516" t="str">
        <x:f>IFERROR(INDEX('ANALİZ'!$Q$50:$Q$62,MATCH($H21,'ANALİZ'!$K$50:$K$62,0)),"-")</x:f>
        <x:v>Düşük</x:v>
      </x:c>
      <x:c r="N21"/>
      <x:c r="O21"/>
      <x:c r="P21"/>
      <x:c r="Q21"/>
      <x:c r="R21"/>
      <x:c r="S21"/>
      <x:c r="T21"/>
      <x:c r="U21" s="258"/>
    </x:row>
    <x:row r="22" ht="24" customHeight="1">
      <x:c r="A22" s="514" t="str">
        <x:f>IFERROR(INDEX('ANALİZ'!$K$33:$K$45,ROW()-10),"-")</x:f>
        <x:v>Zeynep Şen</x:v>
      </x:c>
      <x:c r="B22" s="522" t="n">
        <x:f>IFERROR(INDEX('ANALİZ'!$L$33:$L$45,MATCH($A22,'ANALİZ'!$K$33:$K$45,0)),0)</x:f>
        <x:v>251110</x:v>
      </x:c>
      <x:c r="C22" s="526" t="n">
        <x:f>IFERROR(INDEX('ANALİZ'!$N$33:$N$45,MATCH($A22,'ANALİZ'!$K$33:$K$45,0)),0)</x:f>
        <x:v>0.6037169498020181</x:v>
      </x:c>
      <x:c r="D22" s="515" t="str">
        <x:f>IFERROR(INDEX('ANALİZ'!$O$33:$O$45,MATCH($A22,'ANALİZ'!$K$33:$K$45,0)),"-")</x:f>
        <x:v>Hedef Üstü</x:v>
      </x:c>
      <x:c r="E22" s="634" t="n">
        <x:f>IFERROR(INDEX('ANALİZ'!$P$33:$P$45,MATCH($A22,'ANALİZ'!$K$33:$K$45,0)),0)</x:f>
        <x:v>1</x:v>
      </x:c>
      <x:c r="F22" s="516" t="str">
        <x:f>IFERROR(INDEX('ANALİZ'!$Q$33:$Q$45,MATCH($A22,'ANALİZ'!$K$33:$K$45,0)),"-")</x:f>
        <x:v>Düşük</x:v>
      </x:c>
      <x:c r="G22" s="346"/>
      <x:c r="H22" s="514" t="str">
        <x:f>IFERROR(INDEX('ANALİZ'!$K$50:$K$62,ROW()-10),"-")</x:f>
        <x:v>İzmir</x:v>
      </x:c>
      <x:c r="I22" s="522" t="n">
        <x:f>IFERROR(INDEX('ANALİZ'!$L$50:$L$62,MATCH($H22,'ANALİZ'!$K$50:$K$62,0)),0)</x:f>
        <x:v>2224770</x:v>
      </x:c>
      <x:c r="J22" s="526" t="n">
        <x:f>IFERROR(INDEX('ANALİZ'!$M$50:$M$62,MATCH($H22,'ANALİZ'!$K$50:$K$62,0)),0)</x:f>
        <x:v>0.31210866741281124</x:v>
      </x:c>
      <x:c r="K22" s="526" t="n">
        <x:f>IFERROR(INDEX('ANALİZ'!$N$50:$N$62,MATCH($H22,'ANALİZ'!$K$50:$K$62,0)),0)</x:f>
        <x:v>0.07310094904698544</x:v>
      </x:c>
      <x:c r="L22" s="634" t="n">
        <x:f>IFERROR(INDEX('ANALİZ'!$P$50:$P$62,MATCH($H22,'ANALİZ'!$K$50:$K$62,0)),0)</x:f>
        <x:v>1</x:v>
      </x:c>
      <x:c r="M22" s="516" t="str">
        <x:f>IFERROR(INDEX('ANALİZ'!$Q$50:$Q$62,MATCH($H22,'ANALİZ'!$K$50:$K$62,0)),"-")</x:f>
        <x:v>Düşük</x:v>
      </x:c>
      <x:c r="N22"/>
      <x:c r="O22"/>
      <x:c r="P22"/>
      <x:c r="Q22"/>
      <x:c r="R22"/>
      <x:c r="S22"/>
      <x:c r="T22"/>
      <x:c r="U22" s="258"/>
    </x:row>
    <x:row r="23" ht="24" customHeight="1">
      <x:c r="A23" s="514" t="str">
        <x:f>IFERROR(INDEX('ANALİZ'!$K$33:$K$45,ROW()-10),"-")</x:f>
        <x:v>Özgür Ertekin</x:v>
      </x:c>
      <x:c r="B23" s="522" t="n">
        <x:f>IFERROR(INDEX('ANALİZ'!$L$33:$L$45,MATCH($A23,'ANALİZ'!$K$33:$K$45,0)),0)</x:f>
        <x:v>264640</x:v>
      </x:c>
      <x:c r="C23" s="526" t="n">
        <x:f>IFERROR(INDEX('ANALİZ'!$N$33:$N$45,MATCH($A23,'ANALİZ'!$K$33:$K$45,0)),0)</x:f>
        <x:v>0.22563912560207489</x:v>
      </x:c>
      <x:c r="D23" s="515" t="str">
        <x:f>IFERROR(INDEX('ANALİZ'!$O$33:$O$45,MATCH($A23,'ANALİZ'!$K$33:$K$45,0)),"-")</x:f>
        <x:v>Hedef Üstü</x:v>
      </x:c>
      <x:c r="E23" s="634" t="n">
        <x:f>IFERROR(INDEX('ANALİZ'!$P$33:$P$45,MATCH($A23,'ANALİZ'!$K$33:$K$45,0)),0)</x:f>
        <x:v>1</x:v>
      </x:c>
      <x:c r="F23" s="516" t="str">
        <x:f>IFERROR(INDEX('ANALİZ'!$Q$33:$Q$45,MATCH($A23,'ANALİZ'!$K$33:$K$45,0)),"-")</x:f>
        <x:v>Düşük</x:v>
      </x:c>
      <x:c r="G23" s="346"/>
      <x:c r="H23" s="514" t="str">
        <x:f>IFERROR(INDEX('ANALİZ'!$K$50:$K$62,ROW()-10),"-")</x:f>
        <x:v>Şanlıurfa</x:v>
      </x:c>
      <x:c r="I23" s="522" t="n">
        <x:f>IFERROR(INDEX('ANALİZ'!$L$50:$L$62,MATCH($H23,'ANALİZ'!$K$50:$K$62,0)),0)</x:f>
        <x:v>2097465</x:v>
      </x:c>
      <x:c r="J23" s="526" t="n">
        <x:f>IFERROR(INDEX('ANALİZ'!$M$50:$M$62,MATCH($H23,'ANALİZ'!$K$50:$K$62,0)),0)</x:f>
        <x:v>0.31941653376814394</x:v>
      </x:c>
      <x:c r="K23" s="526" t="n">
        <x:f>IFERROR(INDEX('ANALİZ'!$N$50:$N$62,MATCH($H23,'ANALİZ'!$K$50:$K$62,0)),0)</x:f>
        <x:v>0.06891799246341658</x:v>
      </x:c>
      <x:c r="L23" s="634" t="n">
        <x:f>IFERROR(INDEX('ANALİZ'!$P$50:$P$62,MATCH($H23,'ANALİZ'!$K$50:$K$62,0)),0)</x:f>
        <x:v>1</x:v>
      </x:c>
      <x:c r="M23" s="516" t="str">
        <x:f>IFERROR(INDEX('ANALİZ'!$Q$50:$Q$62,MATCH($H23,'ANALİZ'!$K$50:$K$62,0)),"-")</x:f>
        <x:v>Düşük</x:v>
      </x:c>
      <x:c r="N23"/>
      <x:c r="O23"/>
      <x:c r="P23"/>
      <x:c r="Q23"/>
      <x:c r="R23"/>
      <x:c r="S23"/>
      <x:c r="T23"/>
      <x:c r="U23" s="258"/>
    </x:row>
    <x:row r="24" ht="22" customHeight="1">
      <x:c r="A24" s="346"/>
      <x:c r="B24" s="346"/>
      <x:c r="C24" s="346"/>
      <x:c r="D24" s="346"/>
      <x:c r="E24" s="346"/>
      <x:c r="F24" s="346"/>
      <x:c r="G24" s="346"/>
      <x:c r="H24" s="346"/>
      <x:c r="I24" s="346"/>
      <x:c r="J24" s="346"/>
      <x:c r="K24" s="346"/>
      <x:c r="L24" s="346"/>
      <x:c r="M24" s="346"/>
      <x:c r="N24"/>
      <x:c r="O24"/>
      <x:c r="P24"/>
      <x:c r="Q24"/>
      <x:c r="R24"/>
      <x:c r="S24"/>
      <x:c r="T24"/>
      <x:c r="U24" s="258"/>
    </x:row>
    <x:row r="25" ht="22" customHeight="1">
      <x:c r="A25" s="505" t="str">
        <x:v>PERSONEL RİSK SKORU DAĞILIMI</x:v>
      </x:c>
      <x:c r="B25" s="505"/>
      <x:c r="C25" s="505"/>
      <x:c r="D25" s="505"/>
      <x:c r="E25" s="505"/>
      <x:c r="F25" s="505"/>
      <x:c r="G25" s="346"/>
      <x:c r="H25" s="505" t="str">
        <x:v>ŞEHİR RİSK SKORU DAĞILIMI</x:v>
      </x:c>
      <x:c r="I25" s="505"/>
      <x:c r="J25" s="505"/>
      <x:c r="K25" s="505"/>
      <x:c r="L25" s="505"/>
      <x:c r="M25" s="505"/>
      <x:c r="N25"/>
      <x:c r="O25"/>
      <x:c r="P25"/>
      <x:c r="Q25"/>
      <x:c r="R25"/>
      <x:c r="S25"/>
      <x:c r="T25"/>
      <x:c r="U25" s="258"/>
    </x:row>
    <x:row r="26" ht="22" customHeight="1">
      <x:c r="A26" s="346"/>
      <x:c r="B26" s="346"/>
      <x:c r="C26" s="346"/>
      <x:c r="D26" s="346"/>
      <x:c r="E26" s="346"/>
      <x:c r="F26" s="346"/>
      <x:c r="G26" s="346"/>
      <x:c r="H26" s="346"/>
      <x:c r="I26" s="346"/>
      <x:c r="J26" s="346"/>
      <x:c r="K26" s="346"/>
      <x:c r="L26" s="346"/>
      <x:c r="M26" s="346"/>
      <x:c r="N26"/>
      <x:c r="O26"/>
      <x:c r="P26"/>
      <x:c r="Q26"/>
      <x:c r="R26"/>
      <x:c r="S26"/>
      <x:c r="T26"/>
      <x:c r="U26" s="258"/>
    </x:row>
    <x:row r="27" ht="22" customHeight="1">
      <x:c r="A27" s="346"/>
      <x:c r="B27" s="346"/>
      <x:c r="C27" s="346"/>
      <x:c r="D27" s="346"/>
      <x:c r="E27" s="346"/>
      <x:c r="F27" s="346"/>
      <x:c r="G27" s="346"/>
      <x:c r="H27" s="346"/>
      <x:c r="I27" s="346"/>
      <x:c r="J27" s="346"/>
      <x:c r="K27" s="346"/>
      <x:c r="L27" s="346"/>
      <x:c r="M27" s="346"/>
      <x:c r="N27"/>
      <x:c r="O27"/>
      <x:c r="P27"/>
      <x:c r="Q27"/>
      <x:c r="R27"/>
      <x:c r="S27"/>
      <x:c r="T27"/>
      <x:c r="U27" s="258"/>
    </x:row>
    <x:row r="28" ht="22" customHeight="1">
      <x:c r="A28" s="346"/>
      <x:c r="B28" s="346"/>
      <x:c r="C28" s="346"/>
      <x:c r="D28" s="346"/>
      <x:c r="E28" s="346"/>
      <x:c r="F28" s="346"/>
      <x:c r="G28" s="346"/>
      <x:c r="H28" s="346"/>
      <x:c r="I28" s="346"/>
      <x:c r="J28" s="346"/>
      <x:c r="K28" s="346"/>
      <x:c r="L28" s="346"/>
      <x:c r="M28" s="346"/>
      <x:c r="N28"/>
      <x:c r="O28"/>
      <x:c r="P28"/>
      <x:c r="Q28"/>
      <x:c r="R28"/>
      <x:c r="S28"/>
      <x:c r="T28"/>
      <x:c r="U28" s="258"/>
    </x:row>
    <x:row r="29" ht="22" customHeight="1">
      <x:c r="A29" s="346"/>
      <x:c r="B29" s="346"/>
      <x:c r="C29" s="346"/>
      <x:c r="D29" s="346"/>
      <x:c r="E29" s="346"/>
      <x:c r="F29" s="346"/>
      <x:c r="G29" s="346"/>
      <x:c r="H29" s="346"/>
      <x:c r="I29" s="346"/>
      <x:c r="J29" s="346"/>
      <x:c r="K29" s="346"/>
      <x:c r="L29" s="346"/>
      <x:c r="M29" s="346"/>
      <x:c r="N29"/>
      <x:c r="O29"/>
      <x:c r="P29"/>
      <x:c r="Q29"/>
      <x:c r="R29"/>
      <x:c r="S29"/>
      <x:c r="T29"/>
      <x:c r="U29" s="258"/>
    </x:row>
    <x:row r="30" ht="22" customHeight="1">
      <x:c r="A30" s="346"/>
      <x:c r="B30" s="346"/>
      <x:c r="C30" s="346"/>
      <x:c r="D30" s="346"/>
      <x:c r="E30" s="346"/>
      <x:c r="F30" s="346"/>
      <x:c r="G30" s="346"/>
      <x:c r="H30" s="346"/>
      <x:c r="I30" s="346"/>
      <x:c r="J30" s="346"/>
      <x:c r="K30" s="346"/>
      <x:c r="L30" s="346"/>
      <x:c r="M30" s="346"/>
      <x:c r="N30"/>
      <x:c r="O30"/>
      <x:c r="P30"/>
      <x:c r="Q30"/>
      <x:c r="R30"/>
      <x:c r="S30"/>
      <x:c r="T30"/>
      <x:c r="U30" s="258"/>
    </x:row>
    <x:row r="31" ht="22" customHeight="1">
      <x:c r="A31" s="346"/>
      <x:c r="B31" s="346"/>
      <x:c r="C31" s="346"/>
      <x:c r="D31" s="346"/>
      <x:c r="E31" s="346"/>
      <x:c r="F31" s="346"/>
      <x:c r="G31" s="346"/>
      <x:c r="H31" s="346"/>
      <x:c r="I31" s="346"/>
      <x:c r="J31" s="346"/>
      <x:c r="K31" s="346"/>
      <x:c r="L31" s="346"/>
      <x:c r="M31" s="346"/>
      <x:c r="N31"/>
      <x:c r="O31"/>
      <x:c r="P31"/>
      <x:c r="Q31"/>
      <x:c r="R31"/>
      <x:c r="S31"/>
      <x:c r="T31"/>
      <x:c r="U31" s="258"/>
    </x:row>
    <x:row r="32" ht="22" customHeight="1">
      <x:c r="A32" s="346"/>
      <x:c r="B32" s="346"/>
      <x:c r="C32" s="346"/>
      <x:c r="D32" s="346"/>
      <x:c r="E32" s="346"/>
      <x:c r="F32" s="346"/>
      <x:c r="G32" s="346"/>
      <x:c r="H32" s="346"/>
      <x:c r="I32" s="346"/>
      <x:c r="J32" s="346"/>
      <x:c r="K32" s="346"/>
      <x:c r="L32" s="346"/>
      <x:c r="M32" s="346"/>
      <x:c r="N32"/>
      <x:c r="O32"/>
      <x:c r="P32"/>
      <x:c r="Q32"/>
      <x:c r="R32"/>
      <x:c r="S32"/>
      <x:c r="T32"/>
      <x:c r="U32" s="258"/>
    </x:row>
    <x:row r="33" ht="22" customHeight="1">
      <x:c r="A33" s="346"/>
      <x:c r="B33" s="346"/>
      <x:c r="C33" s="346"/>
      <x:c r="D33" s="346"/>
      <x:c r="E33" s="346"/>
      <x:c r="F33" s="346"/>
      <x:c r="G33" s="346"/>
      <x:c r="H33" s="346"/>
      <x:c r="I33" s="346"/>
      <x:c r="J33" s="346"/>
      <x:c r="K33" s="346"/>
      <x:c r="L33" s="346"/>
      <x:c r="M33" s="346"/>
      <x:c r="N33"/>
      <x:c r="O33"/>
      <x:c r="P33"/>
      <x:c r="Q33"/>
      <x:c r="R33"/>
      <x:c r="S33"/>
      <x:c r="T33"/>
      <x:c r="U33" s="258"/>
    </x:row>
    <x:row r="34" ht="22" customHeight="1">
      <x:c r="A34" s="346"/>
      <x:c r="B34" s="346"/>
      <x:c r="C34" s="346"/>
      <x:c r="D34" s="346"/>
      <x:c r="E34" s="346"/>
      <x:c r="F34" s="346"/>
      <x:c r="G34" s="346"/>
      <x:c r="H34" s="346"/>
      <x:c r="I34" s="346"/>
      <x:c r="J34" s="346"/>
      <x:c r="K34" s="346"/>
      <x:c r="L34" s="346"/>
      <x:c r="M34" s="346"/>
      <x:c r="N34"/>
      <x:c r="O34"/>
      <x:c r="P34"/>
      <x:c r="Q34"/>
      <x:c r="R34"/>
      <x:c r="S34"/>
      <x:c r="T34"/>
      <x:c r="U34" s="258"/>
    </x:row>
    <x:row r="35" ht="22" customHeight="1">
      <x:c r="A35" s="346"/>
      <x:c r="B35" s="346"/>
      <x:c r="C35" s="346"/>
      <x:c r="D35" s="346"/>
      <x:c r="E35" s="346"/>
      <x:c r="F35" s="346"/>
      <x:c r="G35" s="346"/>
      <x:c r="H35" s="346"/>
      <x:c r="I35" s="346"/>
      <x:c r="J35" s="346"/>
      <x:c r="K35" s="346"/>
      <x:c r="L35" s="346"/>
      <x:c r="M35" s="346"/>
      <x:c r="N35"/>
      <x:c r="O35"/>
      <x:c r="P35"/>
      <x:c r="Q35"/>
      <x:c r="R35"/>
      <x:c r="S35"/>
      <x:c r="T35"/>
      <x:c r="U35" s="258"/>
    </x:row>
    <x:row r="36" ht="22" customHeight="1">
      <x:c r="A36" s="346"/>
      <x:c r="B36" s="346"/>
      <x:c r="C36" s="346"/>
      <x:c r="D36" s="346"/>
      <x:c r="E36" s="346"/>
      <x:c r="F36" s="346"/>
      <x:c r="G36" s="346"/>
      <x:c r="H36" s="346"/>
      <x:c r="I36" s="346"/>
      <x:c r="J36" s="346"/>
      <x:c r="K36" s="346"/>
      <x:c r="L36" s="346"/>
      <x:c r="M36" s="346"/>
      <x:c r="N36"/>
      <x:c r="O36"/>
      <x:c r="P36"/>
      <x:c r="Q36"/>
      <x:c r="R36"/>
      <x:c r="S36"/>
      <x:c r="T36"/>
      <x:c r="U36" s="258"/>
    </x:row>
    <x:row r="37" ht="22" customHeight="1">
      <x:c r="A37" s="346"/>
      <x:c r="B37" s="346"/>
      <x:c r="C37" s="346"/>
      <x:c r="D37" s="346"/>
      <x:c r="E37" s="346"/>
      <x:c r="F37" s="346"/>
      <x:c r="G37" s="346"/>
      <x:c r="H37" s="346"/>
      <x:c r="I37" s="346"/>
      <x:c r="J37" s="346"/>
      <x:c r="K37" s="346"/>
      <x:c r="L37" s="346"/>
      <x:c r="M37" s="346"/>
      <x:c r="N37"/>
      <x:c r="O37"/>
      <x:c r="P37"/>
      <x:c r="Q37"/>
      <x:c r="R37"/>
      <x:c r="S37"/>
      <x:c r="T37"/>
      <x:c r="U37" s="258"/>
    </x:row>
    <x:row r="38" ht="22" customHeight="1">
      <x:c r="A38" s="346"/>
      <x:c r="B38" s="346"/>
      <x:c r="C38" s="346"/>
      <x:c r="D38" s="346"/>
      <x:c r="E38" s="346"/>
      <x:c r="F38" s="346"/>
      <x:c r="G38" s="346"/>
      <x:c r="H38" s="346"/>
      <x:c r="I38" s="346"/>
      <x:c r="J38" s="346"/>
      <x:c r="K38" s="346"/>
      <x:c r="L38" s="346"/>
      <x:c r="M38" s="346"/>
      <x:c r="N38"/>
      <x:c r="O38"/>
      <x:c r="P38"/>
      <x:c r="Q38"/>
      <x:c r="R38"/>
      <x:c r="S38"/>
      <x:c r="T38"/>
      <x:c r="U38" s="258"/>
    </x:row>
    <x:row r="39" ht="22" customHeight="1">
      <x:c r="A39" s="346"/>
      <x:c r="B39" s="346"/>
      <x:c r="C39" s="346"/>
      <x:c r="D39" s="346"/>
      <x:c r="E39" s="346"/>
      <x:c r="F39" s="346"/>
      <x:c r="G39" s="346"/>
      <x:c r="H39" s="346"/>
      <x:c r="I39" s="346"/>
      <x:c r="J39" s="346"/>
      <x:c r="K39" s="346"/>
      <x:c r="L39" s="346"/>
      <x:c r="M39" s="346"/>
      <x:c r="N39"/>
      <x:c r="O39"/>
      <x:c r="P39"/>
      <x:c r="Q39"/>
      <x:c r="R39"/>
      <x:c r="S39"/>
      <x:c r="T39"/>
      <x:c r="U39" s="258"/>
    </x:row>
    <x:row r="40" ht="22" customHeight="1">
      <x:c r="A40" s="346"/>
      <x:c r="B40" s="346"/>
      <x:c r="C40" s="346"/>
      <x:c r="D40" s="346"/>
      <x:c r="E40" s="346"/>
      <x:c r="F40" s="346"/>
      <x:c r="G40" s="346"/>
      <x:c r="H40" s="346"/>
      <x:c r="I40" s="346"/>
      <x:c r="J40" s="346"/>
      <x:c r="K40" s="346"/>
      <x:c r="L40" s="346"/>
      <x:c r="M40" s="346"/>
      <x:c r="N40"/>
      <x:c r="O40"/>
      <x:c r="P40"/>
      <x:c r="Q40"/>
      <x:c r="R40"/>
      <x:c r="S40"/>
      <x:c r="T40"/>
      <x:c r="U40" s="258"/>
    </x:row>
    <x:row r="41" ht="22" customHeight="1">
      <x:c r="A41" s="505" t="str">
        <x:v>YÖNETİCİ OKUMA NOTU</x:v>
      </x:c>
      <x:c r="B41" s="505"/>
      <x:c r="C41" s="505"/>
      <x:c r="D41" s="505"/>
      <x:c r="E41" s="505"/>
      <x:c r="F41" s="505"/>
      <x:c r="G41" s="505"/>
      <x:c r="H41" s="505"/>
      <x:c r="I41" s="505"/>
      <x:c r="J41" s="505"/>
      <x:c r="K41" s="505"/>
      <x:c r="L41" s="505"/>
      <x:c r="M41" s="505"/>
      <x:c r="N41"/>
      <x:c r="O41"/>
      <x:c r="P41"/>
      <x:c r="Q41"/>
      <x:c r="R41"/>
      <x:c r="S41"/>
      <x:c r="T41"/>
      <x:c r="U41" s="258"/>
    </x:row>
    <x:row r="42" ht="22" customHeight="1">
      <x:c r="A42" s="648" t="str">
        <x:f>"Son dönem: "&amp;IFERROR('ANALİZ'!$B$4,"-")&amp;" | Önceki dönem: "&amp;IFERROR('ANALİZ'!$B$5,"-")&amp;" | Ortalama personel risk skoru: "&amp;TEXT(IFERROR(AVERAGE('ANALİZ'!$P$33:$P$45),0),"0.0")&amp;" | Kritik şehir marjı: "&amp;TEXT(IFERROR('ANALİZ'!$B$9,0),"0.0%")</x:f>
        <x:v>Son dönem: Aralık | Önceki dönem: Kasım | Ortalama personel risk skoru: 1.9 | Kritik şehir marjı: 28.0%</x:v>
      </x:c>
      <x:c r="B42" s="649"/>
      <x:c r="C42" s="649"/>
      <x:c r="D42" s="649"/>
      <x:c r="E42" s="649"/>
      <x:c r="F42" s="649"/>
      <x:c r="G42" s="649"/>
      <x:c r="H42" s="649"/>
      <x:c r="I42" s="649"/>
      <x:c r="J42" s="649"/>
      <x:c r="K42" s="649"/>
      <x:c r="L42" s="649"/>
      <x:c r="M42" s="650"/>
      <x:c r="N42"/>
      <x:c r="O42"/>
      <x:c r="P42"/>
      <x:c r="Q42"/>
      <x:c r="R42"/>
      <x:c r="S42"/>
      <x:c r="T42"/>
      <x:c r="U42" s="258"/>
    </x:row>
    <x:row r="43" ht="22" customHeight="1">
      <x:c r="A43" s="651"/>
      <x:c r="B43" s="652"/>
      <x:c r="C43" s="652"/>
      <x:c r="D43" s="652"/>
      <x:c r="E43" s="652"/>
      <x:c r="F43" s="652"/>
      <x:c r="G43" s="652"/>
      <x:c r="H43" s="652"/>
      <x:c r="I43" s="652"/>
      <x:c r="J43" s="652"/>
      <x:c r="K43" s="652"/>
      <x:c r="L43" s="652"/>
      <x:c r="M43" s="653"/>
      <x:c r="N43"/>
      <x:c r="O43"/>
      <x:c r="P43"/>
      <x:c r="Q43"/>
      <x:c r="R43"/>
      <x:c r="S43"/>
      <x:c r="T43"/>
      <x:c r="U43" s="258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 s="258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 s="258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 s="258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 s="258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 s="25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 s="258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 s="258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 s="258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 s="258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 s="258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 s="258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 s="258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 s="258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 s="258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 s="2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 s="258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 s="258"/>
    </x:row>
    <x:row r="61">
      <x:c r="A61" s="258"/>
      <x:c r="B61" s="258"/>
      <x:c r="C61" s="258"/>
      <x:c r="D61" s="258"/>
      <x:c r="E61" s="258"/>
      <x:c r="F61" s="258"/>
      <x:c r="G61" s="258"/>
      <x:c r="H61" s="258"/>
      <x:c r="I61" s="258"/>
      <x:c r="J61" s="258"/>
      <x:c r="K61" s="258"/>
      <x:c r="L61" s="258"/>
      <x:c r="M61" s="258"/>
      <x:c r="N61" s="258"/>
      <x:c r="O61" s="258"/>
      <x:c r="P61" s="258"/>
      <x:c r="Q61" s="258"/>
      <x:c r="R61" s="258"/>
      <x:c r="S61" s="258"/>
      <x:c r="T61" s="258"/>
      <x:c r="U61" s="258"/>
    </x:row>
    <x:row r="62">
      <x:c r="A62" s="258"/>
      <x:c r="B62" s="258"/>
      <x:c r="C62" s="258"/>
      <x:c r="D62" s="258"/>
      <x:c r="E62" s="258"/>
      <x:c r="F62" s="258"/>
      <x:c r="G62" s="258"/>
      <x:c r="H62" s="258"/>
      <x:c r="I62" s="258"/>
      <x:c r="J62" s="258"/>
      <x:c r="K62" s="258"/>
      <x:c r="L62" s="258"/>
      <x:c r="M62" s="258"/>
      <x:c r="N62" s="258"/>
      <x:c r="O62" s="258"/>
      <x:c r="P62" s="258"/>
      <x:c r="Q62" s="258"/>
      <x:c r="R62" s="258"/>
      <x:c r="S62" s="258"/>
      <x:c r="T62" s="258"/>
      <x:c r="U62" s="258"/>
    </x:row>
  </x:sheetData>
  <x:mergeCells>
    <x:mergeCell ref="A1:M2"/>
    <x:mergeCell ref="A4:M4"/>
    <x:mergeCell ref="A5:C5"/>
    <x:mergeCell ref="A6:C8"/>
    <x:mergeCell ref="D5:F5"/>
    <x:mergeCell ref="D6:F8"/>
    <x:mergeCell ref="H5:J5"/>
    <x:mergeCell ref="H6:J8"/>
    <x:mergeCell ref="K5:M5"/>
    <x:mergeCell ref="K6:M8"/>
    <x:mergeCell ref="A25:F25"/>
    <x:mergeCell ref="H25:M25"/>
    <x:mergeCell ref="A41:M41"/>
    <x:mergeCell ref="A42:M43"/>
  </x:mergeCells>
  <x:conditionalFormatting sqref="F30:F42">
    <x:cfRule type="colorScale" priority="1">
      <x:colorScale>
        <x:cfvo type="min"/>
        <x:cfvo type="percentile" val="50"/>
        <x:cfvo type="max"/>
        <x:color rgb="FFDCF3E7"/>
        <x:color rgb="FFF9E8B5"/>
        <x:color rgb="FFF2C3C3"/>
      </x:colorScale>
    </x:cfRule>
  </x:conditionalFormatting>
  <x:conditionalFormatting sqref="M30:M42">
    <x:cfRule type="colorScale" priority="2">
      <x:colorScale>
        <x:cfvo type="min"/>
        <x:cfvo type="percentile" val="50"/>
        <x:cfvo type="max"/>
        <x:color rgb="FFDCF3E7"/>
        <x:color rgb="FFF9E8B5"/>
        <x:color rgb="FFF2C3C3"/>
      </x:colorScale>
    </x:cfRule>
  </x:conditionalFormatting>
  <x:conditionalFormatting sqref="F11:F23">
    <x:cfRule type="containsText" dxfId="2" priority="3" operator="containsText" text="Yüksek"/>
    <x:cfRule type="containsText" dxfId="3" priority="4" operator="containsText" text="Orta"/>
    <x:cfRule type="containsText" dxfId="4" priority="5" operator="containsText" text="Düşük"/>
  </x:conditionalFormatting>
  <x:conditionalFormatting sqref="M11:M23">
    <x:cfRule type="containsText" dxfId="5" priority="6" operator="containsText" text="Yüksek"/>
    <x:cfRule type="containsText" dxfId="6" priority="7" operator="containsText" text="Orta"/>
    <x:cfRule type="containsText" dxfId="7" priority="8" operator="containsText" text="Düşük"/>
  </x:conditionalFormatting>
  <x:dataValidations count="3">
    <x:dataValidation type="list" sqref="B3">
      <x:formula1>'ANALİZ'!$Z$2:$Z$13</x:formula1>
    </x:dataValidation>
    <x:dataValidation type="list" sqref="E3">
      <x:formula1>'ANALİZ'!$Z$2:$Z$13</x:formula1>
    </x:dataValidation>
    <x:dataValidation type="list" sqref="I3">
      <x:formula1>"3,4,5"</x:formula1>
    </x:dataValidation>
  </x:dataValidations>
  <x:pageMargins left="0.7" right="0.7" top="0.75" bottom="0.75" header="0.3" footer="0.3"/>
  <x:drawing xmlns:r="http://schemas.openxmlformats.org/officeDocument/2006/relationships" r:id="Rb1cf4cf749f74a9f"/>
  <x:tableParts count="2">
    <x:tablePart xmlns:r="http://schemas.openxmlformats.org/officeDocument/2006/relationships" r:id="Rec26120fde264d4e"/>
    <x:tablePart xmlns:r="http://schemas.openxmlformats.org/officeDocument/2006/relationships" r:id="Rd21e4ed22baa46d9"/>
  </x:tableParts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b4b615b44c934cfb" /></Relationships>
</file>

<file path=pivotCache/pivotCacheDefinition1.xml><?xml version="1.0" encoding="utf-8"?>
<x:pivotCacheDefinition xmlns:x="http://schemas.openxmlformats.org/spreadsheetml/2006/main" refreshedBy="Excel Services" refreshedDate="45972.12103321759" createdVersion="8" refreshedVersion="8" minRefreshableVersion="3" recordCount="2889">
  <x:cacheSource type="worksheet">
    <x:worksheetSource ref="A1:I2890" sheet="VERİ"/>
  </x:cacheSource>
  <x:cacheFields count="9">
    <x:cacheField name="ID" numFmtId="0">
      <x:sharedItems containsSemiMixedTypes="0" containsString="0" containsNumber="1" minValue="1" maxValue="2889"/>
    </x:cacheField>
    <x:cacheField name="Personel Ad" numFmtId="0">
      <x:sharedItems/>
    </x:cacheField>
    <x:cacheField name="Urun Ad" numFmtId="0">
      <x:sharedItems count="23">
        <x:s v="Bulaşık Makinesi Beyaz"/>
        <x:s v="Mikrodalga Fırın Beyaz"/>
        <x:s v="Buzdolabı İki Kapaklı Beyaz"/>
        <x:s v="Ütü Siyah"/>
        <x:s v="Kahve Makinesi Y Marka"/>
        <x:s v="Çamaşır Makinesi Gri"/>
        <x:s v="Derin Dondurucu Gri"/>
        <x:s v="Ocak Beyaz"/>
        <x:s v="Tost Makinesi Gri X Marka"/>
        <x:s v="Mikrodalga Fırın Gri"/>
        <x:s v="Tost Makinesi Gri Y Marka"/>
        <x:s v="Çamaşır Makinesi Beyaz"/>
        <x:s v="Buzdolabı Dört Kapılı Gri"/>
        <x:s v="Davlumbaz Gri X Marka"/>
        <x:s v="Fırın Beyaz"/>
        <x:s v="Derin Dondurucu Beyaz"/>
        <x:s v="Kahve Makinesi X Marka"/>
        <x:s v="Ocak Siyah"/>
        <x:s v="Ütü Mor"/>
        <x:s v="Buzdolabı İki Kapılı Gri"/>
        <x:s v="Bulaşık Makinesi Gri"/>
        <x:s v="Davlumbaz Gri Y Marka"/>
        <x:s v="Fırın Siyah"/>
      </x:sharedItems>
    </x:cacheField>
    <x:cacheField name="Satış Adet" numFmtId="0">
      <x:sharedItems containsSemiMixedTypes="0" containsString="0" containsNumber="1" minValue="1" maxValue="5"/>
    </x:cacheField>
    <x:cacheField name="Birim Fiyat" numFmtId="0">
      <x:sharedItems containsSemiMixedTypes="0" containsString="0" containsNumber="1" minValue="1090" maxValue="10590"/>
    </x:cacheField>
    <x:cacheField name="Toplam Sipariş Tutarı" numFmtId="0">
      <x:sharedItems containsSemiMixedTypes="0" containsString="0" containsNumber="1" minValue="1090" maxValue="52950"/>
    </x:cacheField>
    <x:cacheField name="Ürün Kar Tutarı" numFmtId="0">
      <x:sharedItems containsSemiMixedTypes="0" containsString="0" containsNumber="1" minValue="290" maxValue="22950"/>
    </x:cacheField>
    <x:cacheField name="Ay" numFmtId="0">
      <x:sharedItems/>
    </x:cacheField>
    <x:cacheField name="Şehirler" numFmtId="0">
      <x:sharedItems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 pivotCacheId="1925535033"/>
    </x:ext>
  </x:extLst>
</x:pivotCacheDefinition>
</file>

<file path=pivotCache/pivotCacheRecords1.xml><?xml version="1.0" encoding="utf-8"?>
<x:pivotCacheRecords xmlns:x="http://schemas.openxmlformats.org/spreadsheetml/2006/main" count="2889">
  <x:r>
    <x:n v="1"/>
    <x:x v="0"/>
    <x:x v="0"/>
    <x:x v="0"/>
    <x:n v="6000"/>
    <x:n v="12000"/>
    <x:n v="4000"/>
    <x:x v="0"/>
    <x:s v="Kocaeli"/>
  </x:r>
  <x:r>
    <x:n v="2"/>
    <x:x v="1"/>
    <x:x v="1"/>
    <x:x v="0"/>
    <x:n v="1400"/>
    <x:n v="2800"/>
    <x:n v="1200"/>
    <x:x v="0"/>
    <x:s v="Gaziantep"/>
  </x:r>
  <x:r>
    <x:n v="3"/>
    <x:x v="2"/>
    <x:x v="2"/>
    <x:x v="0"/>
    <x:n v="8450"/>
    <x:n v="16900"/>
    <x:n v="4900"/>
    <x:x v="0"/>
    <x:s v="Ankara"/>
  </x:r>
  <x:r>
    <x:n v="4"/>
    <x:x v="3"/>
    <x:x v="3"/>
    <x:x v="1"/>
    <x:n v="1350"/>
    <x:n v="4050"/>
    <x:n v="1650"/>
    <x:x v="0"/>
    <x:s v="Konya"/>
  </x:r>
  <x:r>
    <x:n v="5"/>
    <x:x v="0"/>
    <x:x v="4"/>
    <x:x v="0"/>
    <x:n v="2180"/>
    <x:n v="4360"/>
    <x:n v="1360"/>
    <x:x v="0"/>
    <x:s v="Ankara"/>
  </x:r>
  <x:r>
    <x:n v="6"/>
    <x:x v="4"/>
    <x:x v="5"/>
    <x:x v="0"/>
    <x:n v="7600"/>
    <x:n v="15200"/>
    <x:n v="3200"/>
    <x:x v="0"/>
    <x:s v="Hatay"/>
  </x:r>
  <x:r>
    <x:n v="7"/>
    <x:x v="1"/>
    <x:x v="6"/>
    <x:x v="0"/>
    <x:n v="7250"/>
    <x:n v="14500"/>
    <x:n v="4500"/>
    <x:x v="0"/>
    <x:s v="Ankara"/>
  </x:r>
  <x:r>
    <x:n v="8"/>
    <x:x v="3"/>
    <x:x v="7"/>
    <x:x v="1"/>
    <x:n v="1100"/>
    <x:n v="3300"/>
    <x:n v="900"/>
    <x:x v="0"/>
    <x:s v="Antalya"/>
  </x:r>
  <x:r>
    <x:n v="9"/>
    <x:x v="5"/>
    <x:x v="8"/>
    <x:x v="0"/>
    <x:n v="6000"/>
    <x:n v="12000"/>
    <x:n v="4000"/>
    <x:x v="0"/>
    <x:s v="Gaziantep"/>
  </x:r>
  <x:r>
    <x:n v="10"/>
    <x:x v="0"/>
    <x:x v="9"/>
    <x:x v="2"/>
    <x:n v="1200"/>
    <x:n v="1200"/>
    <x:n v="400"/>
    <x:x v="0"/>
    <x:s v="Adana"/>
  </x:r>
  <x:r>
    <x:n v="11"/>
    <x:x v="6"/>
    <x:x v="10"/>
    <x:x v="0"/>
    <x:n v="1800"/>
    <x:n v="3600"/>
    <x:n v="2000"/>
    <x:x v="0"/>
    <x:s v="Konya"/>
  </x:r>
  <x:r>
    <x:n v="12"/>
    <x:x v="6"/>
    <x:x v="11"/>
    <x:x v="0"/>
    <x:n v="1090"/>
    <x:n v="2180"/>
    <x:n v="580"/>
    <x:x v="0"/>
    <x:s v="Kocaeli"/>
  </x:r>
  <x:r>
    <x:n v="13"/>
    <x:x v="5"/>
    <x:x v="4"/>
    <x:x v="1"/>
    <x:n v="2180"/>
    <x:n v="6540"/>
    <x:n v="2040"/>
    <x:x v="0"/>
    <x:s v="Antalya"/>
  </x:r>
  <x:r>
    <x:n v="14"/>
    <x:x v="7"/>
    <x:x v="10"/>
    <x:x v="1"/>
    <x:n v="1800"/>
    <x:n v="5400"/>
    <x:n v="3000"/>
    <x:x v="0"/>
    <x:s v="Konya"/>
  </x:r>
  <x:r>
    <x:n v="15"/>
    <x:x v="4"/>
    <x:x v="12"/>
    <x:x v="1"/>
    <x:n v="8000"/>
    <x:n v="24000"/>
    <x:n v="6000"/>
    <x:x v="0"/>
    <x:s v="Şanlıurfa"/>
  </x:r>
  <x:r>
    <x:n v="16"/>
    <x:x v="5"/>
    <x:x v="1"/>
    <x:x v="2"/>
    <x:n v="1400"/>
    <x:n v="1400"/>
    <x:n v="600"/>
    <x:x v="0"/>
    <x:s v="Konya"/>
  </x:r>
  <x:r>
    <x:n v="17"/>
    <x:x v="8"/>
    <x:x v="13"/>
    <x:x v="2"/>
    <x:n v="10590"/>
    <x:n v="10590"/>
    <x:n v="4590"/>
    <x:x v="0"/>
    <x:s v="Şanlıurfa"/>
  </x:r>
  <x:r>
    <x:n v="18"/>
    <x:x v="9"/>
    <x:x v="3"/>
    <x:x v="0"/>
    <x:n v="1350"/>
    <x:n v="2700"/>
    <x:n v="1100"/>
    <x:x v="0"/>
    <x:s v="Adana"/>
  </x:r>
  <x:r>
    <x:n v="19"/>
    <x:x v="6"/>
    <x:x v="1"/>
    <x:x v="0"/>
    <x:n v="1400"/>
    <x:n v="2800"/>
    <x:n v="1200"/>
    <x:x v="0"/>
    <x:s v="Kocaeli"/>
  </x:r>
  <x:r>
    <x:n v="20"/>
    <x:x v="3"/>
    <x:x v="0"/>
    <x:x v="2"/>
    <x:n v="6000"/>
    <x:n v="6000"/>
    <x:n v="2000"/>
    <x:x v="0"/>
    <x:s v="Bursa"/>
  </x:r>
  <x:r>
    <x:n v="21"/>
    <x:x v="8"/>
    <x:x v="7"/>
    <x:x v="0"/>
    <x:n v="1100"/>
    <x:n v="2200"/>
    <x:n v="600"/>
    <x:x v="0"/>
    <x:s v="Şanlıurfa"/>
  </x:r>
  <x:r>
    <x:n v="22"/>
    <x:x v="2"/>
    <x:x v="0"/>
    <x:x v="0"/>
    <x:n v="6000"/>
    <x:n v="12000"/>
    <x:n v="4000"/>
    <x:x v="0"/>
    <x:s v="İzmir"/>
  </x:r>
  <x:r>
    <x:n v="23"/>
    <x:x v="9"/>
    <x:x v="14"/>
    <x:x v="2"/>
    <x:n v="1490"/>
    <x:n v="1490"/>
    <x:n v="690"/>
    <x:x v="0"/>
    <x:s v="Kocaeli"/>
  </x:r>
  <x:r>
    <x:n v="24"/>
    <x:x v="8"/>
    <x:x v="13"/>
    <x:x v="0"/>
    <x:n v="10590"/>
    <x:n v="21180"/>
    <x:n v="9180"/>
    <x:x v="0"/>
    <x:s v="İzmir"/>
  </x:r>
  <x:r>
    <x:n v="25"/>
    <x:x v="2"/>
    <x:x v="12"/>
    <x:x v="1"/>
    <x:n v="8000"/>
    <x:n v="24000"/>
    <x:n v="6000"/>
    <x:x v="0"/>
    <x:s v="Gaziantep"/>
  </x:r>
  <x:r>
    <x:n v="26"/>
    <x:x v="6"/>
    <x:x v="7"/>
    <x:x v="2"/>
    <x:n v="1100"/>
    <x:n v="1100"/>
    <x:n v="300"/>
    <x:x v="0"/>
    <x:s v="Diyarbakır"/>
  </x:r>
  <x:r>
    <x:n v="27"/>
    <x:x v="9"/>
    <x:x v="9"/>
    <x:x v="2"/>
    <x:n v="1200"/>
    <x:n v="1200"/>
    <x:n v="400"/>
    <x:x v="0"/>
    <x:s v="Antalya"/>
  </x:r>
  <x:r>
    <x:n v="28"/>
    <x:x v="4"/>
    <x:x v="15"/>
    <x:x v="0"/>
    <x:n v="4200"/>
    <x:n v="8400"/>
    <x:n v="2400"/>
    <x:x v="0"/>
    <x:s v="Mersin"/>
  </x:r>
  <x:r>
    <x:n v="29"/>
    <x:x v="1"/>
    <x:x v="16"/>
    <x:x v="1"/>
    <x:n v="5775"/>
    <x:n v="17325"/>
    <x:n v="5325"/>
    <x:x v="0"/>
    <x:s v="Diyarbakır"/>
  </x:r>
  <x:r>
    <x:n v="30"/>
    <x:x v="10"/>
    <x:x v="5"/>
    <x:x v="1"/>
    <x:n v="7600"/>
    <x:n v="22800"/>
    <x:n v="4800"/>
    <x:x v="0"/>
    <x:s v="Bursa"/>
  </x:r>
  <x:r>
    <x:n v="31"/>
    <x:x v="1"/>
    <x:x v="6"/>
    <x:x v="1"/>
    <x:n v="7250"/>
    <x:n v="21750"/>
    <x:n v="6750"/>
    <x:x v="0"/>
    <x:s v="Antalya"/>
  </x:r>
  <x:r>
    <x:n v="32"/>
    <x:x v="0"/>
    <x:x v="6"/>
    <x:x v="1"/>
    <x:n v="7250"/>
    <x:n v="21750"/>
    <x:n v="6750"/>
    <x:x v="0"/>
    <x:s v="Mersin"/>
  </x:r>
  <x:r>
    <x:n v="33"/>
    <x:x v="8"/>
    <x:x v="6"/>
    <x:x v="1"/>
    <x:n v="7250"/>
    <x:n v="21750"/>
    <x:n v="6750"/>
    <x:x v="0"/>
    <x:s v="Mersin"/>
  </x:r>
  <x:r>
    <x:m/>
    <x:x v="5"/>
    <x:x v="3"/>
    <x:x v="2"/>
    <x:n v="1350"/>
    <x:n v="1350"/>
    <x:n v="550"/>
    <x:x v="1"/>
    <x:s v="Adana"/>
  </x:r>
  <x:r>
    <x:m/>
    <x:x v="1"/>
    <x:x v="6"/>
    <x:x v="0"/>
    <x:n v="7250"/>
    <x:n v="14500"/>
    <x:n v="4500"/>
    <x:x v="1"/>
    <x:s v="Şanlıurfa"/>
  </x:r>
  <x:r>
    <x:m/>
    <x:x v="6"/>
    <x:x v="5"/>
    <x:x v="2"/>
    <x:n v="7600"/>
    <x:n v="7600"/>
    <x:n v="1600"/>
    <x:x v="1"/>
    <x:s v="Gaziantep"/>
  </x:r>
  <x:r>
    <x:m/>
    <x:x v="11"/>
    <x:x v="5"/>
    <x:x v="1"/>
    <x:n v="7600"/>
    <x:n v="22800"/>
    <x:n v="4800"/>
    <x:x v="1"/>
    <x:s v="Bursa"/>
  </x:r>
  <x:r>
    <x:m/>
    <x:x v="1"/>
    <x:x v="14"/>
    <x:x v="1"/>
    <x:n v="1490"/>
    <x:n v="4470"/>
    <x:n v="2070"/>
    <x:x v="1"/>
    <x:s v="Kocaeli"/>
  </x:r>
  <x:r>
    <x:m/>
    <x:x v="5"/>
    <x:x v="17"/>
    <x:x v="0"/>
    <x:n v="2900"/>
    <x:n v="5800"/>
    <x:n v="1800"/>
    <x:x v="1"/>
    <x:s v="Diyarbakır"/>
  </x:r>
  <x:r>
    <x:m/>
    <x:x v="9"/>
    <x:x v="14"/>
    <x:x v="2"/>
    <x:n v="1490"/>
    <x:n v="1490"/>
    <x:n v="690"/>
    <x:x v="1"/>
    <x:s v="Gaziantep"/>
  </x:r>
  <x:r>
    <x:m/>
    <x:x v="9"/>
    <x:x v="11"/>
    <x:x v="0"/>
    <x:n v="1090"/>
    <x:n v="2180"/>
    <x:n v="580"/>
    <x:x v="1"/>
    <x:s v="Hatay"/>
  </x:r>
  <x:r>
    <x:m/>
    <x:x v="5"/>
    <x:x v="9"/>
    <x:x v="0"/>
    <x:n v="1200"/>
    <x:n v="2400"/>
    <x:n v="800"/>
    <x:x v="1"/>
    <x:s v="Adana"/>
  </x:r>
  <x:r>
    <x:m/>
    <x:x v="12"/>
    <x:x v="13"/>
    <x:x v="0"/>
    <x:n v="10590"/>
    <x:n v="21180"/>
    <x:n v="9180"/>
    <x:x v="1"/>
    <x:s v="Bursa"/>
  </x:r>
  <x:r>
    <x:m/>
    <x:x v="13"/>
    <x:x v="15"/>
    <x:x v="1"/>
    <x:n v="4200"/>
    <x:n v="12600"/>
    <x:n v="3600"/>
    <x:x v="1"/>
    <x:s v="Konya"/>
  </x:r>
  <x:r>
    <x:m/>
    <x:x v="3"/>
    <x:x v="15"/>
    <x:x v="1"/>
    <x:n v="4200"/>
    <x:n v="12600"/>
    <x:n v="3600"/>
    <x:x v="1"/>
    <x:s v="Gaziantep"/>
  </x:r>
  <x:r>
    <x:m/>
    <x:x v="7"/>
    <x:x v="13"/>
    <x:x v="0"/>
    <x:n v="10590"/>
    <x:n v="21180"/>
    <x:n v="9180"/>
    <x:x v="1"/>
    <x:s v="Kocaeli"/>
  </x:r>
  <x:r>
    <x:m/>
    <x:x v="11"/>
    <x:x v="18"/>
    <x:x v="2"/>
    <x:n v="1250"/>
    <x:n v="1250"/>
    <x:n v="450"/>
    <x:x v="1"/>
    <x:s v="Mersin"/>
  </x:r>
  <x:r>
    <x:m/>
    <x:x v="0"/>
    <x:x v="14"/>
    <x:x v="1"/>
    <x:n v="1490"/>
    <x:n v="4470"/>
    <x:n v="2070"/>
    <x:x v="1"/>
    <x:s v="Mersin"/>
  </x:r>
  <x:r>
    <x:m/>
    <x:x v="6"/>
    <x:x v="9"/>
    <x:x v="0"/>
    <x:n v="1200"/>
    <x:n v="2400"/>
    <x:n v="800"/>
    <x:x v="1"/>
    <x:s v="Hatay"/>
  </x:r>
  <x:r>
    <x:m/>
    <x:x v="2"/>
    <x:x v="4"/>
    <x:x v="1"/>
    <x:n v="2180"/>
    <x:n v="6540"/>
    <x:n v="2040"/>
    <x:x v="1"/>
    <x:s v="Şanlıurfa"/>
  </x:r>
  <x:r>
    <x:m/>
    <x:x v="9"/>
    <x:x v="19"/>
    <x:x v="1"/>
    <x:n v="1200"/>
    <x:n v="3600"/>
    <x:n v="1200"/>
    <x:x v="1"/>
    <x:s v="Ankara"/>
  </x:r>
  <x:r>
    <x:m/>
    <x:x v="0"/>
    <x:x v="10"/>
    <x:x v="2"/>
    <x:n v="1800"/>
    <x:n v="1800"/>
    <x:n v="1000"/>
    <x:x v="1"/>
    <x:s v="İstanbul"/>
  </x:r>
  <x:r>
    <x:m/>
    <x:x v="2"/>
    <x:x v="5"/>
    <x:x v="2"/>
    <x:n v="7600"/>
    <x:n v="7600"/>
    <x:n v="1600"/>
    <x:x v="1"/>
    <x:s v="İzmir"/>
  </x:r>
  <x:r>
    <x:m/>
    <x:x v="7"/>
    <x:x v="20"/>
    <x:x v="2"/>
    <x:n v="7530"/>
    <x:n v="7530"/>
    <x:n v="1530"/>
    <x:x v="1"/>
    <x:s v="Şanlıurfa"/>
  </x:r>
  <x:r>
    <x:m/>
    <x:x v="11"/>
    <x:x v="14"/>
    <x:x v="0"/>
    <x:n v="1490"/>
    <x:n v="2980"/>
    <x:n v="1380"/>
    <x:x v="1"/>
    <x:s v="Bursa"/>
  </x:r>
  <x:r>
    <x:m/>
    <x:x v="0"/>
    <x:x v="21"/>
    <x:x v="2"/>
    <x:n v="5300"/>
    <x:n v="5300"/>
    <x:n v="1300"/>
    <x:x v="1"/>
    <x:s v="Mersin"/>
  </x:r>
  <x:r>
    <x:m/>
    <x:x v="4"/>
    <x:x v="9"/>
    <x:x v="0"/>
    <x:n v="1200"/>
    <x:n v="2400"/>
    <x:n v="800"/>
    <x:x v="1"/>
    <x:s v="Kocaeli"/>
  </x:r>
  <x:r>
    <x:m/>
    <x:x v="9"/>
    <x:x v="11"/>
    <x:x v="2"/>
    <x:n v="1090"/>
    <x:n v="1090"/>
    <x:n v="290"/>
    <x:x v="1"/>
    <x:s v="Ankara"/>
  </x:r>
  <x:r>
    <x:m/>
    <x:x v="4"/>
    <x:x v="6"/>
    <x:x v="2"/>
    <x:n v="7250"/>
    <x:n v="7250"/>
    <x:n v="2250"/>
    <x:x v="1"/>
    <x:s v="İstanbul"/>
  </x:r>
  <x:r>
    <x:m/>
    <x:x v="10"/>
    <x:x v="1"/>
    <x:x v="1"/>
    <x:n v="1400"/>
    <x:n v="4200"/>
    <x:n v="1800"/>
    <x:x v="1"/>
    <x:s v="Kocaeli"/>
  </x:r>
  <x:r>
    <x:m/>
    <x:x v="2"/>
    <x:x v="22"/>
    <x:x v="2"/>
    <x:n v="1500"/>
    <x:n v="1500"/>
    <x:n v="700"/>
    <x:x v="1"/>
    <x:s v="Hatay"/>
  </x:r>
  <x:r>
    <x:m/>
    <x:x v="7"/>
    <x:x v="3"/>
    <x:x v="2"/>
    <x:n v="1350"/>
    <x:n v="1350"/>
    <x:n v="550"/>
    <x:x v="1"/>
    <x:s v="Şanlıurfa"/>
  </x:r>
  <x:r>
    <x:m/>
    <x:x v="7"/>
    <x:x v="9"/>
    <x:x v="1"/>
    <x:n v="1200"/>
    <x:n v="3600"/>
    <x:n v="1200"/>
    <x:x v="1"/>
    <x:s v="İzmir"/>
  </x:r>
  <x:r>
    <x:m/>
    <x:x v="1"/>
    <x:x v="20"/>
    <x:x v="1"/>
    <x:n v="7530"/>
    <x:n v="22590"/>
    <x:n v="4590"/>
    <x:x v="1"/>
    <x:s v="Adana"/>
  </x:r>
  <x:r>
    <x:m/>
    <x:x v="10"/>
    <x:x v="9"/>
    <x:x v="2"/>
    <x:n v="1200"/>
    <x:n v="1200"/>
    <x:n v="400"/>
    <x:x v="1"/>
    <x:s v="Diyarbakır"/>
  </x:r>
  <x:r>
    <x:m/>
    <x:x v="8"/>
    <x:x v="10"/>
    <x:x v="1"/>
    <x:n v="1800"/>
    <x:n v="5400"/>
    <x:n v="3000"/>
    <x:x v="1"/>
    <x:s v="Konya"/>
  </x:r>
  <x:r>
    <x:m/>
    <x:x v="0"/>
    <x:x v="6"/>
    <x:x v="2"/>
    <x:n v="7250"/>
    <x:n v="7250"/>
    <x:n v="2250"/>
    <x:x v="1"/>
    <x:s v="Şanlıurfa"/>
  </x:r>
  <x:r>
    <x:m/>
    <x:x v="9"/>
    <x:x v="14"/>
    <x:x v="1"/>
    <x:n v="1490"/>
    <x:n v="4470"/>
    <x:n v="2070"/>
    <x:x v="1"/>
    <x:s v="Kocaeli"/>
  </x:r>
  <x:r>
    <x:m/>
    <x:x v="9"/>
    <x:x v="19"/>
    <x:x v="2"/>
    <x:n v="1200"/>
    <x:n v="1200"/>
    <x:n v="400"/>
    <x:x v="1"/>
    <x:s v="Bursa"/>
  </x:r>
  <x:r>
    <x:m/>
    <x:x v="1"/>
    <x:x v="12"/>
    <x:x v="2"/>
    <x:n v="8000"/>
    <x:n v="8000"/>
    <x:n v="2000"/>
    <x:x v="1"/>
    <x:s v="Antalya"/>
  </x:r>
  <x:r>
    <x:m/>
    <x:x v="6"/>
    <x:x v="1"/>
    <x:x v="2"/>
    <x:n v="1400"/>
    <x:n v="1400"/>
    <x:n v="600"/>
    <x:x v="1"/>
    <x:s v="Ankara"/>
  </x:r>
  <x:r>
    <x:m/>
    <x:x v="5"/>
    <x:x v="3"/>
    <x:x v="2"/>
    <x:n v="1350"/>
    <x:n v="1350"/>
    <x:n v="550"/>
    <x:x v="1"/>
    <x:s v="İzmir"/>
  </x:r>
  <x:r>
    <x:m/>
    <x:x v="8"/>
    <x:x v="19"/>
    <x:x v="2"/>
    <x:n v="1200"/>
    <x:n v="1200"/>
    <x:n v="400"/>
    <x:x v="1"/>
    <x:s v="Diyarbakır"/>
  </x:r>
  <x:r>
    <x:m/>
    <x:x v="6"/>
    <x:x v="21"/>
    <x:x v="2"/>
    <x:n v="5300"/>
    <x:n v="5300"/>
    <x:n v="1300"/>
    <x:x v="1"/>
    <x:s v="Adana"/>
  </x:r>
  <x:r>
    <x:m/>
    <x:x v="9"/>
    <x:x v="13"/>
    <x:x v="1"/>
    <x:n v="10590"/>
    <x:n v="31770"/>
    <x:n v="13770"/>
    <x:x v="1"/>
    <x:s v="Kocaeli"/>
  </x:r>
  <x:r>
    <x:m/>
    <x:x v="4"/>
    <x:x v="18"/>
    <x:x v="2"/>
    <x:n v="1250"/>
    <x:n v="1250"/>
    <x:n v="450"/>
    <x:x v="1"/>
    <x:s v="Şanlıurfa"/>
  </x:r>
  <x:r>
    <x:m/>
    <x:x v="11"/>
    <x:x v="19"/>
    <x:x v="2"/>
    <x:n v="1200"/>
    <x:n v="1200"/>
    <x:n v="400"/>
    <x:x v="1"/>
    <x:s v="Mersin"/>
  </x:r>
  <x:r>
    <x:m/>
    <x:x v="4"/>
    <x:x v="1"/>
    <x:x v="1"/>
    <x:n v="1400"/>
    <x:n v="4200"/>
    <x:n v="1800"/>
    <x:x v="1"/>
    <x:s v="Mersin"/>
  </x:r>
  <x:r>
    <x:m/>
    <x:x v="11"/>
    <x:x v="20"/>
    <x:x v="0"/>
    <x:n v="7530"/>
    <x:n v="15060"/>
    <x:n v="3060"/>
    <x:x v="1"/>
    <x:s v="Adana"/>
  </x:r>
  <x:r>
    <x:m/>
    <x:x v="6"/>
    <x:x v="5"/>
    <x:x v="2"/>
    <x:n v="7600"/>
    <x:n v="7600"/>
    <x:n v="1600"/>
    <x:x v="1"/>
    <x:s v="Şanlıurfa"/>
  </x:r>
  <x:r>
    <x:m/>
    <x:x v="11"/>
    <x:x v="22"/>
    <x:x v="2"/>
    <x:n v="1500"/>
    <x:n v="1500"/>
    <x:n v="700"/>
    <x:x v="1"/>
    <x:s v="Kocaeli"/>
  </x:r>
  <x:r>
    <x:m/>
    <x:x v="9"/>
    <x:x v="4"/>
    <x:x v="0"/>
    <x:n v="2180"/>
    <x:n v="4360"/>
    <x:n v="1360"/>
    <x:x v="1"/>
    <x:s v="Antalya"/>
  </x:r>
  <x:r>
    <x:m/>
    <x:x v="3"/>
    <x:x v="4"/>
    <x:x v="2"/>
    <x:n v="2180"/>
    <x:n v="2180"/>
    <x:n v="680"/>
    <x:x v="1"/>
    <x:s v="Konya"/>
  </x:r>
  <x:r>
    <x:m/>
    <x:x v="9"/>
    <x:x v="16"/>
    <x:x v="2"/>
    <x:n v="5775"/>
    <x:n v="5775"/>
    <x:n v="1775"/>
    <x:x v="1"/>
    <x:s v="Bursa"/>
  </x:r>
  <x:r>
    <x:m/>
    <x:x v="9"/>
    <x:x v="7"/>
    <x:x v="1"/>
    <x:n v="1100"/>
    <x:n v="3300"/>
    <x:n v="900"/>
    <x:x v="1"/>
    <x:s v="Diyarbakır"/>
  </x:r>
  <x:r>
    <x:m/>
    <x:x v="10"/>
    <x:x v="16"/>
    <x:x v="2"/>
    <x:n v="5775"/>
    <x:n v="5775"/>
    <x:n v="1775"/>
    <x:x v="1"/>
    <x:s v="Bursa"/>
  </x:r>
  <x:r>
    <x:m/>
    <x:x v="7"/>
    <x:x v="3"/>
    <x:x v="2"/>
    <x:n v="1350"/>
    <x:n v="1350"/>
    <x:n v="550"/>
    <x:x v="1"/>
    <x:s v="Antalya"/>
  </x:r>
  <x:r>
    <x:m/>
    <x:x v="0"/>
    <x:x v="5"/>
    <x:x v="1"/>
    <x:n v="7600"/>
    <x:n v="22800"/>
    <x:n v="4800"/>
    <x:x v="1"/>
    <x:s v="İstanbul"/>
  </x:r>
  <x:r>
    <x:m/>
    <x:x v="2"/>
    <x:x v="6"/>
    <x:x v="1"/>
    <x:n v="7250"/>
    <x:n v="21750"/>
    <x:n v="6750"/>
    <x:x v="1"/>
    <x:s v="Adana"/>
  </x:r>
  <x:r>
    <x:m/>
    <x:x v="11"/>
    <x:x v="14"/>
    <x:x v="0"/>
    <x:n v="1490"/>
    <x:n v="2980"/>
    <x:n v="1380"/>
    <x:x v="1"/>
    <x:s v="İstanbul"/>
  </x:r>
  <x:r>
    <x:m/>
    <x:x v="3"/>
    <x:x v="14"/>
    <x:x v="0"/>
    <x:n v="1490"/>
    <x:n v="2980"/>
    <x:n v="1380"/>
    <x:x v="1"/>
    <x:s v="Gaziantep"/>
  </x:r>
  <x:r>
    <x:m/>
    <x:x v="8"/>
    <x:x v="11"/>
    <x:x v="0"/>
    <x:n v="1090"/>
    <x:n v="2180"/>
    <x:n v="580"/>
    <x:x v="1"/>
    <x:s v="Şanlıurfa"/>
  </x:r>
  <x:r>
    <x:m/>
    <x:x v="8"/>
    <x:x v="9"/>
    <x:x v="1"/>
    <x:n v="1200"/>
    <x:n v="3600"/>
    <x:n v="1200"/>
    <x:x v="1"/>
    <x:s v="Gaziantep"/>
  </x:r>
  <x:r>
    <x:m/>
    <x:x v="11"/>
    <x:x v="11"/>
    <x:x v="0"/>
    <x:n v="1090"/>
    <x:n v="2180"/>
    <x:n v="580"/>
    <x:x v="1"/>
    <x:s v="Adana"/>
  </x:r>
  <x:r>
    <x:m/>
    <x:x v="11"/>
    <x:x v="4"/>
    <x:x v="1"/>
    <x:n v="2180"/>
    <x:n v="6540"/>
    <x:n v="2040"/>
    <x:x v="1"/>
    <x:s v="Hatay"/>
  </x:r>
  <x:r>
    <x:m/>
    <x:x v="2"/>
    <x:x v="21"/>
    <x:x v="1"/>
    <x:n v="5300"/>
    <x:n v="15900"/>
    <x:n v="3900"/>
    <x:x v="1"/>
    <x:s v="Hatay"/>
  </x:r>
  <x:r>
    <x:m/>
    <x:x v="11"/>
    <x:x v="21"/>
    <x:x v="0"/>
    <x:n v="5300"/>
    <x:n v="10600"/>
    <x:n v="2600"/>
    <x:x v="1"/>
    <x:s v="Hatay"/>
  </x:r>
  <x:r>
    <x:m/>
    <x:x v="5"/>
    <x:x v="6"/>
    <x:x v="0"/>
    <x:n v="7250"/>
    <x:n v="14500"/>
    <x:n v="4500"/>
    <x:x v="1"/>
    <x:s v="Hatay"/>
  </x:r>
  <x:r>
    <x:m/>
    <x:x v="5"/>
    <x:x v="19"/>
    <x:x v="1"/>
    <x:n v="1200"/>
    <x:n v="3600"/>
    <x:n v="1200"/>
    <x:x v="1"/>
    <x:s v="Ankara"/>
  </x:r>
  <x:r>
    <x:m/>
    <x:x v="3"/>
    <x:x v="0"/>
    <x:x v="2"/>
    <x:n v="6000"/>
    <x:n v="6000"/>
    <x:n v="2000"/>
    <x:x v="1"/>
    <x:s v="Konya"/>
  </x:r>
  <x:r>
    <x:m/>
    <x:x v="2"/>
    <x:x v="2"/>
    <x:x v="1"/>
    <x:n v="8450"/>
    <x:n v="25350"/>
    <x:n v="7350"/>
    <x:x v="1"/>
    <x:s v="Kocaeli"/>
  </x:r>
  <x:r>
    <x:m/>
    <x:x v="6"/>
    <x:x v="15"/>
    <x:x v="2"/>
    <x:n v="4200"/>
    <x:n v="4200"/>
    <x:n v="1200"/>
    <x:x v="1"/>
    <x:s v="Konya"/>
  </x:r>
  <x:r>
    <x:m/>
    <x:x v="6"/>
    <x:x v="13"/>
    <x:x v="1"/>
    <x:n v="10590"/>
    <x:n v="31770"/>
    <x:n v="13770"/>
    <x:x v="1"/>
    <x:s v="Gaziantep"/>
  </x:r>
  <x:r>
    <x:m/>
    <x:x v="5"/>
    <x:x v="19"/>
    <x:x v="2"/>
    <x:n v="1200"/>
    <x:n v="1200"/>
    <x:n v="400"/>
    <x:x v="1"/>
    <x:s v="Konya"/>
  </x:r>
  <x:r>
    <x:m/>
    <x:x v="10"/>
    <x:x v="7"/>
    <x:x v="0"/>
    <x:n v="1100"/>
    <x:n v="2200"/>
    <x:n v="600"/>
    <x:x v="1"/>
    <x:s v="Ankara"/>
  </x:r>
  <x:r>
    <x:m/>
    <x:x v="9"/>
    <x:x v="17"/>
    <x:x v="0"/>
    <x:n v="3700"/>
    <x:n v="7400"/>
    <x:n v="1400"/>
    <x:x v="1"/>
    <x:s v="Adana"/>
  </x:r>
  <x:r>
    <x:m/>
    <x:x v="1"/>
    <x:x v="23"/>
    <x:x v="2"/>
    <x:n v="3700"/>
    <x:n v="3700"/>
    <x:n v="700"/>
    <x:x v="1"/>
    <x:s v="İzmir"/>
  </x:r>
  <x:r>
    <x:m/>
    <x:x v="6"/>
    <x:x v="7"/>
    <x:x v="1"/>
    <x:n v="1100"/>
    <x:n v="3300"/>
    <x:n v="900"/>
    <x:x v="1"/>
    <x:s v="Bursa"/>
  </x:r>
  <x:r>
    <x:m/>
    <x:x v="5"/>
    <x:x v="23"/>
    <x:x v="2"/>
    <x:n v="3700"/>
    <x:n v="3700"/>
    <x:n v="700"/>
    <x:x v="2"/>
    <x:s v="Bursa"/>
  </x:r>
  <x:r>
    <x:m/>
    <x:x v="10"/>
    <x:x v="14"/>
    <x:x v="2"/>
    <x:n v="1490"/>
    <x:n v="1490"/>
    <x:n v="690"/>
    <x:x v="2"/>
    <x:s v="Diyarbakır"/>
  </x:r>
  <x:r>
    <x:m/>
    <x:x v="9"/>
    <x:x v="22"/>
    <x:x v="2"/>
    <x:n v="1500"/>
    <x:n v="1500"/>
    <x:n v="700"/>
    <x:x v="2"/>
    <x:s v="Antalya"/>
  </x:r>
  <x:r>
    <x:m/>
    <x:x v="8"/>
    <x:x v="11"/>
    <x:x v="0"/>
    <x:n v="1090"/>
    <x:n v="2180"/>
    <x:n v="580"/>
    <x:x v="2"/>
    <x:s v="Antalya"/>
  </x:r>
  <x:r>
    <x:m/>
    <x:x v="10"/>
    <x:x v="10"/>
    <x:x v="1"/>
    <x:n v="1800"/>
    <x:n v="5400"/>
    <x:n v="3000"/>
    <x:x v="2"/>
    <x:s v="Hatay"/>
  </x:r>
  <x:r>
    <x:m/>
    <x:x v="7"/>
    <x:x v="20"/>
    <x:x v="0"/>
    <x:n v="7530"/>
    <x:n v="15060"/>
    <x:n v="3060"/>
    <x:x v="2"/>
    <x:s v="Mersin"/>
  </x:r>
  <x:r>
    <x:m/>
    <x:x v="6"/>
    <x:x v="7"/>
    <x:x v="1"/>
    <x:n v="1100"/>
    <x:n v="3300"/>
    <x:n v="900"/>
    <x:x v="2"/>
    <x:s v="Mersin"/>
  </x:r>
  <x:r>
    <x:m/>
    <x:x v="9"/>
    <x:x v="3"/>
    <x:x v="1"/>
    <x:n v="1350"/>
    <x:n v="4050"/>
    <x:n v="1650"/>
    <x:x v="2"/>
    <x:s v="İstanbul"/>
  </x:r>
  <x:r>
    <x:m/>
    <x:x v="8"/>
    <x:x v="3"/>
    <x:x v="2"/>
    <x:n v="1350"/>
    <x:n v="1350"/>
    <x:n v="550"/>
    <x:x v="2"/>
    <x:s v="Antalya"/>
  </x:r>
  <x:r>
    <x:m/>
    <x:x v="7"/>
    <x:x v="11"/>
    <x:x v="0"/>
    <x:n v="1090"/>
    <x:n v="2180"/>
    <x:n v="580"/>
    <x:x v="2"/>
    <x:s v="Konya"/>
  </x:r>
  <x:r>
    <x:m/>
    <x:x v="7"/>
    <x:x v="15"/>
    <x:x v="2"/>
    <x:n v="4200"/>
    <x:n v="4200"/>
    <x:n v="1200"/>
    <x:x v="2"/>
    <x:s v="Bursa"/>
  </x:r>
  <x:r>
    <x:m/>
    <x:x v="9"/>
    <x:x v="10"/>
    <x:x v="0"/>
    <x:n v="1800"/>
    <x:n v="3600"/>
    <x:n v="2000"/>
    <x:x v="2"/>
    <x:s v="İstanbul"/>
  </x:r>
  <x:r>
    <x:m/>
    <x:x v="11"/>
    <x:x v="11"/>
    <x:x v="2"/>
    <x:n v="1090"/>
    <x:n v="1090"/>
    <x:n v="290"/>
    <x:x v="2"/>
    <x:s v="Şanlıurfa"/>
  </x:r>
  <x:r>
    <x:m/>
    <x:x v="0"/>
    <x:x v="5"/>
    <x:x v="2"/>
    <x:n v="7600"/>
    <x:n v="7600"/>
    <x:n v="1600"/>
    <x:x v="2"/>
    <x:s v="Kocaeli"/>
  </x:r>
  <x:r>
    <x:m/>
    <x:x v="8"/>
    <x:x v="5"/>
    <x:x v="1"/>
    <x:n v="7600"/>
    <x:n v="22800"/>
    <x:n v="4800"/>
    <x:x v="2"/>
    <x:s v="Ankara"/>
  </x:r>
  <x:r>
    <x:m/>
    <x:x v="2"/>
    <x:x v="23"/>
    <x:x v="2"/>
    <x:n v="3700"/>
    <x:n v="3700"/>
    <x:n v="700"/>
    <x:x v="2"/>
    <x:s v="Gaziantep"/>
  </x:r>
  <x:r>
    <x:m/>
    <x:x v="4"/>
    <x:x v="6"/>
    <x:x v="1"/>
    <x:n v="7250"/>
    <x:n v="21750"/>
    <x:n v="6750"/>
    <x:x v="2"/>
    <x:s v="Şanlıurfa"/>
  </x:r>
  <x:r>
    <x:m/>
    <x:x v="1"/>
    <x:x v="5"/>
    <x:x v="1"/>
    <x:n v="7600"/>
    <x:n v="22800"/>
    <x:n v="4800"/>
    <x:x v="2"/>
    <x:s v="Mersin"/>
  </x:r>
  <x:r>
    <x:m/>
    <x:x v="10"/>
    <x:x v="15"/>
    <x:x v="2"/>
    <x:n v="4200"/>
    <x:n v="4200"/>
    <x:n v="1200"/>
    <x:x v="2"/>
    <x:s v="Antalya"/>
  </x:r>
  <x:r>
    <x:m/>
    <x:x v="6"/>
    <x:x v="18"/>
    <x:x v="1"/>
    <x:n v="1250"/>
    <x:n v="3750"/>
    <x:n v="1350"/>
    <x:x v="2"/>
    <x:s v="Hatay"/>
  </x:r>
  <x:r>
    <x:m/>
    <x:x v="8"/>
    <x:x v="11"/>
    <x:x v="2"/>
    <x:n v="1090"/>
    <x:n v="1090"/>
    <x:n v="290"/>
    <x:x v="2"/>
    <x:s v="Gaziantep"/>
  </x:r>
  <x:r>
    <x:m/>
    <x:x v="3"/>
    <x:x v="4"/>
    <x:x v="2"/>
    <x:n v="2180"/>
    <x:n v="2180"/>
    <x:n v="680"/>
    <x:x v="2"/>
    <x:s v="Şanlıurfa"/>
  </x:r>
  <x:r>
    <x:m/>
    <x:x v="11"/>
    <x:x v="23"/>
    <x:x v="0"/>
    <x:n v="3700"/>
    <x:n v="7400"/>
    <x:n v="1400"/>
    <x:x v="2"/>
    <x:s v="Antalya"/>
  </x:r>
  <x:r>
    <x:m/>
    <x:x v="9"/>
    <x:x v="0"/>
    <x:x v="0"/>
    <x:n v="6000"/>
    <x:n v="12000"/>
    <x:n v="4000"/>
    <x:x v="2"/>
    <x:s v="Gaziantep"/>
  </x:r>
  <x:r>
    <x:m/>
    <x:x v="10"/>
    <x:x v="18"/>
    <x:x v="0"/>
    <x:n v="1250"/>
    <x:n v="2500"/>
    <x:n v="900"/>
    <x:x v="2"/>
    <x:s v="Antalya"/>
  </x:r>
  <x:r>
    <x:m/>
    <x:x v="11"/>
    <x:x v="5"/>
    <x:x v="2"/>
    <x:n v="7600"/>
    <x:n v="7600"/>
    <x:n v="1600"/>
    <x:x v="2"/>
    <x:s v="Konya"/>
  </x:r>
  <x:r>
    <x:m/>
    <x:x v="0"/>
    <x:x v="1"/>
    <x:x v="0"/>
    <x:n v="1400"/>
    <x:n v="2800"/>
    <x:n v="1200"/>
    <x:x v="2"/>
    <x:s v="İzmir"/>
  </x:r>
  <x:r>
    <x:m/>
    <x:x v="4"/>
    <x:x v="4"/>
    <x:x v="0"/>
    <x:n v="2180"/>
    <x:n v="4360"/>
    <x:n v="1360"/>
    <x:x v="2"/>
    <x:s v="Diyarbakır"/>
  </x:r>
  <x:r>
    <x:m/>
    <x:x v="0"/>
    <x:x v="17"/>
    <x:x v="1"/>
    <x:n v="1800"/>
    <x:n v="5400"/>
    <x:n v="3000"/>
    <x:x v="2"/>
    <x:s v="Adana"/>
  </x:r>
  <x:r>
    <x:m/>
    <x:x v="2"/>
    <x:x v="22"/>
    <x:x v="2"/>
    <x:n v="1500"/>
    <x:n v="1500"/>
    <x:n v="700"/>
    <x:x v="2"/>
    <x:s v="Gaziantep"/>
  </x:r>
  <x:r>
    <x:m/>
    <x:x v="6"/>
    <x:x v="2"/>
    <x:x v="1"/>
    <x:n v="8450"/>
    <x:n v="25350"/>
    <x:n v="7350"/>
    <x:x v="2"/>
    <x:s v="Şanlıurfa"/>
  </x:r>
  <x:r>
    <x:m/>
    <x:x v="9"/>
    <x:x v="22"/>
    <x:x v="1"/>
    <x:n v="1500"/>
    <x:n v="4500"/>
    <x:n v="2100"/>
    <x:x v="2"/>
    <x:s v="Bursa"/>
  </x:r>
  <x:r>
    <x:m/>
    <x:x v="5"/>
    <x:x v="0"/>
    <x:x v="1"/>
    <x:n v="6000"/>
    <x:n v="18000"/>
    <x:n v="6000"/>
    <x:x v="2"/>
    <x:s v="İstanbul"/>
  </x:r>
  <x:r>
    <x:m/>
    <x:x v="11"/>
    <x:x v="19"/>
    <x:x v="2"/>
    <x:n v="1200"/>
    <x:n v="1200"/>
    <x:n v="400"/>
    <x:x v="2"/>
    <x:s v="İzmir"/>
  </x:r>
  <x:r>
    <x:m/>
    <x:x v="0"/>
    <x:x v="15"/>
    <x:x v="1"/>
    <x:n v="4200"/>
    <x:n v="12600"/>
    <x:n v="3600"/>
    <x:x v="2"/>
    <x:s v="Antalya"/>
  </x:r>
  <x:r>
    <x:m/>
    <x:x v="10"/>
    <x:x v="5"/>
    <x:x v="1"/>
    <x:n v="7600"/>
    <x:n v="22800"/>
    <x:n v="4800"/>
    <x:x v="2"/>
    <x:s v="İstanbul"/>
  </x:r>
  <x:r>
    <x:m/>
    <x:x v="5"/>
    <x:x v="6"/>
    <x:x v="0"/>
    <x:n v="7250"/>
    <x:n v="14500"/>
    <x:n v="4500"/>
    <x:x v="3"/>
    <x:s v="Diyarbakır"/>
  </x:r>
  <x:r>
    <x:m/>
    <x:x v="1"/>
    <x:x v="20"/>
    <x:x v="0"/>
    <x:n v="7530"/>
    <x:n v="15060"/>
    <x:n v="3060"/>
    <x:x v="3"/>
    <x:s v="Ankara"/>
  </x:r>
  <x:r>
    <x:m/>
    <x:x v="2"/>
    <x:x v="6"/>
    <x:x v="0"/>
    <x:n v="7250"/>
    <x:n v="14500"/>
    <x:n v="4500"/>
    <x:x v="3"/>
    <x:s v="Gaziantep"/>
  </x:r>
  <x:r>
    <x:m/>
    <x:x v="1"/>
    <x:x v="0"/>
    <x:x v="2"/>
    <x:n v="6000"/>
    <x:n v="6000"/>
    <x:n v="2000"/>
    <x:x v="3"/>
    <x:s v="Hatay"/>
  </x:r>
  <x:r>
    <x:m/>
    <x:x v="5"/>
    <x:x v="19"/>
    <x:x v="1"/>
    <x:n v="1200"/>
    <x:n v="3600"/>
    <x:n v="1200"/>
    <x:x v="3"/>
    <x:s v="Ankara"/>
  </x:r>
  <x:r>
    <x:m/>
    <x:x v="11"/>
    <x:x v="21"/>
    <x:x v="0"/>
    <x:n v="5300"/>
    <x:n v="10600"/>
    <x:n v="2600"/>
    <x:x v="3"/>
    <x:s v="Antalya"/>
  </x:r>
  <x:r>
    <x:m/>
    <x:x v="8"/>
    <x:x v="2"/>
    <x:x v="0"/>
    <x:n v="8450"/>
    <x:n v="16900"/>
    <x:n v="4900"/>
    <x:x v="3"/>
    <x:s v="Konya"/>
  </x:r>
  <x:r>
    <x:m/>
    <x:x v="4"/>
    <x:x v="3"/>
    <x:x v="2"/>
    <x:n v="1350"/>
    <x:n v="1350"/>
    <x:n v="550"/>
    <x:x v="3"/>
    <x:s v="Şanlıurfa"/>
  </x:r>
  <x:r>
    <x:m/>
    <x:x v="6"/>
    <x:x v="11"/>
    <x:x v="2"/>
    <x:n v="1090"/>
    <x:n v="1090"/>
    <x:n v="290"/>
    <x:x v="3"/>
    <x:s v="Gaziantep"/>
  </x:r>
  <x:r>
    <x:m/>
    <x:x v="4"/>
    <x:x v="4"/>
    <x:x v="2"/>
    <x:n v="2180"/>
    <x:n v="2180"/>
    <x:n v="680"/>
    <x:x v="3"/>
    <x:s v="Bursa"/>
  </x:r>
  <x:r>
    <x:m/>
    <x:x v="0"/>
    <x:x v="17"/>
    <x:x v="0"/>
    <x:n v="6000"/>
    <x:n v="12000"/>
    <x:n v="4000"/>
    <x:x v="3"/>
    <x:s v="İzmir"/>
  </x:r>
  <x:r>
    <x:m/>
    <x:x v="1"/>
    <x:x v="1"/>
    <x:x v="0"/>
    <x:n v="1400"/>
    <x:n v="2800"/>
    <x:n v="1200"/>
    <x:x v="3"/>
    <x:s v="Şanlıurfa"/>
  </x:r>
  <x:r>
    <x:m/>
    <x:x v="2"/>
    <x:x v="2"/>
    <x:x v="0"/>
    <x:n v="8450"/>
    <x:n v="16900"/>
    <x:n v="4900"/>
    <x:x v="3"/>
    <x:s v="Adana"/>
  </x:r>
  <x:r>
    <x:m/>
    <x:x v="3"/>
    <x:x v="3"/>
    <x:x v="1"/>
    <x:n v="1350"/>
    <x:n v="4050"/>
    <x:n v="1650"/>
    <x:x v="3"/>
    <x:s v="Diyarbakır"/>
  </x:r>
  <x:r>
    <x:m/>
    <x:x v="0"/>
    <x:x v="4"/>
    <x:x v="0"/>
    <x:n v="2180"/>
    <x:n v="4360"/>
    <x:n v="1360"/>
    <x:x v="3"/>
    <x:s v="Kocaeli"/>
  </x:r>
  <x:r>
    <x:m/>
    <x:x v="4"/>
    <x:x v="5"/>
    <x:x v="0"/>
    <x:n v="7600"/>
    <x:n v="15200"/>
    <x:n v="3200"/>
    <x:x v="3"/>
    <x:s v="Antalya"/>
  </x:r>
  <x:r>
    <x:m/>
    <x:x v="1"/>
    <x:x v="6"/>
    <x:x v="0"/>
    <x:n v="7250"/>
    <x:n v="14500"/>
    <x:n v="4500"/>
    <x:x v="3"/>
    <x:s v="Diyarbakır"/>
  </x:r>
  <x:r>
    <x:m/>
    <x:x v="3"/>
    <x:x v="23"/>
    <x:x v="1"/>
    <x:n v="1100"/>
    <x:n v="3300"/>
    <x:n v="900"/>
    <x:x v="3"/>
    <x:s v="Bursa"/>
  </x:r>
  <x:r>
    <x:m/>
    <x:x v="5"/>
    <x:x v="0"/>
    <x:x v="0"/>
    <x:n v="6000"/>
    <x:n v="12000"/>
    <x:n v="4000"/>
    <x:x v="3"/>
    <x:s v="Ankara"/>
  </x:r>
  <x:r>
    <x:m/>
    <x:x v="0"/>
    <x:x v="9"/>
    <x:x v="2"/>
    <x:n v="1200"/>
    <x:n v="1200"/>
    <x:n v="400"/>
    <x:x v="3"/>
    <x:s v="İzmir"/>
  </x:r>
  <x:r>
    <x:m/>
    <x:x v="6"/>
    <x:x v="10"/>
    <x:x v="0"/>
    <x:n v="1800"/>
    <x:n v="3600"/>
    <x:n v="2000"/>
    <x:x v="3"/>
    <x:s v="İzmir"/>
  </x:r>
  <x:r>
    <x:m/>
    <x:x v="6"/>
    <x:x v="11"/>
    <x:x v="0"/>
    <x:n v="1090"/>
    <x:n v="2180"/>
    <x:n v="580"/>
    <x:x v="3"/>
    <x:s v="Ankara"/>
  </x:r>
  <x:r>
    <x:m/>
    <x:x v="5"/>
    <x:x v="4"/>
    <x:x v="1"/>
    <x:n v="2180"/>
    <x:n v="6540"/>
    <x:n v="2040"/>
    <x:x v="3"/>
    <x:s v="Diyarbakır"/>
  </x:r>
  <x:r>
    <x:m/>
    <x:x v="7"/>
    <x:x v="10"/>
    <x:x v="1"/>
    <x:n v="1800"/>
    <x:n v="5400"/>
    <x:n v="3000"/>
    <x:x v="3"/>
    <x:s v="İzmir"/>
  </x:r>
  <x:r>
    <x:m/>
    <x:x v="4"/>
    <x:x v="12"/>
    <x:x v="1"/>
    <x:n v="8000"/>
    <x:n v="24000"/>
    <x:n v="6000"/>
    <x:x v="3"/>
    <x:s v="Hatay"/>
  </x:r>
  <x:r>
    <x:m/>
    <x:x v="5"/>
    <x:x v="1"/>
    <x:x v="2"/>
    <x:n v="1400"/>
    <x:n v="1400"/>
    <x:n v="600"/>
    <x:x v="3"/>
    <x:s v="Hatay"/>
  </x:r>
  <x:r>
    <x:m/>
    <x:x v="8"/>
    <x:x v="17"/>
    <x:x v="2"/>
    <x:n v="10590"/>
    <x:n v="10590"/>
    <x:n v="4590"/>
    <x:x v="3"/>
    <x:s v="İstanbul"/>
  </x:r>
  <x:r>
    <x:m/>
    <x:x v="9"/>
    <x:x v="3"/>
    <x:x v="0"/>
    <x:n v="1350"/>
    <x:n v="2700"/>
    <x:n v="1100"/>
    <x:x v="3"/>
    <x:s v="Şanlıurfa"/>
  </x:r>
  <x:r>
    <x:m/>
    <x:x v="6"/>
    <x:x v="1"/>
    <x:x v="0"/>
    <x:n v="1400"/>
    <x:n v="2800"/>
    <x:n v="1200"/>
    <x:x v="3"/>
    <x:s v="Adana"/>
  </x:r>
  <x:r>
    <x:m/>
    <x:x v="3"/>
    <x:x v="0"/>
    <x:x v="2"/>
    <x:n v="6000"/>
    <x:n v="6000"/>
    <x:n v="2000"/>
    <x:x v="3"/>
    <x:s v="Konya"/>
  </x:r>
  <x:r>
    <x:m/>
    <x:x v="8"/>
    <x:x v="7"/>
    <x:x v="0"/>
    <x:n v="1100"/>
    <x:n v="2200"/>
    <x:n v="600"/>
    <x:x v="3"/>
    <x:s v="Diyarbakır"/>
  </x:r>
  <x:r>
    <x:m/>
    <x:x v="2"/>
    <x:x v="0"/>
    <x:x v="0"/>
    <x:n v="6000"/>
    <x:n v="12000"/>
    <x:n v="4000"/>
    <x:x v="3"/>
    <x:s v="Şanlıurfa"/>
  </x:r>
  <x:r>
    <x:m/>
    <x:x v="9"/>
    <x:x v="14"/>
    <x:x v="2"/>
    <x:n v="1490"/>
    <x:n v="1490"/>
    <x:n v="690"/>
    <x:x v="3"/>
    <x:s v="Kocaeli"/>
  </x:r>
  <x:r>
    <x:m/>
    <x:x v="8"/>
    <x:x v="13"/>
    <x:x v="0"/>
    <x:n v="10590"/>
    <x:n v="21180"/>
    <x:n v="9180"/>
    <x:x v="3"/>
    <x:s v="Antalya"/>
  </x:r>
  <x:r>
    <x:m/>
    <x:x v="2"/>
    <x:x v="12"/>
    <x:x v="1"/>
    <x:n v="8000"/>
    <x:n v="24000"/>
    <x:n v="6000"/>
    <x:x v="3"/>
    <x:s v="Kocaeli"/>
  </x:r>
  <x:r>
    <x:m/>
    <x:x v="6"/>
    <x:x v="7"/>
    <x:x v="2"/>
    <x:n v="1100"/>
    <x:n v="1100"/>
    <x:n v="300"/>
    <x:x v="3"/>
    <x:s v="İstanbul"/>
  </x:r>
  <x:r>
    <x:m/>
    <x:x v="9"/>
    <x:x v="9"/>
    <x:x v="2"/>
    <x:n v="1200"/>
    <x:n v="1200"/>
    <x:n v="400"/>
    <x:x v="3"/>
    <x:s v="Kocaeli"/>
  </x:r>
  <x:r>
    <x:m/>
    <x:x v="4"/>
    <x:x v="15"/>
    <x:x v="0"/>
    <x:n v="4200"/>
    <x:n v="8400"/>
    <x:n v="2400"/>
    <x:x v="3"/>
    <x:s v="Konya"/>
  </x:r>
  <x:r>
    <x:m/>
    <x:x v="1"/>
    <x:x v="16"/>
    <x:x v="1"/>
    <x:n v="5775"/>
    <x:n v="17325"/>
    <x:n v="5325"/>
    <x:x v="3"/>
    <x:s v="İstanbul"/>
  </x:r>
  <x:r>
    <x:m/>
    <x:x v="10"/>
    <x:x v="5"/>
    <x:x v="1"/>
    <x:n v="7600"/>
    <x:n v="22800"/>
    <x:n v="4800"/>
    <x:x v="3"/>
    <x:s v="Antalya"/>
  </x:r>
  <x:r>
    <x:m/>
    <x:x v="1"/>
    <x:x v="6"/>
    <x:x v="1"/>
    <x:n v="7250"/>
    <x:n v="21750"/>
    <x:n v="6750"/>
    <x:x v="3"/>
    <x:s v="Şanlıurfa"/>
  </x:r>
  <x:r>
    <x:m/>
    <x:x v="0"/>
    <x:x v="6"/>
    <x:x v="1"/>
    <x:n v="7250"/>
    <x:n v="21750"/>
    <x:n v="6750"/>
    <x:x v="3"/>
    <x:s v="Hatay"/>
  </x:r>
  <x:r>
    <x:m/>
    <x:x v="8"/>
    <x:x v="6"/>
    <x:x v="1"/>
    <x:n v="7250"/>
    <x:n v="21750"/>
    <x:n v="6750"/>
    <x:x v="3"/>
    <x:s v="Gaziantep"/>
  </x:r>
  <x:r>
    <x:m/>
    <x:x v="5"/>
    <x:x v="3"/>
    <x:x v="2"/>
    <x:n v="1350"/>
    <x:n v="1350"/>
    <x:n v="550"/>
    <x:x v="3"/>
    <x:s v="İzmir"/>
  </x:r>
  <x:r>
    <x:m/>
    <x:x v="1"/>
    <x:x v="6"/>
    <x:x v="0"/>
    <x:n v="7250"/>
    <x:n v="14500"/>
    <x:n v="4500"/>
    <x:x v="3"/>
    <x:s v="İstanbul"/>
  </x:r>
  <x:r>
    <x:m/>
    <x:x v="6"/>
    <x:x v="5"/>
    <x:x v="2"/>
    <x:n v="7600"/>
    <x:n v="7600"/>
    <x:n v="1600"/>
    <x:x v="3"/>
    <x:s v="Hatay"/>
  </x:r>
  <x:r>
    <x:m/>
    <x:x v="11"/>
    <x:x v="5"/>
    <x:x v="1"/>
    <x:n v="7600"/>
    <x:n v="22800"/>
    <x:n v="4800"/>
    <x:x v="3"/>
    <x:s v="İstanbul"/>
  </x:r>
  <x:r>
    <x:m/>
    <x:x v="1"/>
    <x:x v="14"/>
    <x:x v="1"/>
    <x:n v="1490"/>
    <x:n v="4470"/>
    <x:n v="2070"/>
    <x:x v="3"/>
    <x:s v="Hatay"/>
  </x:r>
  <x:r>
    <x:m/>
    <x:x v="5"/>
    <x:x v="17"/>
    <x:x v="0"/>
    <x:n v="2900"/>
    <x:n v="5800"/>
    <x:n v="1800"/>
    <x:x v="3"/>
    <x:s v="Hatay"/>
  </x:r>
  <x:r>
    <x:m/>
    <x:x v="9"/>
    <x:x v="14"/>
    <x:x v="2"/>
    <x:n v="1490"/>
    <x:n v="1490"/>
    <x:n v="690"/>
    <x:x v="3"/>
    <x:s v="Konya"/>
  </x:r>
  <x:r>
    <x:m/>
    <x:x v="9"/>
    <x:x v="11"/>
    <x:x v="0"/>
    <x:n v="1090"/>
    <x:n v="2180"/>
    <x:n v="580"/>
    <x:x v="3"/>
    <x:s v="İzmir"/>
  </x:r>
  <x:r>
    <x:m/>
    <x:x v="5"/>
    <x:x v="9"/>
    <x:x v="0"/>
    <x:n v="1200"/>
    <x:n v="2400"/>
    <x:n v="800"/>
    <x:x v="3"/>
    <x:s v="Şanlıurfa"/>
  </x:r>
  <x:r>
    <x:m/>
    <x:x v="8"/>
    <x:x v="13"/>
    <x:x v="0"/>
    <x:n v="10590"/>
    <x:n v="21180"/>
    <x:n v="9180"/>
    <x:x v="3"/>
    <x:s v="Adana"/>
  </x:r>
  <x:r>
    <x:m/>
    <x:x v="6"/>
    <x:x v="15"/>
    <x:x v="1"/>
    <x:n v="4200"/>
    <x:n v="12600"/>
    <x:n v="3600"/>
    <x:x v="3"/>
    <x:s v="Gaziantep"/>
  </x:r>
  <x:r>
    <x:m/>
    <x:x v="3"/>
    <x:x v="17"/>
    <x:x v="1"/>
    <x:n v="4200"/>
    <x:n v="12600"/>
    <x:n v="3600"/>
    <x:x v="3"/>
    <x:s v="Konya"/>
  </x:r>
  <x:r>
    <x:m/>
    <x:x v="7"/>
    <x:x v="13"/>
    <x:x v="0"/>
    <x:n v="10590"/>
    <x:n v="21180"/>
    <x:n v="9180"/>
    <x:x v="3"/>
    <x:s v="Şanlıurfa"/>
  </x:r>
  <x:r>
    <x:m/>
    <x:x v="11"/>
    <x:x v="18"/>
    <x:x v="2"/>
    <x:n v="1250"/>
    <x:n v="1250"/>
    <x:n v="450"/>
    <x:x v="3"/>
    <x:s v="İstanbul"/>
  </x:r>
  <x:r>
    <x:m/>
    <x:x v="0"/>
    <x:x v="14"/>
    <x:x v="1"/>
    <x:n v="1490"/>
    <x:n v="4470"/>
    <x:n v="2070"/>
    <x:x v="3"/>
    <x:s v="Konya"/>
  </x:r>
  <x:r>
    <x:m/>
    <x:x v="6"/>
    <x:x v="9"/>
    <x:x v="0"/>
    <x:n v="1200"/>
    <x:n v="2400"/>
    <x:n v="800"/>
    <x:x v="3"/>
    <x:s v="Kocaeli"/>
  </x:r>
  <x:r>
    <x:m/>
    <x:x v="2"/>
    <x:x v="4"/>
    <x:x v="1"/>
    <x:n v="2180"/>
    <x:n v="6540"/>
    <x:n v="2040"/>
    <x:x v="3"/>
    <x:s v="Adana"/>
  </x:r>
  <x:r>
    <x:m/>
    <x:x v="9"/>
    <x:x v="19"/>
    <x:x v="1"/>
    <x:n v="1200"/>
    <x:n v="3600"/>
    <x:n v="1200"/>
    <x:x v="3"/>
    <x:s v="Antalya"/>
  </x:r>
  <x:r>
    <x:m/>
    <x:x v="0"/>
    <x:x v="10"/>
    <x:x v="2"/>
    <x:n v="1800"/>
    <x:n v="1800"/>
    <x:n v="1000"/>
    <x:x v="3"/>
    <x:s v="İstanbul"/>
  </x:r>
  <x:r>
    <x:m/>
    <x:x v="2"/>
    <x:x v="5"/>
    <x:x v="2"/>
    <x:n v="7600"/>
    <x:n v="7600"/>
    <x:n v="1600"/>
    <x:x v="3"/>
    <x:s v="Kocaeli"/>
  </x:r>
  <x:r>
    <x:m/>
    <x:x v="7"/>
    <x:x v="20"/>
    <x:x v="2"/>
    <x:n v="7530"/>
    <x:n v="7530"/>
    <x:n v="1530"/>
    <x:x v="3"/>
    <x:s v="Gaziantep"/>
  </x:r>
  <x:r>
    <x:m/>
    <x:x v="11"/>
    <x:x v="14"/>
    <x:x v="0"/>
    <x:n v="1490"/>
    <x:n v="2980"/>
    <x:n v="1380"/>
    <x:x v="3"/>
    <x:s v="Adana"/>
  </x:r>
  <x:r>
    <x:m/>
    <x:x v="0"/>
    <x:x v="21"/>
    <x:x v="2"/>
    <x:n v="5300"/>
    <x:n v="5300"/>
    <x:n v="1300"/>
    <x:x v="3"/>
    <x:s v="Kocaeli"/>
  </x:r>
  <x:r>
    <x:m/>
    <x:x v="4"/>
    <x:x v="9"/>
    <x:x v="0"/>
    <x:n v="1200"/>
    <x:n v="2400"/>
    <x:n v="800"/>
    <x:x v="3"/>
    <x:s v="Diyarbakır"/>
  </x:r>
  <x:r>
    <x:m/>
    <x:x v="9"/>
    <x:x v="11"/>
    <x:x v="2"/>
    <x:n v="1090"/>
    <x:n v="1090"/>
    <x:n v="290"/>
    <x:x v="3"/>
    <x:s v="Gaziantep"/>
  </x:r>
  <x:r>
    <x:m/>
    <x:x v="4"/>
    <x:x v="6"/>
    <x:x v="2"/>
    <x:n v="7250"/>
    <x:n v="7250"/>
    <x:n v="2250"/>
    <x:x v="3"/>
    <x:s v="Gaziantep"/>
  </x:r>
  <x:r>
    <x:m/>
    <x:x v="10"/>
    <x:x v="1"/>
    <x:x v="1"/>
    <x:n v="1400"/>
    <x:n v="4200"/>
    <x:n v="1800"/>
    <x:x v="3"/>
    <x:s v="Diyarbakır"/>
  </x:r>
  <x:r>
    <x:m/>
    <x:x v="2"/>
    <x:x v="22"/>
    <x:x v="2"/>
    <x:n v="1500"/>
    <x:n v="1500"/>
    <x:n v="700"/>
    <x:x v="3"/>
    <x:s v="Kocaeli"/>
  </x:r>
  <x:r>
    <x:m/>
    <x:x v="7"/>
    <x:x v="3"/>
    <x:x v="2"/>
    <x:n v="1350"/>
    <x:n v="1350"/>
    <x:n v="550"/>
    <x:x v="3"/>
    <x:s v="Mersin"/>
  </x:r>
  <x:r>
    <x:m/>
    <x:x v="7"/>
    <x:x v="17"/>
    <x:x v="1"/>
    <x:n v="1200"/>
    <x:n v="3600"/>
    <x:n v="1200"/>
    <x:x v="3"/>
    <x:s v="Antalya"/>
  </x:r>
  <x:r>
    <x:m/>
    <x:x v="1"/>
    <x:x v="20"/>
    <x:x v="1"/>
    <x:n v="7530"/>
    <x:n v="22590"/>
    <x:n v="4590"/>
    <x:x v="3"/>
    <x:s v="Adana"/>
  </x:r>
  <x:r>
    <x:m/>
    <x:x v="10"/>
    <x:x v="9"/>
    <x:x v="2"/>
    <x:n v="1200"/>
    <x:n v="1200"/>
    <x:n v="400"/>
    <x:x v="3"/>
    <x:s v="Diyarbakır"/>
  </x:r>
  <x:r>
    <x:m/>
    <x:x v="8"/>
    <x:x v="10"/>
    <x:x v="1"/>
    <x:n v="1800"/>
    <x:n v="5400"/>
    <x:n v="3000"/>
    <x:x v="3"/>
    <x:s v="Gaziantep"/>
  </x:r>
  <x:r>
    <x:m/>
    <x:x v="0"/>
    <x:x v="6"/>
    <x:x v="2"/>
    <x:n v="7250"/>
    <x:n v="7250"/>
    <x:n v="2250"/>
    <x:x v="3"/>
    <x:s v="Kocaeli"/>
  </x:r>
  <x:r>
    <x:m/>
    <x:x v="9"/>
    <x:x v="14"/>
    <x:x v="1"/>
    <x:n v="1490"/>
    <x:n v="4470"/>
    <x:n v="2070"/>
    <x:x v="3"/>
    <x:s v="Antalya"/>
  </x:r>
  <x:r>
    <x:m/>
    <x:x v="9"/>
    <x:x v="19"/>
    <x:x v="2"/>
    <x:n v="1200"/>
    <x:n v="1200"/>
    <x:n v="400"/>
    <x:x v="3"/>
    <x:s v="Şanlıurfa"/>
  </x:r>
  <x:r>
    <x:m/>
    <x:x v="1"/>
    <x:x v="12"/>
    <x:x v="2"/>
    <x:n v="8000"/>
    <x:n v="8000"/>
    <x:n v="2000"/>
    <x:x v="3"/>
    <x:s v="Şanlıurfa"/>
  </x:r>
  <x:r>
    <x:m/>
    <x:x v="6"/>
    <x:x v="1"/>
    <x:x v="2"/>
    <x:n v="1400"/>
    <x:n v="1400"/>
    <x:n v="600"/>
    <x:x v="3"/>
    <x:s v="Konya"/>
  </x:r>
  <x:r>
    <x:m/>
    <x:x v="5"/>
    <x:x v="3"/>
    <x:x v="2"/>
    <x:n v="1350"/>
    <x:n v="1350"/>
    <x:n v="550"/>
    <x:x v="3"/>
    <x:s v="Diyarbakır"/>
  </x:r>
  <x:r>
    <x:m/>
    <x:x v="8"/>
    <x:x v="19"/>
    <x:x v="2"/>
    <x:n v="1200"/>
    <x:n v="1200"/>
    <x:n v="400"/>
    <x:x v="3"/>
    <x:s v="İzmir"/>
  </x:r>
  <x:r>
    <x:m/>
    <x:x v="6"/>
    <x:x v="21"/>
    <x:x v="2"/>
    <x:n v="5300"/>
    <x:n v="5300"/>
    <x:n v="1300"/>
    <x:x v="3"/>
    <x:s v="Kocaeli"/>
  </x:r>
  <x:r>
    <x:m/>
    <x:x v="9"/>
    <x:x v="13"/>
    <x:x v="1"/>
    <x:n v="10590"/>
    <x:n v="31770"/>
    <x:n v="13770"/>
    <x:x v="3"/>
    <x:s v="İstanbul"/>
  </x:r>
  <x:r>
    <x:m/>
    <x:x v="4"/>
    <x:x v="18"/>
    <x:x v="2"/>
    <x:n v="1250"/>
    <x:n v="1250"/>
    <x:n v="450"/>
    <x:x v="3"/>
    <x:s v="Hatay"/>
  </x:r>
  <x:r>
    <x:m/>
    <x:x v="11"/>
    <x:x v="19"/>
    <x:x v="2"/>
    <x:n v="1200"/>
    <x:n v="1200"/>
    <x:n v="400"/>
    <x:x v="3"/>
    <x:s v="Bursa"/>
  </x:r>
  <x:r>
    <x:m/>
    <x:x v="4"/>
    <x:x v="1"/>
    <x:x v="1"/>
    <x:n v="1400"/>
    <x:n v="4200"/>
    <x:n v="1800"/>
    <x:x v="3"/>
    <x:s v="Gaziantep"/>
  </x:r>
  <x:r>
    <x:m/>
    <x:x v="11"/>
    <x:x v="20"/>
    <x:x v="0"/>
    <x:n v="7530"/>
    <x:n v="15060"/>
    <x:n v="3060"/>
    <x:x v="3"/>
    <x:s v="Kocaeli"/>
  </x:r>
  <x:r>
    <x:m/>
    <x:x v="6"/>
    <x:x v="5"/>
    <x:x v="2"/>
    <x:n v="7600"/>
    <x:n v="7600"/>
    <x:n v="1600"/>
    <x:x v="3"/>
    <x:s v="Hatay"/>
  </x:r>
  <x:r>
    <x:m/>
    <x:x v="11"/>
    <x:x v="22"/>
    <x:x v="2"/>
    <x:n v="1500"/>
    <x:n v="1500"/>
    <x:n v="700"/>
    <x:x v="3"/>
    <x:s v="Kocaeli"/>
  </x:r>
  <x:r>
    <x:m/>
    <x:x v="9"/>
    <x:x v="4"/>
    <x:x v="0"/>
    <x:n v="2180"/>
    <x:n v="4360"/>
    <x:n v="1360"/>
    <x:x v="3"/>
    <x:s v="Gaziantep"/>
  </x:r>
  <x:r>
    <x:m/>
    <x:x v="3"/>
    <x:x v="4"/>
    <x:x v="2"/>
    <x:n v="2180"/>
    <x:n v="2180"/>
    <x:n v="680"/>
    <x:x v="3"/>
    <x:s v="İstanbul"/>
  </x:r>
  <x:r>
    <x:m/>
    <x:x v="9"/>
    <x:x v="16"/>
    <x:x v="2"/>
    <x:n v="5775"/>
    <x:n v="5775"/>
    <x:n v="1775"/>
    <x:x v="3"/>
    <x:s v="İzmir"/>
  </x:r>
  <x:r>
    <x:m/>
    <x:x v="9"/>
    <x:x v="7"/>
    <x:x v="1"/>
    <x:n v="1100"/>
    <x:n v="3300"/>
    <x:n v="900"/>
    <x:x v="3"/>
    <x:s v="Ankara"/>
  </x:r>
  <x:r>
    <x:m/>
    <x:x v="10"/>
    <x:x v="16"/>
    <x:x v="2"/>
    <x:n v="5775"/>
    <x:n v="5775"/>
    <x:n v="1775"/>
    <x:x v="3"/>
    <x:s v="Konya"/>
  </x:r>
  <x:r>
    <x:m/>
    <x:x v="7"/>
    <x:x v="3"/>
    <x:x v="2"/>
    <x:n v="1350"/>
    <x:n v="1350"/>
    <x:n v="550"/>
    <x:x v="3"/>
    <x:s v="Diyarbakır"/>
  </x:r>
  <x:r>
    <x:m/>
    <x:x v="0"/>
    <x:x v="5"/>
    <x:x v="1"/>
    <x:n v="7600"/>
    <x:n v="22800"/>
    <x:n v="4800"/>
    <x:x v="3"/>
    <x:s v="Gaziantep"/>
  </x:r>
  <x:r>
    <x:m/>
    <x:x v="2"/>
    <x:x v="6"/>
    <x:x v="1"/>
    <x:n v="7250"/>
    <x:n v="21750"/>
    <x:n v="6750"/>
    <x:x v="3"/>
    <x:s v="İzmir"/>
  </x:r>
  <x:r>
    <x:m/>
    <x:x v="11"/>
    <x:x v="14"/>
    <x:x v="0"/>
    <x:n v="1490"/>
    <x:n v="2980"/>
    <x:n v="1380"/>
    <x:x v="3"/>
    <x:s v="Şanlıurfa"/>
  </x:r>
  <x:r>
    <x:m/>
    <x:x v="3"/>
    <x:x v="14"/>
    <x:x v="0"/>
    <x:n v="1490"/>
    <x:n v="2980"/>
    <x:n v="1380"/>
    <x:x v="3"/>
    <x:s v="Bursa"/>
  </x:r>
  <x:r>
    <x:m/>
    <x:x v="8"/>
    <x:x v="11"/>
    <x:x v="0"/>
    <x:n v="1090"/>
    <x:n v="2180"/>
    <x:n v="580"/>
    <x:x v="3"/>
    <x:s v="Diyarbakır"/>
  </x:r>
  <x:r>
    <x:m/>
    <x:x v="8"/>
    <x:x v="9"/>
    <x:x v="1"/>
    <x:n v="1200"/>
    <x:n v="3600"/>
    <x:n v="1200"/>
    <x:x v="3"/>
    <x:s v="Ankara"/>
  </x:r>
  <x:r>
    <x:m/>
    <x:x v="11"/>
    <x:x v="11"/>
    <x:x v="0"/>
    <x:n v="1090"/>
    <x:n v="2180"/>
    <x:n v="580"/>
    <x:x v="3"/>
    <x:s v="İstanbul"/>
  </x:r>
  <x:r>
    <x:m/>
    <x:x v="11"/>
    <x:x v="4"/>
    <x:x v="1"/>
    <x:n v="2180"/>
    <x:n v="6540"/>
    <x:n v="2040"/>
    <x:x v="3"/>
    <x:s v="Gaziantep"/>
  </x:r>
  <x:r>
    <x:m/>
    <x:x v="2"/>
    <x:x v="21"/>
    <x:x v="1"/>
    <x:n v="5300"/>
    <x:n v="15900"/>
    <x:n v="3900"/>
    <x:x v="3"/>
    <x:s v="Ankara"/>
  </x:r>
  <x:r>
    <x:m/>
    <x:x v="11"/>
    <x:x v="21"/>
    <x:x v="0"/>
    <x:n v="5300"/>
    <x:n v="10600"/>
    <x:n v="2600"/>
    <x:x v="3"/>
    <x:s v="Hatay"/>
  </x:r>
  <x:r>
    <x:m/>
    <x:x v="5"/>
    <x:x v="6"/>
    <x:x v="0"/>
    <x:n v="7250"/>
    <x:n v="14500"/>
    <x:n v="4500"/>
    <x:x v="3"/>
    <x:s v="Adana"/>
  </x:r>
  <x:r>
    <x:m/>
    <x:x v="5"/>
    <x:x v="19"/>
    <x:x v="1"/>
    <x:n v="1200"/>
    <x:n v="3600"/>
    <x:n v="1200"/>
    <x:x v="3"/>
    <x:s v="Konya"/>
  </x:r>
  <x:r>
    <x:m/>
    <x:x v="3"/>
    <x:x v="0"/>
    <x:x v="2"/>
    <x:n v="6000"/>
    <x:n v="6000"/>
    <x:n v="2000"/>
    <x:x v="3"/>
    <x:s v="Konya"/>
  </x:r>
  <x:r>
    <x:m/>
    <x:x v="2"/>
    <x:x v="2"/>
    <x:x v="1"/>
    <x:n v="8450"/>
    <x:n v="25350"/>
    <x:n v="7350"/>
    <x:x v="3"/>
    <x:s v="Antalya"/>
  </x:r>
  <x:r>
    <x:m/>
    <x:x v="6"/>
    <x:x v="15"/>
    <x:x v="2"/>
    <x:n v="4200"/>
    <x:n v="4200"/>
    <x:n v="1200"/>
    <x:x v="4"/>
    <x:s v="Hatay"/>
  </x:r>
  <x:r>
    <x:m/>
    <x:x v="6"/>
    <x:x v="13"/>
    <x:x v="1"/>
    <x:n v="10590"/>
    <x:n v="31770"/>
    <x:n v="13770"/>
    <x:x v="4"/>
    <x:s v="Bursa"/>
  </x:r>
  <x:r>
    <x:m/>
    <x:x v="5"/>
    <x:x v="19"/>
    <x:x v="2"/>
    <x:n v="1200"/>
    <x:n v="1200"/>
    <x:n v="400"/>
    <x:x v="4"/>
    <x:s v="Ankara"/>
  </x:r>
  <x:r>
    <x:m/>
    <x:x v="10"/>
    <x:x v="7"/>
    <x:x v="0"/>
    <x:n v="1100"/>
    <x:n v="2200"/>
    <x:n v="600"/>
    <x:x v="4"/>
    <x:s v="Konya"/>
  </x:r>
  <x:r>
    <x:m/>
    <x:x v="9"/>
    <x:x v="23"/>
    <x:x v="0"/>
    <x:n v="3700"/>
    <x:n v="7400"/>
    <x:n v="1400"/>
    <x:x v="4"/>
    <x:s v="Bursa"/>
  </x:r>
  <x:r>
    <x:m/>
    <x:x v="1"/>
    <x:x v="23"/>
    <x:x v="2"/>
    <x:n v="3700"/>
    <x:n v="3700"/>
    <x:n v="700"/>
    <x:x v="4"/>
    <x:s v="Diyarbakır"/>
  </x:r>
  <x:r>
    <x:m/>
    <x:x v="6"/>
    <x:x v="7"/>
    <x:x v="1"/>
    <x:n v="1100"/>
    <x:n v="3300"/>
    <x:n v="900"/>
    <x:x v="4"/>
    <x:s v="İzmir"/>
  </x:r>
  <x:r>
    <x:m/>
    <x:x v="5"/>
    <x:x v="23"/>
    <x:x v="2"/>
    <x:n v="3700"/>
    <x:n v="3700"/>
    <x:n v="700"/>
    <x:x v="4"/>
    <x:s v="Bursa"/>
  </x:r>
  <x:r>
    <x:m/>
    <x:x v="10"/>
    <x:x v="14"/>
    <x:x v="2"/>
    <x:n v="1490"/>
    <x:n v="1490"/>
    <x:n v="690"/>
    <x:x v="4"/>
    <x:s v="Hatay"/>
  </x:r>
  <x:r>
    <x:m/>
    <x:x v="9"/>
    <x:x v="22"/>
    <x:x v="2"/>
    <x:n v="1500"/>
    <x:n v="1500"/>
    <x:n v="700"/>
    <x:x v="4"/>
    <x:s v="Şanlıurfa"/>
  </x:r>
  <x:r>
    <x:m/>
    <x:x v="8"/>
    <x:x v="11"/>
    <x:x v="0"/>
    <x:n v="1090"/>
    <x:n v="2180"/>
    <x:n v="580"/>
    <x:x v="4"/>
    <x:s v="Gaziantep"/>
  </x:r>
  <x:r>
    <x:m/>
    <x:x v="10"/>
    <x:x v="10"/>
    <x:x v="1"/>
    <x:n v="1800"/>
    <x:n v="5400"/>
    <x:n v="3000"/>
    <x:x v="4"/>
    <x:s v="Hatay"/>
  </x:r>
  <x:r>
    <x:m/>
    <x:x v="7"/>
    <x:x v="20"/>
    <x:x v="0"/>
    <x:n v="7530"/>
    <x:n v="15060"/>
    <x:n v="3060"/>
    <x:x v="4"/>
    <x:s v="Diyarbakır"/>
  </x:r>
  <x:r>
    <x:m/>
    <x:x v="6"/>
    <x:x v="7"/>
    <x:x v="1"/>
    <x:n v="1100"/>
    <x:n v="3300"/>
    <x:n v="900"/>
    <x:x v="4"/>
    <x:s v="İstanbul"/>
  </x:r>
  <x:r>
    <x:m/>
    <x:x v="9"/>
    <x:x v="3"/>
    <x:x v="1"/>
    <x:n v="1350"/>
    <x:n v="4050"/>
    <x:n v="1650"/>
    <x:x v="4"/>
    <x:s v="İstanbul"/>
  </x:r>
  <x:r>
    <x:m/>
    <x:x v="8"/>
    <x:x v="3"/>
    <x:x v="2"/>
    <x:n v="1350"/>
    <x:n v="1350"/>
    <x:n v="550"/>
    <x:x v="4"/>
    <x:s v="İstanbul"/>
  </x:r>
  <x:r>
    <x:m/>
    <x:x v="7"/>
    <x:x v="11"/>
    <x:x v="0"/>
    <x:n v="1090"/>
    <x:n v="2180"/>
    <x:n v="580"/>
    <x:x v="4"/>
    <x:s v="İstanbul"/>
  </x:r>
  <x:r>
    <x:m/>
    <x:x v="7"/>
    <x:x v="15"/>
    <x:x v="2"/>
    <x:n v="4200"/>
    <x:n v="4200"/>
    <x:n v="1200"/>
    <x:x v="4"/>
    <x:s v="Şanlıurfa"/>
  </x:r>
  <x:r>
    <x:m/>
    <x:x v="9"/>
    <x:x v="10"/>
    <x:x v="0"/>
    <x:n v="1800"/>
    <x:n v="3600"/>
    <x:n v="2000"/>
    <x:x v="4"/>
    <x:s v="Şanlıurfa"/>
  </x:r>
  <x:r>
    <x:m/>
    <x:x v="11"/>
    <x:x v="11"/>
    <x:x v="2"/>
    <x:n v="1090"/>
    <x:n v="1090"/>
    <x:n v="290"/>
    <x:x v="4"/>
    <x:s v="Ankara"/>
  </x:r>
  <x:r>
    <x:m/>
    <x:x v="0"/>
    <x:x v="5"/>
    <x:x v="2"/>
    <x:n v="7600"/>
    <x:n v="7600"/>
    <x:n v="1600"/>
    <x:x v="4"/>
    <x:s v="Ankara"/>
  </x:r>
  <x:r>
    <x:m/>
    <x:x v="8"/>
    <x:x v="5"/>
    <x:x v="1"/>
    <x:n v="7600"/>
    <x:n v="22800"/>
    <x:n v="4800"/>
    <x:x v="4"/>
    <x:s v="Ankara"/>
  </x:r>
  <x:r>
    <x:m/>
    <x:x v="2"/>
    <x:x v="23"/>
    <x:x v="2"/>
    <x:n v="3700"/>
    <x:n v="3700"/>
    <x:n v="700"/>
    <x:x v="4"/>
    <x:s v="İzmir"/>
  </x:r>
  <x:r>
    <x:m/>
    <x:x v="4"/>
    <x:x v="6"/>
    <x:x v="1"/>
    <x:n v="7250"/>
    <x:n v="21750"/>
    <x:n v="6750"/>
    <x:x v="4"/>
    <x:s v="Mersin"/>
  </x:r>
  <x:r>
    <x:m/>
    <x:x v="1"/>
    <x:x v="5"/>
    <x:x v="1"/>
    <x:n v="7600"/>
    <x:n v="22800"/>
    <x:n v="4800"/>
    <x:x v="4"/>
    <x:s v="Hatay"/>
  </x:r>
  <x:r>
    <x:m/>
    <x:x v="10"/>
    <x:x v="15"/>
    <x:x v="2"/>
    <x:n v="4200"/>
    <x:n v="4200"/>
    <x:n v="1200"/>
    <x:x v="4"/>
    <x:s v="Diyarbakır"/>
  </x:r>
  <x:r>
    <x:m/>
    <x:x v="6"/>
    <x:x v="18"/>
    <x:x v="1"/>
    <x:n v="1250"/>
    <x:n v="3750"/>
    <x:n v="1350"/>
    <x:x v="4"/>
    <x:s v="Diyarbakır"/>
  </x:r>
  <x:r>
    <x:m/>
    <x:x v="8"/>
    <x:x v="11"/>
    <x:x v="2"/>
    <x:n v="1090"/>
    <x:n v="1090"/>
    <x:n v="290"/>
    <x:x v="4"/>
    <x:s v="Konya"/>
  </x:r>
  <x:r>
    <x:m/>
    <x:x v="3"/>
    <x:x v="4"/>
    <x:x v="2"/>
    <x:n v="2180"/>
    <x:n v="2180"/>
    <x:n v="680"/>
    <x:x v="4"/>
    <x:s v="Konya"/>
  </x:r>
  <x:r>
    <x:m/>
    <x:x v="11"/>
    <x:x v="23"/>
    <x:x v="0"/>
    <x:n v="3700"/>
    <x:n v="7400"/>
    <x:n v="1400"/>
    <x:x v="4"/>
    <x:s v="Adana"/>
  </x:r>
  <x:r>
    <x:m/>
    <x:x v="9"/>
    <x:x v="0"/>
    <x:x v="0"/>
    <x:n v="6000"/>
    <x:n v="12000"/>
    <x:n v="4000"/>
    <x:x v="4"/>
    <x:s v="Şanlıurfa"/>
  </x:r>
  <x:r>
    <x:m/>
    <x:x v="10"/>
    <x:x v="18"/>
    <x:x v="0"/>
    <x:n v="1250"/>
    <x:n v="2500"/>
    <x:n v="900"/>
    <x:x v="4"/>
    <x:s v="Şanlıurfa"/>
  </x:r>
  <x:r>
    <x:m/>
    <x:x v="11"/>
    <x:x v="5"/>
    <x:x v="2"/>
    <x:n v="7600"/>
    <x:n v="7600"/>
    <x:n v="1600"/>
    <x:x v="4"/>
    <x:s v="Diyarbakır"/>
  </x:r>
  <x:r>
    <x:m/>
    <x:x v="0"/>
    <x:x v="1"/>
    <x:x v="0"/>
    <x:n v="1400"/>
    <x:n v="2800"/>
    <x:n v="1200"/>
    <x:x v="4"/>
    <x:s v="Hatay"/>
  </x:r>
  <x:r>
    <x:m/>
    <x:x v="4"/>
    <x:x v="4"/>
    <x:x v="0"/>
    <x:n v="2180"/>
    <x:n v="4360"/>
    <x:n v="1360"/>
    <x:x v="4"/>
    <x:s v="İstanbul"/>
  </x:r>
  <x:r>
    <x:m/>
    <x:x v="0"/>
    <x:x v="10"/>
    <x:x v="1"/>
    <x:n v="1800"/>
    <x:n v="5400"/>
    <x:n v="3000"/>
    <x:x v="4"/>
    <x:s v="Adana"/>
  </x:r>
  <x:r>
    <x:m/>
    <x:x v="2"/>
    <x:x v="22"/>
    <x:x v="2"/>
    <x:n v="1500"/>
    <x:n v="1500"/>
    <x:n v="700"/>
    <x:x v="4"/>
    <x:s v="Diyarbakır"/>
  </x:r>
  <x:r>
    <x:m/>
    <x:x v="6"/>
    <x:x v="2"/>
    <x:x v="1"/>
    <x:n v="8450"/>
    <x:n v="25350"/>
    <x:n v="7350"/>
    <x:x v="4"/>
    <x:s v="İzmir"/>
  </x:r>
  <x:r>
    <x:m/>
    <x:x v="9"/>
    <x:x v="22"/>
    <x:x v="1"/>
    <x:n v="1500"/>
    <x:n v="4500"/>
    <x:n v="2100"/>
    <x:x v="4"/>
    <x:s v="İzmir"/>
  </x:r>
  <x:r>
    <x:m/>
    <x:x v="5"/>
    <x:x v="0"/>
    <x:x v="1"/>
    <x:n v="6000"/>
    <x:n v="18000"/>
    <x:n v="6000"/>
    <x:x v="4"/>
    <x:s v="Antalya"/>
  </x:r>
  <x:r>
    <x:m/>
    <x:x v="11"/>
    <x:x v="19"/>
    <x:x v="2"/>
    <x:n v="1200"/>
    <x:n v="1200"/>
    <x:n v="400"/>
    <x:x v="4"/>
    <x:s v="Adana"/>
  </x:r>
  <x:r>
    <x:m/>
    <x:x v="0"/>
    <x:x v="15"/>
    <x:x v="1"/>
    <x:n v="4200"/>
    <x:n v="12600"/>
    <x:n v="3600"/>
    <x:x v="4"/>
    <x:s v="Mersin"/>
  </x:r>
  <x:r>
    <x:m/>
    <x:x v="10"/>
    <x:x v="5"/>
    <x:x v="1"/>
    <x:n v="7600"/>
    <x:n v="22800"/>
    <x:n v="4800"/>
    <x:x v="4"/>
    <x:s v="İstanbul"/>
  </x:r>
  <x:r>
    <x:m/>
    <x:x v="5"/>
    <x:x v="6"/>
    <x:x v="0"/>
    <x:n v="7250"/>
    <x:n v="14500"/>
    <x:n v="4500"/>
    <x:x v="4"/>
    <x:s v="Diyarbakır"/>
  </x:r>
  <x:r>
    <x:m/>
    <x:x v="1"/>
    <x:x v="20"/>
    <x:x v="0"/>
    <x:n v="7530"/>
    <x:n v="15060"/>
    <x:n v="3060"/>
    <x:x v="4"/>
    <x:s v="Hatay"/>
  </x:r>
  <x:r>
    <x:m/>
    <x:x v="2"/>
    <x:x v="6"/>
    <x:x v="0"/>
    <x:n v="7250"/>
    <x:n v="14500"/>
    <x:n v="4500"/>
    <x:x v="4"/>
    <x:s v="Diyarbakır"/>
  </x:r>
  <x:r>
    <x:m/>
    <x:x v="1"/>
    <x:x v="0"/>
    <x:x v="2"/>
    <x:n v="6000"/>
    <x:n v="6000"/>
    <x:n v="2000"/>
    <x:x v="4"/>
    <x:s v="Ankara"/>
  </x:r>
  <x:r>
    <x:m/>
    <x:x v="5"/>
    <x:x v="19"/>
    <x:x v="1"/>
    <x:n v="1200"/>
    <x:n v="3600"/>
    <x:n v="1200"/>
    <x:x v="4"/>
    <x:s v="Diyarbakır"/>
  </x:r>
  <x:r>
    <x:m/>
    <x:x v="11"/>
    <x:x v="21"/>
    <x:x v="0"/>
    <x:n v="5300"/>
    <x:n v="10600"/>
    <x:n v="2600"/>
    <x:x v="4"/>
    <x:s v="Adana"/>
  </x:r>
  <x:r>
    <x:m/>
    <x:x v="8"/>
    <x:x v="2"/>
    <x:x v="0"/>
    <x:n v="8450"/>
    <x:n v="16900"/>
    <x:n v="4900"/>
    <x:x v="4"/>
    <x:s v="İstanbul"/>
  </x:r>
  <x:r>
    <x:m/>
    <x:x v="4"/>
    <x:x v="3"/>
    <x:x v="2"/>
    <x:n v="1350"/>
    <x:n v="1350"/>
    <x:n v="550"/>
    <x:x v="4"/>
    <x:s v="İzmir"/>
  </x:r>
  <x:r>
    <x:m/>
    <x:x v="6"/>
    <x:x v="11"/>
    <x:x v="2"/>
    <x:n v="1090"/>
    <x:n v="1090"/>
    <x:n v="290"/>
    <x:x v="4"/>
    <x:s v="Şanlıurfa"/>
  </x:r>
  <x:r>
    <x:m/>
    <x:x v="4"/>
    <x:x v="4"/>
    <x:x v="2"/>
    <x:n v="2180"/>
    <x:n v="2180"/>
    <x:n v="680"/>
    <x:x v="4"/>
    <x:s v="İstanbul"/>
  </x:r>
  <x:r>
    <x:m/>
    <x:x v="1"/>
    <x:x v="23"/>
    <x:x v="2"/>
    <x:n v="3700"/>
    <x:n v="3700"/>
    <x:n v="700"/>
    <x:x v="4"/>
    <x:s v="Hatay"/>
  </x:r>
  <x:r>
    <x:m/>
    <x:x v="6"/>
    <x:x v="7"/>
    <x:x v="1"/>
    <x:n v="1100"/>
    <x:n v="3300"/>
    <x:n v="900"/>
    <x:x v="4"/>
    <x:s v="Mersin"/>
  </x:r>
  <x:r>
    <x:m/>
    <x:x v="5"/>
    <x:x v="23"/>
    <x:x v="2"/>
    <x:n v="3700"/>
    <x:n v="3700"/>
    <x:n v="700"/>
    <x:x v="4"/>
    <x:s v="Gaziantep"/>
  </x:r>
  <x:r>
    <x:m/>
    <x:x v="10"/>
    <x:x v="14"/>
    <x:x v="2"/>
    <x:n v="1490"/>
    <x:n v="1490"/>
    <x:n v="690"/>
    <x:x v="4"/>
    <x:s v="Diyarbakır"/>
  </x:r>
  <x:r>
    <x:m/>
    <x:x v="9"/>
    <x:x v="22"/>
    <x:x v="2"/>
    <x:n v="1500"/>
    <x:n v="1500"/>
    <x:n v="700"/>
    <x:x v="4"/>
    <x:s v="Diyarbakır"/>
  </x:r>
  <x:r>
    <x:m/>
    <x:x v="8"/>
    <x:x v="11"/>
    <x:x v="0"/>
    <x:n v="1090"/>
    <x:n v="2180"/>
    <x:n v="580"/>
    <x:x v="4"/>
    <x:s v="Ankara"/>
  </x:r>
  <x:r>
    <x:m/>
    <x:x v="10"/>
    <x:x v="10"/>
    <x:x v="1"/>
    <x:n v="1800"/>
    <x:n v="5400"/>
    <x:n v="3000"/>
    <x:x v="4"/>
    <x:s v="Gaziantep"/>
  </x:r>
  <x:r>
    <x:m/>
    <x:x v="7"/>
    <x:x v="20"/>
    <x:x v="0"/>
    <x:n v="7530"/>
    <x:n v="15060"/>
    <x:n v="3060"/>
    <x:x v="4"/>
    <x:s v="Gaziantep"/>
  </x:r>
  <x:r>
    <x:m/>
    <x:x v="6"/>
    <x:x v="7"/>
    <x:x v="1"/>
    <x:n v="1100"/>
    <x:n v="3300"/>
    <x:n v="900"/>
    <x:x v="4"/>
    <x:s v="Kocaeli"/>
  </x:r>
  <x:r>
    <x:m/>
    <x:x v="9"/>
    <x:x v="3"/>
    <x:x v="1"/>
    <x:n v="1350"/>
    <x:n v="4050"/>
    <x:n v="1650"/>
    <x:x v="4"/>
    <x:s v="Konya"/>
  </x:r>
  <x:r>
    <x:m/>
    <x:x v="8"/>
    <x:x v="3"/>
    <x:x v="2"/>
    <x:n v="1350"/>
    <x:n v="1350"/>
    <x:n v="550"/>
    <x:x v="4"/>
    <x:s v="Bursa"/>
  </x:r>
  <x:r>
    <x:m/>
    <x:x v="7"/>
    <x:x v="11"/>
    <x:x v="0"/>
    <x:n v="1090"/>
    <x:n v="2180"/>
    <x:n v="580"/>
    <x:x v="4"/>
    <x:s v="Hatay"/>
  </x:r>
  <x:r>
    <x:m/>
    <x:x v="7"/>
    <x:x v="15"/>
    <x:x v="2"/>
    <x:n v="4200"/>
    <x:n v="4200"/>
    <x:n v="1200"/>
    <x:x v="4"/>
    <x:s v="Diyarbakır"/>
  </x:r>
  <x:r>
    <x:m/>
    <x:x v="9"/>
    <x:x v="10"/>
    <x:x v="0"/>
    <x:n v="1800"/>
    <x:n v="3600"/>
    <x:n v="2000"/>
    <x:x v="4"/>
    <x:s v="Antalya"/>
  </x:r>
  <x:r>
    <x:m/>
    <x:x v="11"/>
    <x:x v="11"/>
    <x:x v="2"/>
    <x:n v="1090"/>
    <x:n v="1090"/>
    <x:n v="290"/>
    <x:x v="4"/>
    <x:s v="İzmir"/>
  </x:r>
  <x:r>
    <x:m/>
    <x:x v="0"/>
    <x:x v="5"/>
    <x:x v="2"/>
    <x:n v="7600"/>
    <x:n v="7600"/>
    <x:n v="1600"/>
    <x:x v="4"/>
    <x:s v="İzmir"/>
  </x:r>
  <x:r>
    <x:m/>
    <x:x v="8"/>
    <x:x v="5"/>
    <x:x v="1"/>
    <x:n v="7600"/>
    <x:n v="22800"/>
    <x:n v="4800"/>
    <x:x v="4"/>
    <x:s v="Bursa"/>
  </x:r>
  <x:r>
    <x:m/>
    <x:x v="2"/>
    <x:x v="23"/>
    <x:x v="2"/>
    <x:n v="3700"/>
    <x:n v="3700"/>
    <x:n v="700"/>
    <x:x v="4"/>
    <x:s v="Bursa"/>
  </x:r>
  <x:r>
    <x:m/>
    <x:x v="4"/>
    <x:x v="6"/>
    <x:x v="1"/>
    <x:n v="7250"/>
    <x:n v="21750"/>
    <x:n v="6750"/>
    <x:x v="4"/>
    <x:s v="İstanbul"/>
  </x:r>
  <x:r>
    <x:m/>
    <x:x v="1"/>
    <x:x v="5"/>
    <x:x v="1"/>
    <x:n v="7600"/>
    <x:n v="22800"/>
    <x:n v="4800"/>
    <x:x v="4"/>
    <x:s v="Mersin"/>
  </x:r>
  <x:r>
    <x:m/>
    <x:x v="10"/>
    <x:x v="15"/>
    <x:x v="2"/>
    <x:n v="4200"/>
    <x:n v="4200"/>
    <x:n v="1200"/>
    <x:x v="4"/>
    <x:s v="Antalya"/>
  </x:r>
  <x:r>
    <x:m/>
    <x:x v="6"/>
    <x:x v="18"/>
    <x:x v="1"/>
    <x:n v="1250"/>
    <x:n v="3750"/>
    <x:n v="1350"/>
    <x:x v="4"/>
    <x:s v="Mersin"/>
  </x:r>
  <x:r>
    <x:m/>
    <x:x v="8"/>
    <x:x v="11"/>
    <x:x v="2"/>
    <x:n v="1090"/>
    <x:n v="1090"/>
    <x:n v="290"/>
    <x:x v="4"/>
    <x:s v="Antalya"/>
  </x:r>
  <x:r>
    <x:m/>
    <x:x v="3"/>
    <x:x v="4"/>
    <x:x v="2"/>
    <x:n v="2180"/>
    <x:n v="2180"/>
    <x:n v="680"/>
    <x:x v="4"/>
    <x:s v="Hatay"/>
  </x:r>
  <x:r>
    <x:m/>
    <x:x v="11"/>
    <x:x v="23"/>
    <x:x v="0"/>
    <x:n v="3700"/>
    <x:n v="7400"/>
    <x:n v="1400"/>
    <x:x v="4"/>
    <x:s v="Hatay"/>
  </x:r>
  <x:r>
    <x:m/>
    <x:x v="9"/>
    <x:x v="0"/>
    <x:x v="0"/>
    <x:n v="6000"/>
    <x:n v="12000"/>
    <x:n v="4000"/>
    <x:x v="4"/>
    <x:s v="Hatay"/>
  </x:r>
  <x:r>
    <x:m/>
    <x:x v="10"/>
    <x:x v="18"/>
    <x:x v="0"/>
    <x:n v="1250"/>
    <x:n v="2500"/>
    <x:n v="900"/>
    <x:x v="4"/>
    <x:s v="İstanbul"/>
  </x:r>
  <x:r>
    <x:m/>
    <x:x v="11"/>
    <x:x v="5"/>
    <x:x v="2"/>
    <x:n v="7600"/>
    <x:n v="7600"/>
    <x:n v="1600"/>
    <x:x v="4"/>
    <x:s v="İzmir"/>
  </x:r>
  <x:r>
    <x:m/>
    <x:x v="0"/>
    <x:x v="1"/>
    <x:x v="0"/>
    <x:n v="1400"/>
    <x:n v="2800"/>
    <x:n v="1200"/>
    <x:x v="4"/>
    <x:s v="Antalya"/>
  </x:r>
  <x:r>
    <x:m/>
    <x:x v="4"/>
    <x:x v="4"/>
    <x:x v="0"/>
    <x:n v="2180"/>
    <x:n v="4360"/>
    <x:n v="1360"/>
    <x:x v="4"/>
    <x:s v="Şanlıurfa"/>
  </x:r>
  <x:r>
    <x:m/>
    <x:x v="0"/>
    <x:x v="10"/>
    <x:x v="1"/>
    <x:n v="1800"/>
    <x:n v="5400"/>
    <x:n v="3000"/>
    <x:x v="4"/>
    <x:s v="Adana"/>
  </x:r>
  <x:r>
    <x:m/>
    <x:x v="2"/>
    <x:x v="22"/>
    <x:x v="2"/>
    <x:n v="1500"/>
    <x:n v="1500"/>
    <x:n v="700"/>
    <x:x v="4"/>
    <x:s v="Ankara"/>
  </x:r>
  <x:r>
    <x:m/>
    <x:x v="6"/>
    <x:x v="2"/>
    <x:x v="1"/>
    <x:n v="8450"/>
    <x:n v="25350"/>
    <x:n v="7350"/>
    <x:x v="4"/>
    <x:s v="Gaziantep"/>
  </x:r>
  <x:r>
    <x:m/>
    <x:x v="9"/>
    <x:x v="22"/>
    <x:x v="1"/>
    <x:n v="1500"/>
    <x:n v="4500"/>
    <x:n v="2100"/>
    <x:x v="4"/>
    <x:s v="Mersin"/>
  </x:r>
  <x:r>
    <x:m/>
    <x:x v="5"/>
    <x:x v="0"/>
    <x:x v="1"/>
    <x:n v="6000"/>
    <x:n v="18000"/>
    <x:n v="6000"/>
    <x:x v="4"/>
    <x:s v="Konya"/>
  </x:r>
  <x:r>
    <x:m/>
    <x:x v="11"/>
    <x:x v="19"/>
    <x:x v="2"/>
    <x:n v="1200"/>
    <x:n v="1200"/>
    <x:n v="400"/>
    <x:x v="4"/>
    <x:s v="İstanbul"/>
  </x:r>
  <x:r>
    <x:m/>
    <x:x v="0"/>
    <x:x v="15"/>
    <x:x v="1"/>
    <x:n v="4200"/>
    <x:n v="12600"/>
    <x:n v="3600"/>
    <x:x v="4"/>
    <x:s v="Antalya"/>
  </x:r>
  <x:r>
    <x:m/>
    <x:x v="10"/>
    <x:x v="5"/>
    <x:x v="1"/>
    <x:n v="7600"/>
    <x:n v="22800"/>
    <x:n v="4800"/>
    <x:x v="4"/>
    <x:s v="Bursa"/>
  </x:r>
  <x:r>
    <x:m/>
    <x:x v="5"/>
    <x:x v="6"/>
    <x:x v="0"/>
    <x:n v="7250"/>
    <x:n v="14500"/>
    <x:n v="4500"/>
    <x:x v="4"/>
    <x:s v="Gaziantep"/>
  </x:r>
  <x:r>
    <x:m/>
    <x:x v="1"/>
    <x:x v="20"/>
    <x:x v="0"/>
    <x:n v="7530"/>
    <x:n v="15060"/>
    <x:n v="3060"/>
    <x:x v="4"/>
    <x:s v="Şanlıurfa"/>
  </x:r>
  <x:r>
    <x:m/>
    <x:x v="2"/>
    <x:x v="6"/>
    <x:x v="0"/>
    <x:n v="7250"/>
    <x:n v="14500"/>
    <x:n v="4500"/>
    <x:x v="4"/>
    <x:s v="Bursa"/>
  </x:r>
  <x:r>
    <x:m/>
    <x:x v="1"/>
    <x:x v="0"/>
    <x:x v="2"/>
    <x:n v="6000"/>
    <x:n v="6000"/>
    <x:n v="2000"/>
    <x:x v="4"/>
    <x:s v="Adana"/>
  </x:r>
  <x:r>
    <x:m/>
    <x:x v="5"/>
    <x:x v="19"/>
    <x:x v="1"/>
    <x:n v="1200"/>
    <x:n v="3600"/>
    <x:n v="1200"/>
    <x:x v="4"/>
    <x:s v="İstanbul"/>
  </x:r>
  <x:r>
    <x:m/>
    <x:x v="11"/>
    <x:x v="21"/>
    <x:x v="0"/>
    <x:n v="5300"/>
    <x:n v="10600"/>
    <x:n v="2600"/>
    <x:x v="4"/>
    <x:s v="Adana"/>
  </x:r>
  <x:r>
    <x:m/>
    <x:x v="8"/>
    <x:x v="2"/>
    <x:x v="0"/>
    <x:n v="8450"/>
    <x:n v="16900"/>
    <x:n v="4900"/>
    <x:x v="4"/>
    <x:s v="Ankara"/>
  </x:r>
  <x:r>
    <x:m/>
    <x:x v="4"/>
    <x:x v="3"/>
    <x:x v="2"/>
    <x:n v="1350"/>
    <x:n v="1350"/>
    <x:n v="550"/>
    <x:x v="4"/>
    <x:s v="İzmir"/>
  </x:r>
  <x:r>
    <x:m/>
    <x:x v="6"/>
    <x:x v="11"/>
    <x:x v="2"/>
    <x:n v="1090"/>
    <x:n v="1090"/>
    <x:n v="290"/>
    <x:x v="4"/>
    <x:s v="Antalya"/>
  </x:r>
  <x:r>
    <x:m/>
    <x:x v="4"/>
    <x:x v="4"/>
    <x:x v="2"/>
    <x:n v="2180"/>
    <x:n v="2180"/>
    <x:n v="680"/>
    <x:x v="4"/>
    <x:s v="Mersin"/>
  </x:r>
  <x:r>
    <x:m/>
    <x:x v="0"/>
    <x:x v="0"/>
    <x:x v="0"/>
    <x:n v="6000"/>
    <x:n v="12000"/>
    <x:n v="4000"/>
    <x:x v="4"/>
    <x:s v="Kocaeli"/>
  </x:r>
  <x:r>
    <x:m/>
    <x:x v="1"/>
    <x:x v="1"/>
    <x:x v="0"/>
    <x:n v="1400"/>
    <x:n v="2800"/>
    <x:n v="1200"/>
    <x:x v="4"/>
    <x:s v="Ankara"/>
  </x:r>
  <x:r>
    <x:m/>
    <x:x v="2"/>
    <x:x v="2"/>
    <x:x v="0"/>
    <x:n v="8450"/>
    <x:n v="16900"/>
    <x:n v="4900"/>
    <x:x v="4"/>
    <x:s v="Mersin"/>
  </x:r>
  <x:r>
    <x:m/>
    <x:x v="3"/>
    <x:x v="3"/>
    <x:x v="1"/>
    <x:n v="1350"/>
    <x:n v="4050"/>
    <x:n v="1650"/>
    <x:x v="4"/>
    <x:s v="Bursa"/>
  </x:r>
  <x:r>
    <x:m/>
    <x:x v="0"/>
    <x:x v="4"/>
    <x:x v="0"/>
    <x:n v="2180"/>
    <x:n v="4360"/>
    <x:n v="1360"/>
    <x:x v="4"/>
    <x:s v="İstanbul"/>
  </x:r>
  <x:r>
    <x:m/>
    <x:x v="4"/>
    <x:x v="5"/>
    <x:x v="0"/>
    <x:n v="7600"/>
    <x:n v="15200"/>
    <x:n v="3200"/>
    <x:x v="4"/>
    <x:s v="Mersin"/>
  </x:r>
  <x:r>
    <x:m/>
    <x:x v="1"/>
    <x:x v="6"/>
    <x:x v="0"/>
    <x:n v="7250"/>
    <x:n v="14500"/>
    <x:n v="4500"/>
    <x:x v="4"/>
    <x:s v="Adana"/>
  </x:r>
  <x:r>
    <x:m/>
    <x:x v="3"/>
    <x:x v="7"/>
    <x:x v="1"/>
    <x:n v="1100"/>
    <x:n v="3300"/>
    <x:n v="900"/>
    <x:x v="4"/>
    <x:s v="Gaziantep"/>
  </x:r>
  <x:r>
    <x:m/>
    <x:x v="5"/>
    <x:x v="0"/>
    <x:x v="0"/>
    <x:n v="6000"/>
    <x:n v="12000"/>
    <x:n v="4000"/>
    <x:x v="4"/>
    <x:s v="Kocaeli"/>
  </x:r>
  <x:r>
    <x:m/>
    <x:x v="0"/>
    <x:x v="9"/>
    <x:x v="2"/>
    <x:n v="1200"/>
    <x:n v="1200"/>
    <x:n v="400"/>
    <x:x v="4"/>
    <x:s v="Bursa"/>
  </x:r>
  <x:r>
    <x:m/>
    <x:x v="6"/>
    <x:x v="10"/>
    <x:x v="0"/>
    <x:n v="1800"/>
    <x:n v="3600"/>
    <x:n v="2000"/>
    <x:x v="4"/>
    <x:s v="Şanlıurfa"/>
  </x:r>
  <x:r>
    <x:m/>
    <x:x v="6"/>
    <x:x v="11"/>
    <x:x v="0"/>
    <x:n v="1090"/>
    <x:n v="2180"/>
    <x:n v="580"/>
    <x:x v="4"/>
    <x:s v="Diyarbakır"/>
  </x:r>
  <x:r>
    <x:m/>
    <x:x v="5"/>
    <x:x v="4"/>
    <x:x v="1"/>
    <x:n v="2180"/>
    <x:n v="6540"/>
    <x:n v="2040"/>
    <x:x v="4"/>
    <x:s v="Kocaeli"/>
  </x:r>
  <x:r>
    <x:m/>
    <x:x v="7"/>
    <x:x v="10"/>
    <x:x v="1"/>
    <x:n v="1800"/>
    <x:n v="5400"/>
    <x:n v="3000"/>
    <x:x v="4"/>
    <x:s v="Antalya"/>
  </x:r>
  <x:r>
    <x:m/>
    <x:x v="4"/>
    <x:x v="12"/>
    <x:x v="1"/>
    <x:n v="8000"/>
    <x:n v="24000"/>
    <x:n v="6000"/>
    <x:x v="4"/>
    <x:s v="İzmir"/>
  </x:r>
  <x:r>
    <x:m/>
    <x:x v="5"/>
    <x:x v="1"/>
    <x:x v="2"/>
    <x:n v="1400"/>
    <x:n v="1400"/>
    <x:n v="600"/>
    <x:x v="4"/>
    <x:s v="Antalya"/>
  </x:r>
  <x:r>
    <x:m/>
    <x:x v="8"/>
    <x:x v="13"/>
    <x:x v="2"/>
    <x:n v="10590"/>
    <x:n v="10590"/>
    <x:n v="4590"/>
    <x:x v="4"/>
    <x:s v="Şanlıurfa"/>
  </x:r>
  <x:r>
    <x:m/>
    <x:x v="9"/>
    <x:x v="3"/>
    <x:x v="0"/>
    <x:n v="1350"/>
    <x:n v="2700"/>
    <x:n v="1100"/>
    <x:x v="4"/>
    <x:s v="Kocaeli"/>
  </x:r>
  <x:r>
    <x:m/>
    <x:x v="6"/>
    <x:x v="1"/>
    <x:x v="0"/>
    <x:n v="1400"/>
    <x:n v="2800"/>
    <x:n v="1200"/>
    <x:x v="4"/>
    <x:s v="Şanlıurfa"/>
  </x:r>
  <x:r>
    <x:m/>
    <x:x v="3"/>
    <x:x v="0"/>
    <x:x v="2"/>
    <x:n v="6000"/>
    <x:n v="6000"/>
    <x:n v="2000"/>
    <x:x v="4"/>
    <x:s v="Şanlıurfa"/>
  </x:r>
  <x:r>
    <x:m/>
    <x:x v="8"/>
    <x:x v="7"/>
    <x:x v="0"/>
    <x:n v="1100"/>
    <x:n v="2200"/>
    <x:n v="600"/>
    <x:x v="4"/>
    <x:s v="Bursa"/>
  </x:r>
  <x:r>
    <x:m/>
    <x:x v="2"/>
    <x:x v="0"/>
    <x:x v="0"/>
    <x:n v="6000"/>
    <x:n v="12000"/>
    <x:n v="4000"/>
    <x:x v="4"/>
    <x:s v="Antalya"/>
  </x:r>
  <x:r>
    <x:m/>
    <x:x v="9"/>
    <x:x v="14"/>
    <x:x v="2"/>
    <x:n v="1490"/>
    <x:n v="1490"/>
    <x:n v="690"/>
    <x:x v="4"/>
    <x:s v="Kocaeli"/>
  </x:r>
  <x:r>
    <x:m/>
    <x:x v="8"/>
    <x:x v="13"/>
    <x:x v="0"/>
    <x:n v="10590"/>
    <x:n v="21180"/>
    <x:n v="9180"/>
    <x:x v="4"/>
    <x:s v="Şanlıurfa"/>
  </x:r>
  <x:r>
    <x:m/>
    <x:x v="2"/>
    <x:x v="12"/>
    <x:x v="1"/>
    <x:n v="8000"/>
    <x:n v="24000"/>
    <x:n v="6000"/>
    <x:x v="4"/>
    <x:s v="Diyarbakır"/>
  </x:r>
  <x:r>
    <x:m/>
    <x:x v="6"/>
    <x:x v="7"/>
    <x:x v="2"/>
    <x:n v="1100"/>
    <x:n v="1100"/>
    <x:n v="300"/>
    <x:x v="4"/>
    <x:s v="Diyarbakır"/>
  </x:r>
  <x:r>
    <x:m/>
    <x:x v="9"/>
    <x:x v="9"/>
    <x:x v="2"/>
    <x:n v="1200"/>
    <x:n v="1200"/>
    <x:n v="400"/>
    <x:x v="4"/>
    <x:s v="İzmir"/>
  </x:r>
  <x:r>
    <x:m/>
    <x:x v="4"/>
    <x:x v="15"/>
    <x:x v="0"/>
    <x:n v="4200"/>
    <x:n v="8400"/>
    <x:n v="2400"/>
    <x:x v="4"/>
    <x:s v="Şanlıurfa"/>
  </x:r>
  <x:r>
    <x:m/>
    <x:x v="1"/>
    <x:x v="16"/>
    <x:x v="1"/>
    <x:n v="5775"/>
    <x:n v="17325"/>
    <x:n v="5325"/>
    <x:x v="4"/>
    <x:s v="Bursa"/>
  </x:r>
  <x:r>
    <x:m/>
    <x:x v="10"/>
    <x:x v="5"/>
    <x:x v="1"/>
    <x:n v="7600"/>
    <x:n v="22800"/>
    <x:n v="4800"/>
    <x:x v="4"/>
    <x:s v="Bursa"/>
  </x:r>
  <x:r>
    <x:m/>
    <x:x v="1"/>
    <x:x v="6"/>
    <x:x v="1"/>
    <x:n v="7250"/>
    <x:n v="21750"/>
    <x:n v="6750"/>
    <x:x v="4"/>
    <x:s v="Diyarbakır"/>
  </x:r>
  <x:r>
    <x:m/>
    <x:x v="0"/>
    <x:x v="6"/>
    <x:x v="1"/>
    <x:n v="7250"/>
    <x:n v="21750"/>
    <x:n v="6750"/>
    <x:x v="4"/>
    <x:s v="Gaziantep"/>
  </x:r>
  <x:r>
    <x:m/>
    <x:x v="8"/>
    <x:x v="6"/>
    <x:x v="1"/>
    <x:n v="7250"/>
    <x:n v="21750"/>
    <x:n v="6750"/>
    <x:x v="4"/>
    <x:s v="Antalya"/>
  </x:r>
  <x:r>
    <x:m/>
    <x:x v="5"/>
    <x:x v="3"/>
    <x:x v="2"/>
    <x:n v="1350"/>
    <x:n v="1350"/>
    <x:n v="550"/>
    <x:x v="4"/>
    <x:s v="Diyarbakır"/>
  </x:r>
  <x:r>
    <x:m/>
    <x:x v="1"/>
    <x:x v="6"/>
    <x:x v="0"/>
    <x:n v="7250"/>
    <x:n v="14500"/>
    <x:n v="4500"/>
    <x:x v="4"/>
    <x:s v="Mersin"/>
  </x:r>
  <x:r>
    <x:m/>
    <x:x v="6"/>
    <x:x v="5"/>
    <x:x v="2"/>
    <x:n v="7600"/>
    <x:n v="7600"/>
    <x:n v="1600"/>
    <x:x v="4"/>
    <x:s v="Kocaeli"/>
  </x:r>
  <x:r>
    <x:m/>
    <x:x v="11"/>
    <x:x v="5"/>
    <x:x v="1"/>
    <x:n v="7600"/>
    <x:n v="22800"/>
    <x:n v="4800"/>
    <x:x v="4"/>
    <x:s v="İzmir"/>
  </x:r>
  <x:r>
    <x:m/>
    <x:x v="1"/>
    <x:x v="14"/>
    <x:x v="1"/>
    <x:n v="1490"/>
    <x:n v="4470"/>
    <x:n v="2070"/>
    <x:x v="4"/>
    <x:s v="Mersin"/>
  </x:r>
  <x:r>
    <x:m/>
    <x:x v="5"/>
    <x:x v="17"/>
    <x:x v="0"/>
    <x:n v="2900"/>
    <x:n v="5800"/>
    <x:n v="1800"/>
    <x:x v="4"/>
    <x:s v="Hatay"/>
  </x:r>
  <x:r>
    <x:m/>
    <x:x v="9"/>
    <x:x v="14"/>
    <x:x v="2"/>
    <x:n v="1490"/>
    <x:n v="1490"/>
    <x:n v="690"/>
    <x:x v="4"/>
    <x:s v="Kocaeli"/>
  </x:r>
  <x:r>
    <x:m/>
    <x:x v="9"/>
    <x:x v="11"/>
    <x:x v="0"/>
    <x:n v="1090"/>
    <x:n v="2180"/>
    <x:n v="580"/>
    <x:x v="4"/>
    <x:s v="Şanlıurfa"/>
  </x:r>
  <x:r>
    <x:m/>
    <x:x v="5"/>
    <x:x v="9"/>
    <x:x v="0"/>
    <x:n v="1200"/>
    <x:n v="2400"/>
    <x:n v="800"/>
    <x:x v="4"/>
    <x:s v="Şanlıurfa"/>
  </x:r>
  <x:r>
    <x:m/>
    <x:x v="8"/>
    <x:x v="13"/>
    <x:x v="0"/>
    <x:n v="10590"/>
    <x:n v="21180"/>
    <x:n v="9180"/>
    <x:x v="4"/>
    <x:s v="Şanlıurfa"/>
  </x:r>
  <x:r>
    <x:m/>
    <x:x v="6"/>
    <x:x v="15"/>
    <x:x v="1"/>
    <x:n v="4200"/>
    <x:n v="12600"/>
    <x:n v="3600"/>
    <x:x v="4"/>
    <x:s v="Adana"/>
  </x:r>
  <x:r>
    <x:m/>
    <x:x v="3"/>
    <x:x v="15"/>
    <x:x v="1"/>
    <x:n v="4200"/>
    <x:n v="12600"/>
    <x:n v="3600"/>
    <x:x v="4"/>
    <x:s v="İzmir"/>
  </x:r>
  <x:r>
    <x:m/>
    <x:x v="7"/>
    <x:x v="13"/>
    <x:x v="0"/>
    <x:n v="10590"/>
    <x:n v="21180"/>
    <x:n v="9180"/>
    <x:x v="4"/>
    <x:s v="Mersin"/>
  </x:r>
  <x:r>
    <x:m/>
    <x:x v="11"/>
    <x:x v="18"/>
    <x:x v="2"/>
    <x:n v="1250"/>
    <x:n v="1250"/>
    <x:n v="450"/>
    <x:x v="4"/>
    <x:s v="Hatay"/>
  </x:r>
  <x:r>
    <x:m/>
    <x:x v="0"/>
    <x:x v="14"/>
    <x:x v="1"/>
    <x:n v="1490"/>
    <x:n v="4470"/>
    <x:n v="2070"/>
    <x:x v="4"/>
    <x:s v="Bursa"/>
  </x:r>
  <x:r>
    <x:m/>
    <x:x v="6"/>
    <x:x v="9"/>
    <x:x v="0"/>
    <x:n v="1200"/>
    <x:n v="2400"/>
    <x:n v="800"/>
    <x:x v="4"/>
    <x:s v="Kocaeli"/>
  </x:r>
  <x:r>
    <x:m/>
    <x:x v="2"/>
    <x:x v="4"/>
    <x:x v="1"/>
    <x:n v="2180"/>
    <x:n v="6540"/>
    <x:n v="2040"/>
    <x:x v="4"/>
    <x:s v="Diyarbakır"/>
  </x:r>
  <x:r>
    <x:m/>
    <x:x v="9"/>
    <x:x v="19"/>
    <x:x v="1"/>
    <x:n v="1200"/>
    <x:n v="3600"/>
    <x:n v="1200"/>
    <x:x v="4"/>
    <x:s v="Diyarbakır"/>
  </x:r>
  <x:r>
    <x:m/>
    <x:x v="0"/>
    <x:x v="10"/>
    <x:x v="2"/>
    <x:n v="1800"/>
    <x:n v="1800"/>
    <x:n v="1000"/>
    <x:x v="4"/>
    <x:s v="Adana"/>
  </x:r>
  <x:r>
    <x:m/>
    <x:x v="2"/>
    <x:x v="5"/>
    <x:x v="2"/>
    <x:n v="7600"/>
    <x:n v="7600"/>
    <x:n v="1600"/>
    <x:x v="4"/>
    <x:s v="Kocaeli"/>
  </x:r>
  <x:r>
    <x:m/>
    <x:x v="7"/>
    <x:x v="20"/>
    <x:x v="2"/>
    <x:n v="7530"/>
    <x:n v="7530"/>
    <x:n v="1530"/>
    <x:x v="4"/>
    <x:s v="Antalya"/>
  </x:r>
  <x:r>
    <x:m/>
    <x:x v="11"/>
    <x:x v="14"/>
    <x:x v="0"/>
    <x:n v="1490"/>
    <x:n v="2980"/>
    <x:n v="1380"/>
    <x:x v="4"/>
    <x:s v="Mersin"/>
  </x:r>
  <x:r>
    <x:m/>
    <x:x v="0"/>
    <x:x v="21"/>
    <x:x v="2"/>
    <x:n v="5300"/>
    <x:n v="5300"/>
    <x:n v="1300"/>
    <x:x v="4"/>
    <x:s v="Ankara"/>
  </x:r>
  <x:r>
    <x:m/>
    <x:x v="4"/>
    <x:x v="9"/>
    <x:x v="0"/>
    <x:n v="1200"/>
    <x:n v="2400"/>
    <x:n v="800"/>
    <x:x v="4"/>
    <x:s v="Antalya"/>
  </x:r>
  <x:r>
    <x:m/>
    <x:x v="9"/>
    <x:x v="11"/>
    <x:x v="2"/>
    <x:n v="1090"/>
    <x:n v="1090"/>
    <x:n v="290"/>
    <x:x v="4"/>
    <x:s v="Hatay"/>
  </x:r>
  <x:r>
    <x:m/>
    <x:x v="4"/>
    <x:x v="6"/>
    <x:x v="2"/>
    <x:n v="7250"/>
    <x:n v="7250"/>
    <x:n v="2250"/>
    <x:x v="4"/>
    <x:s v="Ankara"/>
  </x:r>
  <x:r>
    <x:m/>
    <x:x v="10"/>
    <x:x v="1"/>
    <x:x v="1"/>
    <x:n v="1400"/>
    <x:n v="4200"/>
    <x:n v="1800"/>
    <x:x v="4"/>
    <x:s v="Konya"/>
  </x:r>
  <x:r>
    <x:m/>
    <x:x v="2"/>
    <x:x v="22"/>
    <x:x v="2"/>
    <x:n v="1500"/>
    <x:n v="1500"/>
    <x:n v="700"/>
    <x:x v="4"/>
    <x:s v="Mersin"/>
  </x:r>
  <x:r>
    <x:m/>
    <x:x v="7"/>
    <x:x v="3"/>
    <x:x v="2"/>
    <x:n v="1350"/>
    <x:n v="1350"/>
    <x:n v="550"/>
    <x:x v="4"/>
    <x:s v="Antalya"/>
  </x:r>
  <x:r>
    <x:m/>
    <x:x v="7"/>
    <x:x v="9"/>
    <x:x v="1"/>
    <x:n v="1200"/>
    <x:n v="3600"/>
    <x:n v="1200"/>
    <x:x v="4"/>
    <x:s v="Kocaeli"/>
  </x:r>
  <x:r>
    <x:m/>
    <x:x v="1"/>
    <x:x v="20"/>
    <x:x v="1"/>
    <x:n v="7530"/>
    <x:n v="22590"/>
    <x:n v="4590"/>
    <x:x v="4"/>
    <x:s v="İstanbul"/>
  </x:r>
  <x:r>
    <x:m/>
    <x:x v="10"/>
    <x:x v="9"/>
    <x:x v="2"/>
    <x:n v="1200"/>
    <x:n v="1200"/>
    <x:n v="400"/>
    <x:x v="4"/>
    <x:s v="Antalya"/>
  </x:r>
  <x:r>
    <x:m/>
    <x:x v="8"/>
    <x:x v="10"/>
    <x:x v="1"/>
    <x:n v="1800"/>
    <x:n v="5400"/>
    <x:n v="3000"/>
    <x:x v="4"/>
    <x:s v="Gaziantep"/>
  </x:r>
  <x:r>
    <x:m/>
    <x:x v="0"/>
    <x:x v="6"/>
    <x:x v="2"/>
    <x:n v="7250"/>
    <x:n v="7250"/>
    <x:n v="2250"/>
    <x:x v="4"/>
    <x:s v="Kocaeli"/>
  </x:r>
  <x:r>
    <x:m/>
    <x:x v="9"/>
    <x:x v="14"/>
    <x:x v="1"/>
    <x:n v="1490"/>
    <x:n v="4470"/>
    <x:n v="2070"/>
    <x:x v="4"/>
    <x:s v="Bursa"/>
  </x:r>
  <x:r>
    <x:m/>
    <x:x v="9"/>
    <x:x v="19"/>
    <x:x v="2"/>
    <x:n v="1200"/>
    <x:n v="1200"/>
    <x:n v="400"/>
    <x:x v="4"/>
    <x:s v="İzmir"/>
  </x:r>
  <x:r>
    <x:m/>
    <x:x v="1"/>
    <x:x v="12"/>
    <x:x v="2"/>
    <x:n v="8000"/>
    <x:n v="8000"/>
    <x:n v="2000"/>
    <x:x v="4"/>
    <x:s v="Diyarbakır"/>
  </x:r>
  <x:r>
    <x:m/>
    <x:x v="6"/>
    <x:x v="1"/>
    <x:x v="2"/>
    <x:n v="1400"/>
    <x:n v="1400"/>
    <x:n v="600"/>
    <x:x v="4"/>
    <x:s v="Diyarbakır"/>
  </x:r>
  <x:r>
    <x:m/>
    <x:x v="5"/>
    <x:x v="3"/>
    <x:x v="2"/>
    <x:n v="1350"/>
    <x:n v="1350"/>
    <x:n v="550"/>
    <x:x v="4"/>
    <x:s v="Adana"/>
  </x:r>
  <x:r>
    <x:m/>
    <x:x v="8"/>
    <x:x v="19"/>
    <x:x v="2"/>
    <x:n v="1200"/>
    <x:n v="1200"/>
    <x:n v="400"/>
    <x:x v="4"/>
    <x:s v="Adana"/>
  </x:r>
  <x:r>
    <x:m/>
    <x:x v="6"/>
    <x:x v="21"/>
    <x:x v="2"/>
    <x:n v="5300"/>
    <x:n v="5300"/>
    <x:n v="1300"/>
    <x:x v="4"/>
    <x:s v="Hatay"/>
  </x:r>
  <x:r>
    <x:m/>
    <x:x v="9"/>
    <x:x v="13"/>
    <x:x v="1"/>
    <x:n v="10590"/>
    <x:n v="31770"/>
    <x:n v="13770"/>
    <x:x v="4"/>
    <x:s v="Gaziantep"/>
  </x:r>
  <x:r>
    <x:m/>
    <x:x v="4"/>
    <x:x v="18"/>
    <x:x v="2"/>
    <x:n v="1250"/>
    <x:n v="1250"/>
    <x:n v="450"/>
    <x:x v="4"/>
    <x:s v="Konya"/>
  </x:r>
  <x:r>
    <x:m/>
    <x:x v="11"/>
    <x:x v="19"/>
    <x:x v="2"/>
    <x:n v="1200"/>
    <x:n v="1200"/>
    <x:n v="400"/>
    <x:x v="5"/>
    <x:s v="Bursa"/>
  </x:r>
  <x:r>
    <x:m/>
    <x:x v="4"/>
    <x:x v="1"/>
    <x:x v="1"/>
    <x:n v="1400"/>
    <x:n v="4200"/>
    <x:n v="1800"/>
    <x:x v="5"/>
    <x:s v="Hatay"/>
  </x:r>
  <x:r>
    <x:m/>
    <x:x v="11"/>
    <x:x v="20"/>
    <x:x v="0"/>
    <x:n v="7530"/>
    <x:n v="15060"/>
    <x:n v="3060"/>
    <x:x v="5"/>
    <x:s v="Antalya"/>
  </x:r>
  <x:r>
    <x:m/>
    <x:x v="6"/>
    <x:x v="5"/>
    <x:x v="2"/>
    <x:n v="7600"/>
    <x:n v="7600"/>
    <x:n v="1600"/>
    <x:x v="5"/>
    <x:s v="Diyarbakır"/>
  </x:r>
  <x:r>
    <x:m/>
    <x:x v="11"/>
    <x:x v="22"/>
    <x:x v="2"/>
    <x:n v="1500"/>
    <x:n v="1500"/>
    <x:n v="700"/>
    <x:x v="5"/>
    <x:s v="Antalya"/>
  </x:r>
  <x:r>
    <x:m/>
    <x:x v="9"/>
    <x:x v="4"/>
    <x:x v="0"/>
    <x:n v="2180"/>
    <x:n v="4360"/>
    <x:n v="1360"/>
    <x:x v="5"/>
    <x:s v="Gaziantep"/>
  </x:r>
  <x:r>
    <x:m/>
    <x:x v="3"/>
    <x:x v="4"/>
    <x:x v="2"/>
    <x:n v="2180"/>
    <x:n v="2180"/>
    <x:n v="680"/>
    <x:x v="5"/>
    <x:s v="Şanlıurfa"/>
  </x:r>
  <x:r>
    <x:m/>
    <x:x v="9"/>
    <x:x v="16"/>
    <x:x v="2"/>
    <x:n v="5775"/>
    <x:n v="5775"/>
    <x:n v="1775"/>
    <x:x v="5"/>
    <x:s v="Mersin"/>
  </x:r>
  <x:r>
    <x:m/>
    <x:x v="9"/>
    <x:x v="7"/>
    <x:x v="1"/>
    <x:n v="1100"/>
    <x:n v="3300"/>
    <x:n v="900"/>
    <x:x v="5"/>
    <x:s v="Adana"/>
  </x:r>
  <x:r>
    <x:m/>
    <x:x v="10"/>
    <x:x v="16"/>
    <x:x v="2"/>
    <x:n v="5775"/>
    <x:n v="5775"/>
    <x:n v="1775"/>
    <x:x v="5"/>
    <x:s v="Diyarbakır"/>
  </x:r>
  <x:r>
    <x:m/>
    <x:x v="7"/>
    <x:x v="3"/>
    <x:x v="2"/>
    <x:n v="1350"/>
    <x:n v="1350"/>
    <x:n v="550"/>
    <x:x v="5"/>
    <x:s v="Ankara"/>
  </x:r>
  <x:r>
    <x:m/>
    <x:x v="0"/>
    <x:x v="5"/>
    <x:x v="1"/>
    <x:n v="7600"/>
    <x:n v="22800"/>
    <x:n v="4800"/>
    <x:x v="5"/>
    <x:s v="Diyarbakır"/>
  </x:r>
  <x:r>
    <x:m/>
    <x:x v="2"/>
    <x:x v="6"/>
    <x:x v="1"/>
    <x:n v="7250"/>
    <x:n v="21750"/>
    <x:n v="6750"/>
    <x:x v="5"/>
    <x:s v="İzmir"/>
  </x:r>
  <x:r>
    <x:m/>
    <x:x v="11"/>
    <x:x v="14"/>
    <x:x v="0"/>
    <x:n v="1490"/>
    <x:n v="2980"/>
    <x:n v="1380"/>
    <x:x v="5"/>
    <x:s v="Konya"/>
  </x:r>
  <x:r>
    <x:m/>
    <x:x v="3"/>
    <x:x v="14"/>
    <x:x v="0"/>
    <x:n v="1490"/>
    <x:n v="2980"/>
    <x:n v="1380"/>
    <x:x v="5"/>
    <x:s v="Şanlıurfa"/>
  </x:r>
  <x:r>
    <x:m/>
    <x:x v="8"/>
    <x:x v="11"/>
    <x:x v="0"/>
    <x:n v="1090"/>
    <x:n v="2180"/>
    <x:n v="580"/>
    <x:x v="5"/>
    <x:s v="Antalya"/>
  </x:r>
  <x:r>
    <x:m/>
    <x:x v="8"/>
    <x:x v="9"/>
    <x:x v="1"/>
    <x:n v="1200"/>
    <x:n v="3600"/>
    <x:n v="1200"/>
    <x:x v="5"/>
    <x:s v="Adana"/>
  </x:r>
  <x:r>
    <x:m/>
    <x:x v="11"/>
    <x:x v="11"/>
    <x:x v="0"/>
    <x:n v="1090"/>
    <x:n v="2180"/>
    <x:n v="580"/>
    <x:x v="5"/>
    <x:s v="Bursa"/>
  </x:r>
  <x:r>
    <x:m/>
    <x:x v="11"/>
    <x:x v="4"/>
    <x:x v="1"/>
    <x:n v="2180"/>
    <x:n v="6540"/>
    <x:n v="2040"/>
    <x:x v="5"/>
    <x:s v="Hatay"/>
  </x:r>
  <x:r>
    <x:m/>
    <x:x v="2"/>
    <x:x v="21"/>
    <x:x v="1"/>
    <x:n v="5300"/>
    <x:n v="15900"/>
    <x:n v="3900"/>
    <x:x v="5"/>
    <x:s v="Adana"/>
  </x:r>
  <x:r>
    <x:m/>
    <x:x v="11"/>
    <x:x v="21"/>
    <x:x v="0"/>
    <x:n v="5300"/>
    <x:n v="10600"/>
    <x:n v="2600"/>
    <x:x v="5"/>
    <x:s v="Hatay"/>
  </x:r>
  <x:r>
    <x:m/>
    <x:x v="5"/>
    <x:x v="6"/>
    <x:x v="0"/>
    <x:n v="7250"/>
    <x:n v="14500"/>
    <x:n v="4500"/>
    <x:x v="5"/>
    <x:s v="İzmir"/>
  </x:r>
  <x:r>
    <x:m/>
    <x:x v="5"/>
    <x:x v="19"/>
    <x:x v="1"/>
    <x:n v="1200"/>
    <x:n v="3600"/>
    <x:n v="1200"/>
    <x:x v="5"/>
    <x:s v="İzmir"/>
  </x:r>
  <x:r>
    <x:m/>
    <x:x v="3"/>
    <x:x v="0"/>
    <x:x v="2"/>
    <x:n v="6000"/>
    <x:n v="6000"/>
    <x:n v="2000"/>
    <x:x v="5"/>
    <x:s v="Kocaeli"/>
  </x:r>
  <x:r>
    <x:m/>
    <x:x v="2"/>
    <x:x v="2"/>
    <x:x v="1"/>
    <x:n v="8450"/>
    <x:n v="25350"/>
    <x:n v="7350"/>
    <x:x v="5"/>
    <x:s v="Şanlıurfa"/>
  </x:r>
  <x:r>
    <x:m/>
    <x:x v="6"/>
    <x:x v="15"/>
    <x:x v="2"/>
    <x:n v="4200"/>
    <x:n v="4200"/>
    <x:n v="1200"/>
    <x:x v="5"/>
    <x:s v="Hatay"/>
  </x:r>
  <x:r>
    <x:m/>
    <x:x v="6"/>
    <x:x v="13"/>
    <x:x v="1"/>
    <x:n v="10590"/>
    <x:n v="31770"/>
    <x:n v="13770"/>
    <x:x v="5"/>
    <x:s v="Antalya"/>
  </x:r>
  <x:r>
    <x:m/>
    <x:x v="5"/>
    <x:x v="19"/>
    <x:x v="2"/>
    <x:n v="1200"/>
    <x:n v="1200"/>
    <x:n v="400"/>
    <x:x v="5"/>
    <x:s v="İzmir"/>
  </x:r>
  <x:r>
    <x:m/>
    <x:x v="10"/>
    <x:x v="7"/>
    <x:x v="0"/>
    <x:n v="1100"/>
    <x:n v="2200"/>
    <x:n v="600"/>
    <x:x v="5"/>
    <x:s v="Diyarbakır"/>
  </x:r>
  <x:r>
    <x:m/>
    <x:x v="9"/>
    <x:x v="23"/>
    <x:x v="0"/>
    <x:n v="3700"/>
    <x:n v="7400"/>
    <x:n v="1400"/>
    <x:x v="5"/>
    <x:s v="Gaziantep"/>
  </x:r>
  <x:r>
    <x:m/>
    <x:x v="1"/>
    <x:x v="23"/>
    <x:x v="2"/>
    <x:n v="3700"/>
    <x:n v="3700"/>
    <x:n v="700"/>
    <x:x v="5"/>
    <x:s v="Diyarbakır"/>
  </x:r>
  <x:r>
    <x:m/>
    <x:x v="6"/>
    <x:x v="7"/>
    <x:x v="1"/>
    <x:n v="1100"/>
    <x:n v="3300"/>
    <x:n v="900"/>
    <x:x v="5"/>
    <x:s v="Bursa"/>
  </x:r>
  <x:r>
    <x:m/>
    <x:x v="5"/>
    <x:x v="23"/>
    <x:x v="2"/>
    <x:n v="3700"/>
    <x:n v="3700"/>
    <x:n v="700"/>
    <x:x v="5"/>
    <x:s v="Hatay"/>
  </x:r>
  <x:r>
    <x:m/>
    <x:x v="10"/>
    <x:x v="14"/>
    <x:x v="2"/>
    <x:n v="1490"/>
    <x:n v="1490"/>
    <x:n v="690"/>
    <x:x v="5"/>
    <x:s v="Gaziantep"/>
  </x:r>
  <x:r>
    <x:m/>
    <x:x v="9"/>
    <x:x v="22"/>
    <x:x v="2"/>
    <x:n v="1500"/>
    <x:n v="1500"/>
    <x:n v="700"/>
    <x:x v="5"/>
    <x:s v="Şanlıurfa"/>
  </x:r>
  <x:r>
    <x:m/>
    <x:x v="8"/>
    <x:x v="11"/>
    <x:x v="0"/>
    <x:n v="1090"/>
    <x:n v="2180"/>
    <x:n v="580"/>
    <x:x v="5"/>
    <x:s v="İzmir"/>
  </x:r>
  <x:r>
    <x:m/>
    <x:x v="10"/>
    <x:x v="10"/>
    <x:x v="1"/>
    <x:n v="1800"/>
    <x:n v="5400"/>
    <x:n v="3000"/>
    <x:x v="5"/>
    <x:s v="Ankara"/>
  </x:r>
  <x:r>
    <x:m/>
    <x:x v="7"/>
    <x:x v="20"/>
    <x:x v="0"/>
    <x:n v="7530"/>
    <x:n v="15060"/>
    <x:n v="3060"/>
    <x:x v="5"/>
    <x:s v="Konya"/>
  </x:r>
  <x:r>
    <x:m/>
    <x:x v="6"/>
    <x:x v="7"/>
    <x:x v="1"/>
    <x:n v="1100"/>
    <x:n v="3300"/>
    <x:n v="900"/>
    <x:x v="5"/>
    <x:s v="Mersin"/>
  </x:r>
  <x:r>
    <x:m/>
    <x:x v="9"/>
    <x:x v="3"/>
    <x:x v="1"/>
    <x:n v="1350"/>
    <x:n v="4050"/>
    <x:n v="1650"/>
    <x:x v="5"/>
    <x:s v="Şanlıurfa"/>
  </x:r>
  <x:r>
    <x:m/>
    <x:x v="8"/>
    <x:x v="3"/>
    <x:x v="2"/>
    <x:n v="1350"/>
    <x:n v="1350"/>
    <x:n v="550"/>
    <x:x v="5"/>
    <x:s v="Adana"/>
  </x:r>
  <x:r>
    <x:m/>
    <x:x v="7"/>
    <x:x v="11"/>
    <x:x v="0"/>
    <x:n v="1090"/>
    <x:n v="2180"/>
    <x:n v="580"/>
    <x:x v="5"/>
    <x:s v="Konya"/>
  </x:r>
  <x:r>
    <x:m/>
    <x:x v="7"/>
    <x:x v="15"/>
    <x:x v="2"/>
    <x:n v="4200"/>
    <x:n v="4200"/>
    <x:n v="1200"/>
    <x:x v="5"/>
    <x:s v="Kocaeli"/>
  </x:r>
  <x:r>
    <x:m/>
    <x:x v="9"/>
    <x:x v="10"/>
    <x:x v="0"/>
    <x:n v="1800"/>
    <x:n v="3600"/>
    <x:n v="2000"/>
    <x:x v="5"/>
    <x:s v="Mersin"/>
  </x:r>
  <x:r>
    <x:m/>
    <x:x v="11"/>
    <x:x v="11"/>
    <x:x v="2"/>
    <x:n v="1090"/>
    <x:n v="1090"/>
    <x:n v="290"/>
    <x:x v="5"/>
    <x:s v="Antalya"/>
  </x:r>
  <x:r>
    <x:m/>
    <x:x v="0"/>
    <x:x v="5"/>
    <x:x v="2"/>
    <x:n v="7600"/>
    <x:n v="7600"/>
    <x:n v="1600"/>
    <x:x v="5"/>
    <x:s v="Hatay"/>
  </x:r>
  <x:r>
    <x:m/>
    <x:x v="8"/>
    <x:x v="5"/>
    <x:x v="1"/>
    <x:n v="7600"/>
    <x:n v="22800"/>
    <x:n v="4800"/>
    <x:x v="5"/>
    <x:s v="Gaziantep"/>
  </x:r>
  <x:r>
    <x:m/>
    <x:x v="2"/>
    <x:x v="23"/>
    <x:x v="2"/>
    <x:n v="3700"/>
    <x:n v="3700"/>
    <x:n v="700"/>
    <x:x v="5"/>
    <x:s v="Şanlıurfa"/>
  </x:r>
  <x:r>
    <x:m/>
    <x:x v="4"/>
    <x:x v="6"/>
    <x:x v="1"/>
    <x:n v="7250"/>
    <x:n v="21750"/>
    <x:n v="6750"/>
    <x:x v="5"/>
    <x:s v="Bursa"/>
  </x:r>
  <x:r>
    <x:m/>
    <x:x v="1"/>
    <x:x v="5"/>
    <x:x v="1"/>
    <x:n v="7600"/>
    <x:n v="22800"/>
    <x:n v="4800"/>
    <x:x v="5"/>
    <x:s v="Bursa"/>
  </x:r>
  <x:r>
    <x:m/>
    <x:x v="10"/>
    <x:x v="15"/>
    <x:x v="2"/>
    <x:n v="4200"/>
    <x:n v="4200"/>
    <x:n v="1200"/>
    <x:x v="5"/>
    <x:s v="Ankara"/>
  </x:r>
  <x:r>
    <x:m/>
    <x:x v="6"/>
    <x:x v="18"/>
    <x:x v="1"/>
    <x:n v="1250"/>
    <x:n v="3750"/>
    <x:n v="1350"/>
    <x:x v="5"/>
    <x:s v="Hatay"/>
  </x:r>
  <x:r>
    <x:m/>
    <x:x v="8"/>
    <x:x v="11"/>
    <x:x v="2"/>
    <x:n v="1090"/>
    <x:n v="1090"/>
    <x:n v="290"/>
    <x:x v="5"/>
    <x:s v="Diyarbakır"/>
  </x:r>
  <x:r>
    <x:m/>
    <x:x v="3"/>
    <x:x v="4"/>
    <x:x v="2"/>
    <x:n v="2180"/>
    <x:n v="2180"/>
    <x:n v="680"/>
    <x:x v="5"/>
    <x:s v="İstanbul"/>
  </x:r>
  <x:r>
    <x:m/>
    <x:x v="11"/>
    <x:x v="23"/>
    <x:x v="0"/>
    <x:n v="3700"/>
    <x:n v="7400"/>
    <x:n v="1400"/>
    <x:x v="5"/>
    <x:s v="Konya"/>
  </x:r>
  <x:r>
    <x:m/>
    <x:x v="9"/>
    <x:x v="0"/>
    <x:x v="0"/>
    <x:n v="6000"/>
    <x:n v="12000"/>
    <x:n v="4000"/>
    <x:x v="5"/>
    <x:s v="İstanbul"/>
  </x:r>
  <x:r>
    <x:m/>
    <x:x v="10"/>
    <x:x v="18"/>
    <x:x v="0"/>
    <x:n v="1250"/>
    <x:n v="2500"/>
    <x:n v="900"/>
    <x:x v="5"/>
    <x:s v="Hatay"/>
  </x:r>
  <x:r>
    <x:m/>
    <x:x v="11"/>
    <x:x v="5"/>
    <x:x v="2"/>
    <x:n v="7600"/>
    <x:n v="7600"/>
    <x:n v="1600"/>
    <x:x v="5"/>
    <x:s v="İstanbul"/>
  </x:r>
  <x:r>
    <x:m/>
    <x:x v="0"/>
    <x:x v="1"/>
    <x:x v="0"/>
    <x:n v="1400"/>
    <x:n v="2800"/>
    <x:n v="1200"/>
    <x:x v="5"/>
    <x:s v="Bursa"/>
  </x:r>
  <x:r>
    <x:m/>
    <x:x v="4"/>
    <x:x v="4"/>
    <x:x v="0"/>
    <x:n v="2180"/>
    <x:n v="4360"/>
    <x:n v="1360"/>
    <x:x v="5"/>
    <x:s v="Bursa"/>
  </x:r>
  <x:r>
    <x:m/>
    <x:x v="0"/>
    <x:x v="10"/>
    <x:x v="1"/>
    <x:n v="1800"/>
    <x:n v="5400"/>
    <x:n v="3000"/>
    <x:x v="5"/>
    <x:s v="Konya"/>
  </x:r>
  <x:r>
    <x:m/>
    <x:x v="2"/>
    <x:x v="22"/>
    <x:x v="2"/>
    <x:n v="1500"/>
    <x:n v="1500"/>
    <x:n v="700"/>
    <x:x v="5"/>
    <x:s v="Adana"/>
  </x:r>
  <x:r>
    <x:m/>
    <x:x v="6"/>
    <x:x v="2"/>
    <x:x v="1"/>
    <x:n v="8450"/>
    <x:n v="25350"/>
    <x:n v="7350"/>
    <x:x v="5"/>
    <x:s v="Diyarbakır"/>
  </x:r>
  <x:r>
    <x:m/>
    <x:x v="9"/>
    <x:x v="22"/>
    <x:x v="1"/>
    <x:n v="1500"/>
    <x:n v="4500"/>
    <x:n v="2100"/>
    <x:x v="5"/>
    <x:s v="Adana"/>
  </x:r>
  <x:r>
    <x:m/>
    <x:x v="5"/>
    <x:x v="0"/>
    <x:x v="1"/>
    <x:n v="6000"/>
    <x:n v="18000"/>
    <x:n v="6000"/>
    <x:x v="5"/>
    <x:s v="Antalya"/>
  </x:r>
  <x:r>
    <x:m/>
    <x:x v="11"/>
    <x:x v="19"/>
    <x:x v="2"/>
    <x:n v="1200"/>
    <x:n v="1200"/>
    <x:n v="400"/>
    <x:x v="5"/>
    <x:s v="Şanlıurfa"/>
  </x:r>
  <x:r>
    <x:m/>
    <x:x v="0"/>
    <x:x v="15"/>
    <x:x v="1"/>
    <x:n v="4200"/>
    <x:n v="12600"/>
    <x:n v="3600"/>
    <x:x v="5"/>
    <x:s v="Diyarbakır"/>
  </x:r>
  <x:r>
    <x:m/>
    <x:x v="10"/>
    <x:x v="5"/>
    <x:x v="1"/>
    <x:n v="7600"/>
    <x:n v="22800"/>
    <x:n v="4800"/>
    <x:x v="5"/>
    <x:s v="Bursa"/>
  </x:r>
  <x:r>
    <x:m/>
    <x:x v="5"/>
    <x:x v="6"/>
    <x:x v="0"/>
    <x:n v="7250"/>
    <x:n v="14500"/>
    <x:n v="4500"/>
    <x:x v="5"/>
    <x:s v="Hatay"/>
  </x:r>
  <x:r>
    <x:m/>
    <x:x v="1"/>
    <x:x v="20"/>
    <x:x v="0"/>
    <x:n v="7530"/>
    <x:n v="15060"/>
    <x:n v="3060"/>
    <x:x v="5"/>
    <x:s v="Ankara"/>
  </x:r>
  <x:r>
    <x:m/>
    <x:x v="2"/>
    <x:x v="6"/>
    <x:x v="0"/>
    <x:n v="7250"/>
    <x:n v="14500"/>
    <x:n v="4500"/>
    <x:x v="5"/>
    <x:s v="Hatay"/>
  </x:r>
  <x:r>
    <x:m/>
    <x:x v="1"/>
    <x:x v="0"/>
    <x:x v="2"/>
    <x:n v="6000"/>
    <x:n v="6000"/>
    <x:n v="2000"/>
    <x:x v="5"/>
    <x:s v="Diyarbakır"/>
  </x:r>
  <x:r>
    <x:m/>
    <x:x v="5"/>
    <x:x v="19"/>
    <x:x v="1"/>
    <x:n v="1200"/>
    <x:n v="3600"/>
    <x:n v="1200"/>
    <x:x v="5"/>
    <x:s v="Diyarbakır"/>
  </x:r>
  <x:r>
    <x:m/>
    <x:x v="11"/>
    <x:x v="21"/>
    <x:x v="0"/>
    <x:n v="5300"/>
    <x:n v="10600"/>
    <x:n v="2600"/>
    <x:x v="5"/>
    <x:s v="İstanbul"/>
  </x:r>
  <x:r>
    <x:m/>
    <x:x v="8"/>
    <x:x v="2"/>
    <x:x v="0"/>
    <x:n v="8450"/>
    <x:n v="16900"/>
    <x:n v="4900"/>
    <x:x v="5"/>
    <x:s v="Konya"/>
  </x:r>
  <x:r>
    <x:m/>
    <x:x v="4"/>
    <x:x v="3"/>
    <x:x v="2"/>
    <x:n v="1350"/>
    <x:n v="1350"/>
    <x:n v="550"/>
    <x:x v="5"/>
    <x:s v="Hatay"/>
  </x:r>
  <x:r>
    <x:m/>
    <x:x v="6"/>
    <x:x v="11"/>
    <x:x v="2"/>
    <x:n v="1090"/>
    <x:n v="1090"/>
    <x:n v="290"/>
    <x:x v="5"/>
    <x:s v="Kocaeli"/>
  </x:r>
  <x:r>
    <x:m/>
    <x:x v="4"/>
    <x:x v="4"/>
    <x:x v="2"/>
    <x:n v="2180"/>
    <x:n v="2180"/>
    <x:n v="680"/>
    <x:x v="5"/>
    <x:s v="Şanlıurfa"/>
  </x:r>
  <x:r>
    <x:m/>
    <x:x v="1"/>
    <x:x v="23"/>
    <x:x v="2"/>
    <x:n v="3700"/>
    <x:n v="3700"/>
    <x:n v="700"/>
    <x:x v="5"/>
    <x:s v="İstanbul"/>
  </x:r>
  <x:r>
    <x:m/>
    <x:x v="6"/>
    <x:x v="7"/>
    <x:x v="1"/>
    <x:n v="1100"/>
    <x:n v="3300"/>
    <x:n v="900"/>
    <x:x v="5"/>
    <x:s v="Diyarbakır"/>
  </x:r>
  <x:r>
    <x:m/>
    <x:x v="5"/>
    <x:x v="23"/>
    <x:x v="2"/>
    <x:n v="3700"/>
    <x:n v="3700"/>
    <x:n v="700"/>
    <x:x v="5"/>
    <x:s v="Gaziantep"/>
  </x:r>
  <x:r>
    <x:m/>
    <x:x v="10"/>
    <x:x v="14"/>
    <x:x v="2"/>
    <x:n v="1490"/>
    <x:n v="1490"/>
    <x:n v="690"/>
    <x:x v="5"/>
    <x:s v="Konya"/>
  </x:r>
  <x:r>
    <x:m/>
    <x:x v="9"/>
    <x:x v="22"/>
    <x:x v="2"/>
    <x:n v="1500"/>
    <x:n v="1500"/>
    <x:n v="700"/>
    <x:x v="5"/>
    <x:s v="Konya"/>
  </x:r>
  <x:r>
    <x:m/>
    <x:x v="8"/>
    <x:x v="11"/>
    <x:x v="0"/>
    <x:n v="1090"/>
    <x:n v="2180"/>
    <x:n v="580"/>
    <x:x v="5"/>
    <x:s v="İstanbul"/>
  </x:r>
  <x:r>
    <x:m/>
    <x:x v="10"/>
    <x:x v="10"/>
    <x:x v="1"/>
    <x:n v="1800"/>
    <x:n v="5400"/>
    <x:n v="3000"/>
    <x:x v="5"/>
    <x:s v="Bursa"/>
  </x:r>
  <x:r>
    <x:m/>
    <x:x v="7"/>
    <x:x v="20"/>
    <x:x v="0"/>
    <x:n v="7530"/>
    <x:n v="15060"/>
    <x:n v="3060"/>
    <x:x v="5"/>
    <x:s v="Adana"/>
  </x:r>
  <x:r>
    <x:m/>
    <x:x v="6"/>
    <x:x v="7"/>
    <x:x v="1"/>
    <x:n v="1100"/>
    <x:n v="3300"/>
    <x:n v="900"/>
    <x:x v="5"/>
    <x:s v="Adana"/>
  </x:r>
  <x:r>
    <x:m/>
    <x:x v="9"/>
    <x:x v="3"/>
    <x:x v="1"/>
    <x:n v="1350"/>
    <x:n v="4050"/>
    <x:n v="1650"/>
    <x:x v="5"/>
    <x:s v="Gaziantep"/>
  </x:r>
  <x:r>
    <x:m/>
    <x:x v="8"/>
    <x:x v="3"/>
    <x:x v="2"/>
    <x:n v="1350"/>
    <x:n v="1350"/>
    <x:n v="550"/>
    <x:x v="5"/>
    <x:s v="Şanlıurfa"/>
  </x:r>
  <x:r>
    <x:m/>
    <x:x v="7"/>
    <x:x v="11"/>
    <x:x v="0"/>
    <x:n v="1090"/>
    <x:n v="2180"/>
    <x:n v="580"/>
    <x:x v="5"/>
    <x:s v="Kocaeli"/>
  </x:r>
  <x:r>
    <x:m/>
    <x:x v="7"/>
    <x:x v="15"/>
    <x:x v="2"/>
    <x:n v="4200"/>
    <x:n v="4200"/>
    <x:n v="1200"/>
    <x:x v="5"/>
    <x:s v="Adana"/>
  </x:r>
  <x:r>
    <x:m/>
    <x:x v="9"/>
    <x:x v="10"/>
    <x:x v="0"/>
    <x:n v="1800"/>
    <x:n v="3600"/>
    <x:n v="2000"/>
    <x:x v="5"/>
    <x:s v="Kocaeli"/>
  </x:r>
  <x:r>
    <x:m/>
    <x:x v="11"/>
    <x:x v="11"/>
    <x:x v="2"/>
    <x:n v="1090"/>
    <x:n v="1090"/>
    <x:n v="290"/>
    <x:x v="5"/>
    <x:s v="İstanbul"/>
  </x:r>
  <x:r>
    <x:m/>
    <x:x v="0"/>
    <x:x v="5"/>
    <x:x v="2"/>
    <x:n v="7600"/>
    <x:n v="7600"/>
    <x:n v="1600"/>
    <x:x v="5"/>
    <x:s v="Kocaeli"/>
  </x:r>
  <x:r>
    <x:m/>
    <x:x v="8"/>
    <x:x v="5"/>
    <x:x v="1"/>
    <x:n v="7600"/>
    <x:n v="22800"/>
    <x:n v="4800"/>
    <x:x v="5"/>
    <x:s v="Konya"/>
  </x:r>
  <x:r>
    <x:m/>
    <x:x v="2"/>
    <x:x v="23"/>
    <x:x v="2"/>
    <x:n v="3700"/>
    <x:n v="3700"/>
    <x:n v="700"/>
    <x:x v="5"/>
    <x:s v="İstanbul"/>
  </x:r>
  <x:r>
    <x:m/>
    <x:x v="4"/>
    <x:x v="6"/>
    <x:x v="1"/>
    <x:n v="7250"/>
    <x:n v="21750"/>
    <x:n v="6750"/>
    <x:x v="5"/>
    <x:s v="Antalya"/>
  </x:r>
  <x:r>
    <x:m/>
    <x:x v="1"/>
    <x:x v="5"/>
    <x:x v="1"/>
    <x:n v="7600"/>
    <x:n v="22800"/>
    <x:n v="4800"/>
    <x:x v="5"/>
    <x:s v="Mersin"/>
  </x:r>
  <x:r>
    <x:m/>
    <x:x v="10"/>
    <x:x v="15"/>
    <x:x v="2"/>
    <x:n v="4200"/>
    <x:n v="4200"/>
    <x:n v="1200"/>
    <x:x v="5"/>
    <x:s v="Mersin"/>
  </x:r>
  <x:r>
    <x:m/>
    <x:x v="6"/>
    <x:x v="18"/>
    <x:x v="1"/>
    <x:n v="1250"/>
    <x:n v="3750"/>
    <x:n v="1350"/>
    <x:x v="5"/>
    <x:s v="İzmir"/>
  </x:r>
  <x:r>
    <x:m/>
    <x:x v="8"/>
    <x:x v="11"/>
    <x:x v="2"/>
    <x:n v="1090"/>
    <x:n v="1090"/>
    <x:n v="290"/>
    <x:x v="5"/>
    <x:s v="Bursa"/>
  </x:r>
  <x:r>
    <x:m/>
    <x:x v="3"/>
    <x:x v="4"/>
    <x:x v="2"/>
    <x:n v="2180"/>
    <x:n v="2180"/>
    <x:n v="680"/>
    <x:x v="5"/>
    <x:s v="Hatay"/>
  </x:r>
  <x:r>
    <x:m/>
    <x:x v="11"/>
    <x:x v="23"/>
    <x:x v="0"/>
    <x:n v="3700"/>
    <x:n v="7400"/>
    <x:n v="1400"/>
    <x:x v="5"/>
    <x:s v="İstanbul"/>
  </x:r>
  <x:r>
    <x:m/>
    <x:x v="9"/>
    <x:x v="0"/>
    <x:x v="0"/>
    <x:n v="6000"/>
    <x:n v="12000"/>
    <x:n v="4000"/>
    <x:x v="5"/>
    <x:s v="Konya"/>
  </x:r>
  <x:r>
    <x:m/>
    <x:x v="10"/>
    <x:x v="18"/>
    <x:x v="0"/>
    <x:n v="1250"/>
    <x:n v="2500"/>
    <x:n v="900"/>
    <x:x v="5"/>
    <x:s v="Antalya"/>
  </x:r>
  <x:r>
    <x:m/>
    <x:x v="11"/>
    <x:x v="5"/>
    <x:x v="2"/>
    <x:n v="7600"/>
    <x:n v="7600"/>
    <x:n v="1600"/>
    <x:x v="5"/>
    <x:s v="Hatay"/>
  </x:r>
  <x:r>
    <x:m/>
    <x:x v="0"/>
    <x:x v="1"/>
    <x:x v="0"/>
    <x:n v="1400"/>
    <x:n v="2800"/>
    <x:n v="1200"/>
    <x:x v="5"/>
    <x:s v="Konya"/>
  </x:r>
  <x:r>
    <x:m/>
    <x:x v="4"/>
    <x:x v="4"/>
    <x:x v="0"/>
    <x:n v="2180"/>
    <x:n v="4360"/>
    <x:n v="1360"/>
    <x:x v="5"/>
    <x:s v="İstanbul"/>
  </x:r>
  <x:r>
    <x:m/>
    <x:x v="0"/>
    <x:x v="10"/>
    <x:x v="1"/>
    <x:n v="1800"/>
    <x:n v="5400"/>
    <x:n v="3000"/>
    <x:x v="5"/>
    <x:s v="İzmir"/>
  </x:r>
  <x:r>
    <x:m/>
    <x:x v="2"/>
    <x:x v="22"/>
    <x:x v="2"/>
    <x:n v="1500"/>
    <x:n v="1500"/>
    <x:n v="700"/>
    <x:x v="5"/>
    <x:s v="Şanlıurfa"/>
  </x:r>
  <x:r>
    <x:m/>
    <x:x v="6"/>
    <x:x v="2"/>
    <x:x v="1"/>
    <x:n v="8450"/>
    <x:n v="25350"/>
    <x:n v="7350"/>
    <x:x v="5"/>
    <x:s v="Kocaeli"/>
  </x:r>
  <x:r>
    <x:m/>
    <x:x v="9"/>
    <x:x v="22"/>
    <x:x v="1"/>
    <x:n v="1500"/>
    <x:n v="4500"/>
    <x:n v="2100"/>
    <x:x v="5"/>
    <x:s v="Şanlıurfa"/>
  </x:r>
  <x:r>
    <x:m/>
    <x:x v="5"/>
    <x:x v="0"/>
    <x:x v="1"/>
    <x:n v="6000"/>
    <x:n v="18000"/>
    <x:n v="6000"/>
    <x:x v="5"/>
    <x:s v="İzmir"/>
  </x:r>
  <x:r>
    <x:m/>
    <x:x v="11"/>
    <x:x v="19"/>
    <x:x v="2"/>
    <x:n v="1200"/>
    <x:n v="1200"/>
    <x:n v="400"/>
    <x:x v="5"/>
    <x:s v="Adana"/>
  </x:r>
  <x:r>
    <x:m/>
    <x:x v="0"/>
    <x:x v="15"/>
    <x:x v="1"/>
    <x:n v="4200"/>
    <x:n v="12600"/>
    <x:n v="3600"/>
    <x:x v="5"/>
    <x:s v="Bursa"/>
  </x:r>
  <x:r>
    <x:m/>
    <x:x v="10"/>
    <x:x v="5"/>
    <x:x v="1"/>
    <x:n v="7600"/>
    <x:n v="22800"/>
    <x:n v="4800"/>
    <x:x v="5"/>
    <x:s v="Gaziantep"/>
  </x:r>
  <x:r>
    <x:m/>
    <x:x v="5"/>
    <x:x v="6"/>
    <x:x v="0"/>
    <x:n v="7250"/>
    <x:n v="14500"/>
    <x:n v="4500"/>
    <x:x v="5"/>
    <x:s v="Bursa"/>
  </x:r>
  <x:r>
    <x:m/>
    <x:x v="1"/>
    <x:x v="20"/>
    <x:x v="0"/>
    <x:n v="7530"/>
    <x:n v="15060"/>
    <x:n v="3060"/>
    <x:x v="5"/>
    <x:s v="Adana"/>
  </x:r>
  <x:r>
    <x:m/>
    <x:x v="2"/>
    <x:x v="6"/>
    <x:x v="0"/>
    <x:n v="7250"/>
    <x:n v="14500"/>
    <x:n v="4500"/>
    <x:x v="5"/>
    <x:s v="Antalya"/>
  </x:r>
  <x:r>
    <x:m/>
    <x:x v="1"/>
    <x:x v="0"/>
    <x:x v="2"/>
    <x:n v="6000"/>
    <x:n v="6000"/>
    <x:n v="2000"/>
    <x:x v="5"/>
    <x:s v="Şanlıurfa"/>
  </x:r>
  <x:r>
    <x:m/>
    <x:x v="5"/>
    <x:x v="19"/>
    <x:x v="1"/>
    <x:n v="1200"/>
    <x:n v="3600"/>
    <x:n v="1200"/>
    <x:x v="5"/>
    <x:s v="Hatay"/>
  </x:r>
  <x:r>
    <x:m/>
    <x:x v="11"/>
    <x:x v="21"/>
    <x:x v="0"/>
    <x:n v="5300"/>
    <x:n v="10600"/>
    <x:n v="2600"/>
    <x:x v="5"/>
    <x:s v="Diyarbakır"/>
  </x:r>
  <x:r>
    <x:m/>
    <x:x v="8"/>
    <x:x v="2"/>
    <x:x v="0"/>
    <x:n v="8450"/>
    <x:n v="16900"/>
    <x:n v="4900"/>
    <x:x v="5"/>
    <x:s v="Kocaeli"/>
  </x:r>
  <x:r>
    <x:m/>
    <x:x v="4"/>
    <x:x v="3"/>
    <x:x v="2"/>
    <x:n v="1350"/>
    <x:n v="1350"/>
    <x:n v="550"/>
    <x:x v="5"/>
    <x:s v="Konya"/>
  </x:r>
  <x:r>
    <x:m/>
    <x:x v="6"/>
    <x:x v="11"/>
    <x:x v="2"/>
    <x:n v="1090"/>
    <x:n v="1090"/>
    <x:n v="290"/>
    <x:x v="5"/>
    <x:s v="İzmir"/>
  </x:r>
  <x:r>
    <x:m/>
    <x:x v="4"/>
    <x:x v="4"/>
    <x:x v="2"/>
    <x:n v="2180"/>
    <x:n v="2180"/>
    <x:n v="680"/>
    <x:x v="5"/>
    <x:s v="Diyarbakır"/>
  </x:r>
  <x:r>
    <x:m/>
    <x:x v="0"/>
    <x:x v="0"/>
    <x:x v="0"/>
    <x:n v="6000"/>
    <x:n v="12000"/>
    <x:n v="4000"/>
    <x:x v="5"/>
    <x:s v="Mersin"/>
  </x:r>
  <x:r>
    <x:m/>
    <x:x v="1"/>
    <x:x v="1"/>
    <x:x v="0"/>
    <x:n v="1400"/>
    <x:n v="2800"/>
    <x:n v="1200"/>
    <x:x v="5"/>
    <x:s v="Bursa"/>
  </x:r>
  <x:r>
    <x:m/>
    <x:x v="2"/>
    <x:x v="2"/>
    <x:x v="0"/>
    <x:n v="8450"/>
    <x:n v="16900"/>
    <x:n v="4900"/>
    <x:x v="5"/>
    <x:s v="Diyarbakır"/>
  </x:r>
  <x:r>
    <x:m/>
    <x:x v="3"/>
    <x:x v="3"/>
    <x:x v="1"/>
    <x:n v="1350"/>
    <x:n v="4050"/>
    <x:n v="1650"/>
    <x:x v="5"/>
    <x:s v="Mersin"/>
  </x:r>
  <x:r>
    <x:m/>
    <x:x v="0"/>
    <x:x v="4"/>
    <x:x v="0"/>
    <x:n v="2180"/>
    <x:n v="4360"/>
    <x:n v="1360"/>
    <x:x v="5"/>
    <x:s v="Diyarbakır"/>
  </x:r>
  <x:r>
    <x:m/>
    <x:x v="4"/>
    <x:x v="5"/>
    <x:x v="0"/>
    <x:n v="7600"/>
    <x:n v="15200"/>
    <x:n v="3200"/>
    <x:x v="5"/>
    <x:s v="Kocaeli"/>
  </x:r>
  <x:r>
    <x:m/>
    <x:x v="1"/>
    <x:x v="6"/>
    <x:x v="0"/>
    <x:n v="7250"/>
    <x:n v="14500"/>
    <x:n v="4500"/>
    <x:x v="5"/>
    <x:s v="Hatay"/>
  </x:r>
  <x:r>
    <x:m/>
    <x:x v="3"/>
    <x:x v="7"/>
    <x:x v="1"/>
    <x:n v="1100"/>
    <x:n v="3300"/>
    <x:n v="900"/>
    <x:x v="5"/>
    <x:s v="Adana"/>
  </x:r>
  <x:r>
    <x:m/>
    <x:x v="5"/>
    <x:x v="0"/>
    <x:x v="0"/>
    <x:n v="6000"/>
    <x:n v="12000"/>
    <x:n v="4000"/>
    <x:x v="5"/>
    <x:s v="Mersin"/>
  </x:r>
  <x:r>
    <x:m/>
    <x:x v="0"/>
    <x:x v="9"/>
    <x:x v="2"/>
    <x:n v="1200"/>
    <x:n v="1200"/>
    <x:n v="400"/>
    <x:x v="5"/>
    <x:s v="Antalya"/>
  </x:r>
  <x:r>
    <x:m/>
    <x:x v="6"/>
    <x:x v="10"/>
    <x:x v="0"/>
    <x:n v="1800"/>
    <x:n v="3600"/>
    <x:n v="2000"/>
    <x:x v="5"/>
    <x:s v="Adana"/>
  </x:r>
  <x:r>
    <x:m/>
    <x:x v="6"/>
    <x:x v="11"/>
    <x:x v="0"/>
    <x:n v="1090"/>
    <x:n v="2180"/>
    <x:n v="580"/>
    <x:x v="5"/>
    <x:s v="Diyarbakır"/>
  </x:r>
  <x:r>
    <x:m/>
    <x:x v="5"/>
    <x:x v="4"/>
    <x:x v="1"/>
    <x:n v="2180"/>
    <x:n v="6540"/>
    <x:n v="2040"/>
    <x:x v="5"/>
    <x:s v="Konya"/>
  </x:r>
  <x:r>
    <x:m/>
    <x:x v="7"/>
    <x:x v="10"/>
    <x:x v="1"/>
    <x:n v="1800"/>
    <x:n v="5400"/>
    <x:n v="3000"/>
    <x:x v="5"/>
    <x:s v="Bursa"/>
  </x:r>
  <x:r>
    <x:m/>
    <x:x v="4"/>
    <x:x v="12"/>
    <x:x v="1"/>
    <x:n v="8000"/>
    <x:n v="24000"/>
    <x:n v="6000"/>
    <x:x v="5"/>
    <x:s v="Şanlıurfa"/>
  </x:r>
  <x:r>
    <x:m/>
    <x:x v="5"/>
    <x:x v="1"/>
    <x:x v="2"/>
    <x:n v="1400"/>
    <x:n v="1400"/>
    <x:n v="600"/>
    <x:x v="5"/>
    <x:s v="İzmir"/>
  </x:r>
  <x:r>
    <x:m/>
    <x:x v="8"/>
    <x:x v="13"/>
    <x:x v="2"/>
    <x:n v="10590"/>
    <x:n v="10590"/>
    <x:n v="4590"/>
    <x:x v="5"/>
    <x:s v="Adana"/>
  </x:r>
  <x:r>
    <x:m/>
    <x:x v="9"/>
    <x:x v="3"/>
    <x:x v="0"/>
    <x:n v="1350"/>
    <x:n v="2700"/>
    <x:n v="1100"/>
    <x:x v="5"/>
    <x:s v="İzmir"/>
  </x:r>
  <x:r>
    <x:m/>
    <x:x v="6"/>
    <x:x v="1"/>
    <x:x v="0"/>
    <x:n v="1400"/>
    <x:n v="2800"/>
    <x:n v="1200"/>
    <x:x v="5"/>
    <x:s v="Mersin"/>
  </x:r>
  <x:r>
    <x:m/>
    <x:x v="3"/>
    <x:x v="0"/>
    <x:x v="2"/>
    <x:n v="6000"/>
    <x:n v="6000"/>
    <x:n v="2000"/>
    <x:x v="5"/>
    <x:s v="Diyarbakır"/>
  </x:r>
  <x:r>
    <x:m/>
    <x:x v="8"/>
    <x:x v="7"/>
    <x:x v="0"/>
    <x:n v="1100"/>
    <x:n v="2200"/>
    <x:n v="600"/>
    <x:x v="5"/>
    <x:s v="Gaziantep"/>
  </x:r>
  <x:r>
    <x:m/>
    <x:x v="2"/>
    <x:x v="0"/>
    <x:x v="0"/>
    <x:n v="6000"/>
    <x:n v="12000"/>
    <x:n v="4000"/>
    <x:x v="5"/>
    <x:s v="Adana"/>
  </x:r>
  <x:r>
    <x:m/>
    <x:x v="9"/>
    <x:x v="14"/>
    <x:x v="2"/>
    <x:n v="1490"/>
    <x:n v="1490"/>
    <x:n v="690"/>
    <x:x v="5"/>
    <x:s v="Ankara"/>
  </x:r>
  <x:r>
    <x:m/>
    <x:x v="8"/>
    <x:x v="13"/>
    <x:x v="0"/>
    <x:n v="10590"/>
    <x:n v="21180"/>
    <x:n v="9180"/>
    <x:x v="5"/>
    <x:s v="Şanlıurfa"/>
  </x:r>
  <x:r>
    <x:m/>
    <x:x v="2"/>
    <x:x v="12"/>
    <x:x v="1"/>
    <x:n v="8000"/>
    <x:n v="24000"/>
    <x:n v="6000"/>
    <x:x v="5"/>
    <x:s v="Ankara"/>
  </x:r>
  <x:r>
    <x:m/>
    <x:x v="6"/>
    <x:x v="7"/>
    <x:x v="2"/>
    <x:n v="1100"/>
    <x:n v="1100"/>
    <x:n v="300"/>
    <x:x v="5"/>
    <x:s v="Ankara"/>
  </x:r>
  <x:r>
    <x:m/>
    <x:x v="9"/>
    <x:x v="9"/>
    <x:x v="2"/>
    <x:n v="1200"/>
    <x:n v="1200"/>
    <x:n v="400"/>
    <x:x v="5"/>
    <x:s v="İzmir"/>
  </x:r>
  <x:r>
    <x:m/>
    <x:x v="4"/>
    <x:x v="15"/>
    <x:x v="0"/>
    <x:n v="4200"/>
    <x:n v="8400"/>
    <x:n v="2400"/>
    <x:x v="5"/>
    <x:s v="Bursa"/>
  </x:r>
  <x:r>
    <x:m/>
    <x:x v="1"/>
    <x:x v="16"/>
    <x:x v="1"/>
    <x:n v="5775"/>
    <x:n v="17325"/>
    <x:n v="5325"/>
    <x:x v="5"/>
    <x:s v="İstanbul"/>
  </x:r>
  <x:r>
    <x:m/>
    <x:x v="10"/>
    <x:x v="5"/>
    <x:x v="1"/>
    <x:n v="7600"/>
    <x:n v="22800"/>
    <x:n v="4800"/>
    <x:x v="5"/>
    <x:s v="Kocaeli"/>
  </x:r>
  <x:r>
    <x:m/>
    <x:x v="1"/>
    <x:x v="6"/>
    <x:x v="1"/>
    <x:n v="7250"/>
    <x:n v="21750"/>
    <x:n v="6750"/>
    <x:x v="5"/>
    <x:s v="Konya"/>
  </x:r>
  <x:r>
    <x:m/>
    <x:x v="0"/>
    <x:x v="6"/>
    <x:x v="1"/>
    <x:n v="7250"/>
    <x:n v="21750"/>
    <x:n v="6750"/>
    <x:x v="5"/>
    <x:s v="Adana"/>
  </x:r>
  <x:r>
    <x:m/>
    <x:x v="8"/>
    <x:x v="6"/>
    <x:x v="1"/>
    <x:n v="7250"/>
    <x:n v="21750"/>
    <x:n v="6750"/>
    <x:x v="5"/>
    <x:s v="Bursa"/>
  </x:r>
  <x:r>
    <x:m/>
    <x:x v="5"/>
    <x:x v="3"/>
    <x:x v="2"/>
    <x:n v="1350"/>
    <x:n v="1350"/>
    <x:n v="550"/>
    <x:x v="5"/>
    <x:s v="Şanlıurfa"/>
  </x:r>
  <x:r>
    <x:m/>
    <x:x v="1"/>
    <x:x v="6"/>
    <x:x v="0"/>
    <x:n v="7250"/>
    <x:n v="14500"/>
    <x:n v="4500"/>
    <x:x v="5"/>
    <x:s v="İstanbul"/>
  </x:r>
  <x:r>
    <x:m/>
    <x:x v="6"/>
    <x:x v="5"/>
    <x:x v="2"/>
    <x:n v="7600"/>
    <x:n v="7600"/>
    <x:n v="1600"/>
    <x:x v="5"/>
    <x:s v="Adana"/>
  </x:r>
  <x:r>
    <x:m/>
    <x:x v="11"/>
    <x:x v="5"/>
    <x:x v="1"/>
    <x:n v="7600"/>
    <x:n v="22800"/>
    <x:n v="4800"/>
    <x:x v="5"/>
    <x:s v="Diyarbakır"/>
  </x:r>
  <x:r>
    <x:m/>
    <x:x v="1"/>
    <x:x v="14"/>
    <x:x v="1"/>
    <x:n v="1490"/>
    <x:n v="4470"/>
    <x:n v="2070"/>
    <x:x v="5"/>
    <x:s v="Kocaeli"/>
  </x:r>
  <x:r>
    <x:m/>
    <x:x v="5"/>
    <x:x v="17"/>
    <x:x v="0"/>
    <x:n v="2900"/>
    <x:n v="5800"/>
    <x:n v="1800"/>
    <x:x v="5"/>
    <x:s v="Hatay"/>
  </x:r>
  <x:r>
    <x:m/>
    <x:x v="9"/>
    <x:x v="14"/>
    <x:x v="2"/>
    <x:n v="1490"/>
    <x:n v="1490"/>
    <x:n v="690"/>
    <x:x v="5"/>
    <x:s v="Şanlıurfa"/>
  </x:r>
  <x:r>
    <x:m/>
    <x:x v="9"/>
    <x:x v="11"/>
    <x:x v="0"/>
    <x:n v="1090"/>
    <x:n v="2180"/>
    <x:n v="580"/>
    <x:x v="5"/>
    <x:s v="Hatay"/>
  </x:r>
  <x:r>
    <x:m/>
    <x:x v="5"/>
    <x:x v="9"/>
    <x:x v="0"/>
    <x:n v="1200"/>
    <x:n v="2400"/>
    <x:n v="800"/>
    <x:x v="5"/>
    <x:s v="Mersin"/>
  </x:r>
  <x:r>
    <x:m/>
    <x:x v="8"/>
    <x:x v="13"/>
    <x:x v="0"/>
    <x:n v="10590"/>
    <x:n v="21180"/>
    <x:n v="9180"/>
    <x:x v="5"/>
    <x:s v="İzmir"/>
  </x:r>
  <x:r>
    <x:m/>
    <x:x v="6"/>
    <x:x v="15"/>
    <x:x v="1"/>
    <x:n v="4200"/>
    <x:n v="12600"/>
    <x:n v="3600"/>
    <x:x v="5"/>
    <x:s v="Ankara"/>
  </x:r>
  <x:r>
    <x:m/>
    <x:x v="3"/>
    <x:x v="15"/>
    <x:x v="1"/>
    <x:n v="4200"/>
    <x:n v="12600"/>
    <x:n v="3600"/>
    <x:x v="5"/>
    <x:s v="Diyarbakır"/>
  </x:r>
  <x:r>
    <x:m/>
    <x:x v="7"/>
    <x:x v="13"/>
    <x:x v="0"/>
    <x:n v="10590"/>
    <x:n v="21180"/>
    <x:n v="9180"/>
    <x:x v="5"/>
    <x:s v="Ankara"/>
  </x:r>
  <x:r>
    <x:m/>
    <x:x v="11"/>
    <x:x v="18"/>
    <x:x v="2"/>
    <x:n v="1250"/>
    <x:n v="1250"/>
    <x:n v="450"/>
    <x:x v="5"/>
    <x:s v="Diyarbakır"/>
  </x:r>
  <x:r>
    <x:m/>
    <x:x v="0"/>
    <x:x v="14"/>
    <x:x v="1"/>
    <x:n v="1490"/>
    <x:n v="4470"/>
    <x:n v="2070"/>
    <x:x v="5"/>
    <x:s v="Antalya"/>
  </x:r>
  <x:r>
    <x:m/>
    <x:x v="6"/>
    <x:x v="9"/>
    <x:x v="0"/>
    <x:n v="1200"/>
    <x:n v="2400"/>
    <x:n v="800"/>
    <x:x v="5"/>
    <x:s v="Antalya"/>
  </x:r>
  <x:r>
    <x:m/>
    <x:x v="2"/>
    <x:x v="4"/>
    <x:x v="1"/>
    <x:n v="2180"/>
    <x:n v="6540"/>
    <x:n v="2040"/>
    <x:x v="5"/>
    <x:s v="İzmir"/>
  </x:r>
  <x:r>
    <x:m/>
    <x:x v="9"/>
    <x:x v="19"/>
    <x:x v="1"/>
    <x:n v="1200"/>
    <x:n v="3600"/>
    <x:n v="1200"/>
    <x:x v="5"/>
    <x:s v="Gaziantep"/>
  </x:r>
  <x:r>
    <x:m/>
    <x:x v="0"/>
    <x:x v="10"/>
    <x:x v="2"/>
    <x:n v="1800"/>
    <x:n v="1800"/>
    <x:n v="1000"/>
    <x:x v="5"/>
    <x:s v="Hatay"/>
  </x:r>
  <x:r>
    <x:m/>
    <x:x v="2"/>
    <x:x v="5"/>
    <x:x v="2"/>
    <x:n v="7600"/>
    <x:n v="7600"/>
    <x:n v="1600"/>
    <x:x v="6"/>
    <x:s v="Şanlıurfa"/>
  </x:r>
  <x:r>
    <x:m/>
    <x:x v="7"/>
    <x:x v="20"/>
    <x:x v="2"/>
    <x:n v="7530"/>
    <x:n v="7530"/>
    <x:n v="1530"/>
    <x:x v="6"/>
    <x:s v="Konya"/>
  </x:r>
  <x:r>
    <x:m/>
    <x:x v="11"/>
    <x:x v="14"/>
    <x:x v="0"/>
    <x:n v="1490"/>
    <x:n v="2980"/>
    <x:n v="1380"/>
    <x:x v="6"/>
    <x:s v="Gaziantep"/>
  </x:r>
  <x:r>
    <x:m/>
    <x:x v="0"/>
    <x:x v="21"/>
    <x:x v="2"/>
    <x:n v="5300"/>
    <x:n v="5300"/>
    <x:n v="1300"/>
    <x:x v="6"/>
    <x:s v="Mersin"/>
  </x:r>
  <x:r>
    <x:m/>
    <x:x v="4"/>
    <x:x v="17"/>
    <x:x v="0"/>
    <x:n v="1200"/>
    <x:n v="2400"/>
    <x:n v="800"/>
    <x:x v="6"/>
    <x:s v="Şanlıurfa"/>
  </x:r>
  <x:r>
    <x:m/>
    <x:x v="9"/>
    <x:x v="11"/>
    <x:x v="2"/>
    <x:n v="1090"/>
    <x:n v="1090"/>
    <x:n v="290"/>
    <x:x v="6"/>
    <x:s v="Bursa"/>
  </x:r>
  <x:r>
    <x:m/>
    <x:x v="4"/>
    <x:x v="6"/>
    <x:x v="2"/>
    <x:n v="7250"/>
    <x:n v="7250"/>
    <x:n v="2250"/>
    <x:x v="6"/>
    <x:s v="Konya"/>
  </x:r>
  <x:r>
    <x:m/>
    <x:x v="10"/>
    <x:x v="1"/>
    <x:x v="1"/>
    <x:n v="1400"/>
    <x:n v="4200"/>
    <x:n v="1800"/>
    <x:x v="6"/>
    <x:s v="Hatay"/>
  </x:r>
  <x:r>
    <x:m/>
    <x:x v="2"/>
    <x:x v="22"/>
    <x:x v="2"/>
    <x:n v="1500"/>
    <x:n v="1500"/>
    <x:n v="700"/>
    <x:x v="6"/>
    <x:s v="Diyarbakır"/>
  </x:r>
  <x:r>
    <x:m/>
    <x:x v="7"/>
    <x:x v="3"/>
    <x:x v="2"/>
    <x:n v="1350"/>
    <x:n v="1350"/>
    <x:n v="550"/>
    <x:x v="6"/>
    <x:s v="Bursa"/>
  </x:r>
  <x:r>
    <x:m/>
    <x:x v="7"/>
    <x:x v="9"/>
    <x:x v="1"/>
    <x:n v="1200"/>
    <x:n v="3600"/>
    <x:n v="1200"/>
    <x:x v="6"/>
    <x:s v="Şanlıurfa"/>
  </x:r>
  <x:r>
    <x:m/>
    <x:x v="1"/>
    <x:x v="20"/>
    <x:x v="1"/>
    <x:n v="7530"/>
    <x:n v="22590"/>
    <x:n v="4590"/>
    <x:x v="6"/>
    <x:s v="Hatay"/>
  </x:r>
  <x:r>
    <x:m/>
    <x:x v="10"/>
    <x:x v="9"/>
    <x:x v="2"/>
    <x:n v="1200"/>
    <x:n v="1200"/>
    <x:n v="400"/>
    <x:x v="6"/>
    <x:s v="İstanbul"/>
  </x:r>
  <x:r>
    <x:m/>
    <x:x v="8"/>
    <x:x v="10"/>
    <x:x v="1"/>
    <x:n v="1800"/>
    <x:n v="5400"/>
    <x:n v="3000"/>
    <x:x v="6"/>
    <x:s v="Mersin"/>
  </x:r>
  <x:r>
    <x:m/>
    <x:x v="0"/>
    <x:x v="6"/>
    <x:x v="2"/>
    <x:n v="7250"/>
    <x:n v="7250"/>
    <x:n v="2250"/>
    <x:x v="6"/>
    <x:s v="Şanlıurfa"/>
  </x:r>
  <x:r>
    <x:m/>
    <x:x v="9"/>
    <x:x v="14"/>
    <x:x v="1"/>
    <x:n v="1490"/>
    <x:n v="4470"/>
    <x:n v="2070"/>
    <x:x v="6"/>
    <x:s v="Şanlıurfa"/>
  </x:r>
  <x:r>
    <x:m/>
    <x:x v="9"/>
    <x:x v="19"/>
    <x:x v="2"/>
    <x:n v="1200"/>
    <x:n v="1200"/>
    <x:n v="400"/>
    <x:x v="6"/>
    <x:s v="İstanbul"/>
  </x:r>
  <x:r>
    <x:m/>
    <x:x v="1"/>
    <x:x v="12"/>
    <x:x v="2"/>
    <x:n v="8000"/>
    <x:n v="8000"/>
    <x:n v="2000"/>
    <x:x v="6"/>
    <x:s v="Mersin"/>
  </x:r>
  <x:r>
    <x:m/>
    <x:x v="6"/>
    <x:x v="1"/>
    <x:x v="2"/>
    <x:n v="1400"/>
    <x:n v="1400"/>
    <x:n v="600"/>
    <x:x v="6"/>
    <x:s v="Konya"/>
  </x:r>
  <x:r>
    <x:m/>
    <x:x v="5"/>
    <x:x v="3"/>
    <x:x v="2"/>
    <x:n v="1350"/>
    <x:n v="1350"/>
    <x:n v="550"/>
    <x:x v="6"/>
    <x:s v="Diyarbakır"/>
  </x:r>
  <x:r>
    <x:m/>
    <x:x v="8"/>
    <x:x v="19"/>
    <x:x v="2"/>
    <x:n v="1200"/>
    <x:n v="1200"/>
    <x:n v="400"/>
    <x:x v="6"/>
    <x:s v="Hatay"/>
  </x:r>
  <x:r>
    <x:m/>
    <x:x v="6"/>
    <x:x v="21"/>
    <x:x v="2"/>
    <x:n v="5300"/>
    <x:n v="5300"/>
    <x:n v="1300"/>
    <x:x v="6"/>
    <x:s v="Gaziantep"/>
  </x:r>
  <x:r>
    <x:m/>
    <x:x v="9"/>
    <x:x v="13"/>
    <x:x v="1"/>
    <x:n v="10590"/>
    <x:n v="31770"/>
    <x:n v="13770"/>
    <x:x v="6"/>
    <x:s v="Antalya"/>
  </x:r>
  <x:r>
    <x:m/>
    <x:x v="4"/>
    <x:x v="18"/>
    <x:x v="2"/>
    <x:n v="1250"/>
    <x:n v="1250"/>
    <x:n v="450"/>
    <x:x v="6"/>
    <x:s v="Diyarbakır"/>
  </x:r>
  <x:r>
    <x:m/>
    <x:x v="11"/>
    <x:x v="19"/>
    <x:x v="2"/>
    <x:n v="1200"/>
    <x:n v="1200"/>
    <x:n v="400"/>
    <x:x v="6"/>
    <x:s v="Diyarbakır"/>
  </x:r>
  <x:r>
    <x:m/>
    <x:x v="4"/>
    <x:x v="1"/>
    <x:x v="1"/>
    <x:n v="1400"/>
    <x:n v="4200"/>
    <x:n v="1800"/>
    <x:x v="6"/>
    <x:s v="Bursa"/>
  </x:r>
  <x:r>
    <x:m/>
    <x:x v="11"/>
    <x:x v="20"/>
    <x:x v="0"/>
    <x:n v="7530"/>
    <x:n v="15060"/>
    <x:n v="3060"/>
    <x:x v="6"/>
    <x:s v="Mersin"/>
  </x:r>
  <x:r>
    <x:m/>
    <x:x v="6"/>
    <x:x v="5"/>
    <x:x v="2"/>
    <x:n v="7600"/>
    <x:n v="7600"/>
    <x:n v="1600"/>
    <x:x v="6"/>
    <x:s v="Hatay"/>
  </x:r>
  <x:r>
    <x:m/>
    <x:x v="11"/>
    <x:x v="22"/>
    <x:x v="2"/>
    <x:n v="1500"/>
    <x:n v="1500"/>
    <x:n v="700"/>
    <x:x v="6"/>
    <x:s v="Adana"/>
  </x:r>
  <x:r>
    <x:m/>
    <x:x v="9"/>
    <x:x v="4"/>
    <x:x v="0"/>
    <x:n v="2180"/>
    <x:n v="4360"/>
    <x:n v="1360"/>
    <x:x v="6"/>
    <x:s v="Ankara"/>
  </x:r>
  <x:r>
    <x:m/>
    <x:x v="3"/>
    <x:x v="4"/>
    <x:x v="2"/>
    <x:n v="2180"/>
    <x:n v="2180"/>
    <x:n v="680"/>
    <x:x v="6"/>
    <x:s v="Hatay"/>
  </x:r>
  <x:r>
    <x:m/>
    <x:x v="9"/>
    <x:x v="16"/>
    <x:x v="2"/>
    <x:n v="5775"/>
    <x:n v="5775"/>
    <x:n v="1775"/>
    <x:x v="6"/>
    <x:s v="İzmir"/>
  </x:r>
  <x:r>
    <x:m/>
    <x:x v="9"/>
    <x:x v="7"/>
    <x:x v="1"/>
    <x:n v="1100"/>
    <x:n v="3300"/>
    <x:n v="900"/>
    <x:x v="6"/>
    <x:s v="Mersin"/>
  </x:r>
  <x:r>
    <x:m/>
    <x:x v="10"/>
    <x:x v="16"/>
    <x:x v="2"/>
    <x:n v="5775"/>
    <x:n v="5775"/>
    <x:n v="1775"/>
    <x:x v="6"/>
    <x:s v="Bursa"/>
  </x:r>
  <x:r>
    <x:m/>
    <x:x v="7"/>
    <x:x v="3"/>
    <x:x v="2"/>
    <x:n v="1350"/>
    <x:n v="1350"/>
    <x:n v="550"/>
    <x:x v="6"/>
    <x:s v="Şanlıurfa"/>
  </x:r>
  <x:r>
    <x:m/>
    <x:x v="0"/>
    <x:x v="5"/>
    <x:x v="1"/>
    <x:n v="7600"/>
    <x:n v="22800"/>
    <x:n v="4800"/>
    <x:x v="6"/>
    <x:s v="Ankara"/>
  </x:r>
  <x:r>
    <x:m/>
    <x:x v="2"/>
    <x:x v="6"/>
    <x:x v="1"/>
    <x:n v="7250"/>
    <x:n v="21750"/>
    <x:n v="6750"/>
    <x:x v="6"/>
    <x:s v="Şanlıurfa"/>
  </x:r>
  <x:r>
    <x:m/>
    <x:x v="11"/>
    <x:x v="14"/>
    <x:x v="0"/>
    <x:n v="1490"/>
    <x:n v="2980"/>
    <x:n v="1380"/>
    <x:x v="6"/>
    <x:s v="Gaziantep"/>
  </x:r>
  <x:r>
    <x:m/>
    <x:x v="3"/>
    <x:x v="14"/>
    <x:x v="0"/>
    <x:n v="1490"/>
    <x:n v="2980"/>
    <x:n v="1380"/>
    <x:x v="6"/>
    <x:s v="Antalya"/>
  </x:r>
  <x:r>
    <x:m/>
    <x:x v="8"/>
    <x:x v="11"/>
    <x:x v="0"/>
    <x:n v="1090"/>
    <x:n v="2180"/>
    <x:n v="580"/>
    <x:x v="6"/>
    <x:s v="Şanlıurfa"/>
  </x:r>
  <x:r>
    <x:m/>
    <x:x v="8"/>
    <x:x v="9"/>
    <x:x v="1"/>
    <x:n v="1200"/>
    <x:n v="3600"/>
    <x:n v="1200"/>
    <x:x v="6"/>
    <x:s v="Hatay"/>
  </x:r>
  <x:r>
    <x:m/>
    <x:x v="11"/>
    <x:x v="11"/>
    <x:x v="0"/>
    <x:n v="1090"/>
    <x:n v="2180"/>
    <x:n v="580"/>
    <x:x v="6"/>
    <x:s v="Kocaeli"/>
  </x:r>
  <x:r>
    <x:m/>
    <x:x v="11"/>
    <x:x v="4"/>
    <x:x v="1"/>
    <x:n v="2180"/>
    <x:n v="6540"/>
    <x:n v="2040"/>
    <x:x v="6"/>
    <x:s v="Ankara"/>
  </x:r>
  <x:r>
    <x:m/>
    <x:x v="2"/>
    <x:x v="21"/>
    <x:x v="1"/>
    <x:n v="5300"/>
    <x:n v="15900"/>
    <x:n v="3900"/>
    <x:x v="6"/>
    <x:s v="İstanbul"/>
  </x:r>
  <x:r>
    <x:m/>
    <x:x v="11"/>
    <x:x v="21"/>
    <x:x v="0"/>
    <x:n v="5300"/>
    <x:n v="10600"/>
    <x:n v="2600"/>
    <x:x v="6"/>
    <x:s v="Ankara"/>
  </x:r>
  <x:r>
    <x:m/>
    <x:x v="5"/>
    <x:x v="6"/>
    <x:x v="0"/>
    <x:n v="7250"/>
    <x:n v="14500"/>
    <x:n v="4500"/>
    <x:x v="6"/>
    <x:s v="Antalya"/>
  </x:r>
  <x:r>
    <x:m/>
    <x:x v="5"/>
    <x:x v="19"/>
    <x:x v="1"/>
    <x:n v="1200"/>
    <x:n v="3600"/>
    <x:n v="1200"/>
    <x:x v="6"/>
    <x:s v="İzmir"/>
  </x:r>
  <x:r>
    <x:m/>
    <x:x v="3"/>
    <x:x v="0"/>
    <x:x v="2"/>
    <x:n v="6000"/>
    <x:n v="6000"/>
    <x:n v="2000"/>
    <x:x v="6"/>
    <x:s v="Antalya"/>
  </x:r>
  <x:r>
    <x:m/>
    <x:x v="2"/>
    <x:x v="2"/>
    <x:x v="1"/>
    <x:n v="8450"/>
    <x:n v="25350"/>
    <x:n v="7350"/>
    <x:x v="6"/>
    <x:s v="Kocaeli"/>
  </x:r>
  <x:r>
    <x:m/>
    <x:x v="6"/>
    <x:x v="15"/>
    <x:x v="2"/>
    <x:n v="4200"/>
    <x:n v="4200"/>
    <x:n v="1200"/>
    <x:x v="6"/>
    <x:s v="Mersin"/>
  </x:r>
  <x:r>
    <x:m/>
    <x:x v="6"/>
    <x:x v="13"/>
    <x:x v="1"/>
    <x:n v="10590"/>
    <x:n v="31770"/>
    <x:n v="13770"/>
    <x:x v="6"/>
    <x:s v="Gaziantep"/>
  </x:r>
  <x:r>
    <x:m/>
    <x:x v="5"/>
    <x:x v="19"/>
    <x:x v="2"/>
    <x:n v="1200"/>
    <x:n v="1200"/>
    <x:n v="400"/>
    <x:x v="6"/>
    <x:s v="Hatay"/>
  </x:r>
  <x:r>
    <x:m/>
    <x:x v="10"/>
    <x:x v="7"/>
    <x:x v="0"/>
    <x:n v="1100"/>
    <x:n v="2200"/>
    <x:n v="600"/>
    <x:x v="6"/>
    <x:s v="Ankara"/>
  </x:r>
  <x:r>
    <x:m/>
    <x:x v="9"/>
    <x:x v="23"/>
    <x:x v="0"/>
    <x:n v="3700"/>
    <x:n v="7400"/>
    <x:n v="1400"/>
    <x:x v="6"/>
    <x:s v="Mersin"/>
  </x:r>
  <x:r>
    <x:m/>
    <x:x v="1"/>
    <x:x v="23"/>
    <x:x v="2"/>
    <x:n v="3700"/>
    <x:n v="3700"/>
    <x:n v="700"/>
    <x:x v="6"/>
    <x:s v="Ankara"/>
  </x:r>
  <x:r>
    <x:m/>
    <x:x v="6"/>
    <x:x v="7"/>
    <x:x v="1"/>
    <x:n v="1100"/>
    <x:n v="3300"/>
    <x:n v="900"/>
    <x:x v="6"/>
    <x:s v="Antalya"/>
  </x:r>
  <x:r>
    <x:m/>
    <x:x v="5"/>
    <x:x v="23"/>
    <x:x v="2"/>
    <x:n v="3700"/>
    <x:n v="3700"/>
    <x:n v="700"/>
    <x:x v="6"/>
    <x:s v="Ankara"/>
  </x:r>
  <x:r>
    <x:m/>
    <x:x v="10"/>
    <x:x v="14"/>
    <x:x v="2"/>
    <x:n v="1490"/>
    <x:n v="1490"/>
    <x:n v="690"/>
    <x:x v="6"/>
    <x:s v="Kocaeli"/>
  </x:r>
  <x:r>
    <x:m/>
    <x:x v="9"/>
    <x:x v="22"/>
    <x:x v="2"/>
    <x:n v="1500"/>
    <x:n v="1500"/>
    <x:n v="700"/>
    <x:x v="6"/>
    <x:s v="Hatay"/>
  </x:r>
  <x:r>
    <x:m/>
    <x:x v="8"/>
    <x:x v="11"/>
    <x:x v="0"/>
    <x:n v="1090"/>
    <x:n v="2180"/>
    <x:n v="580"/>
    <x:x v="6"/>
    <x:s v="Bursa"/>
  </x:r>
  <x:r>
    <x:m/>
    <x:x v="10"/>
    <x:x v="10"/>
    <x:x v="1"/>
    <x:n v="1800"/>
    <x:n v="5400"/>
    <x:n v="3000"/>
    <x:x v="6"/>
    <x:s v="Gaziantep"/>
  </x:r>
  <x:r>
    <x:m/>
    <x:x v="7"/>
    <x:x v="20"/>
    <x:x v="0"/>
    <x:n v="7530"/>
    <x:n v="15060"/>
    <x:n v="3060"/>
    <x:x v="6"/>
    <x:s v="İzmir"/>
  </x:r>
  <x:r>
    <x:m/>
    <x:x v="6"/>
    <x:x v="7"/>
    <x:x v="1"/>
    <x:n v="1100"/>
    <x:n v="3300"/>
    <x:n v="900"/>
    <x:x v="6"/>
    <x:s v="Bursa"/>
  </x:r>
  <x:r>
    <x:m/>
    <x:x v="9"/>
    <x:x v="3"/>
    <x:x v="1"/>
    <x:n v="1350"/>
    <x:n v="4050"/>
    <x:n v="1650"/>
    <x:x v="6"/>
    <x:s v="Kocaeli"/>
  </x:r>
  <x:r>
    <x:m/>
    <x:x v="8"/>
    <x:x v="3"/>
    <x:x v="2"/>
    <x:n v="1350"/>
    <x:n v="1350"/>
    <x:n v="550"/>
    <x:x v="6"/>
    <x:s v="Şanlıurfa"/>
  </x:r>
  <x:r>
    <x:m/>
    <x:x v="7"/>
    <x:x v="11"/>
    <x:x v="0"/>
    <x:n v="1090"/>
    <x:n v="2180"/>
    <x:n v="580"/>
    <x:x v="6"/>
    <x:s v="Gaziantep"/>
  </x:r>
  <x:r>
    <x:m/>
    <x:x v="7"/>
    <x:x v="15"/>
    <x:x v="2"/>
    <x:n v="4200"/>
    <x:n v="4200"/>
    <x:n v="1200"/>
    <x:x v="6"/>
    <x:s v="Hatay"/>
  </x:r>
  <x:r>
    <x:m/>
    <x:x v="9"/>
    <x:x v="10"/>
    <x:x v="0"/>
    <x:n v="1800"/>
    <x:n v="3600"/>
    <x:n v="2000"/>
    <x:x v="6"/>
    <x:s v="Mersin"/>
  </x:r>
  <x:r>
    <x:m/>
    <x:x v="11"/>
    <x:x v="11"/>
    <x:x v="2"/>
    <x:n v="1090"/>
    <x:n v="1090"/>
    <x:n v="290"/>
    <x:x v="6"/>
    <x:s v="Diyarbakır"/>
  </x:r>
  <x:r>
    <x:m/>
    <x:x v="0"/>
    <x:x v="5"/>
    <x:x v="2"/>
    <x:n v="7600"/>
    <x:n v="7600"/>
    <x:n v="1600"/>
    <x:x v="6"/>
    <x:s v="Konya"/>
  </x:r>
  <x:r>
    <x:m/>
    <x:x v="8"/>
    <x:x v="5"/>
    <x:x v="1"/>
    <x:n v="7600"/>
    <x:n v="22800"/>
    <x:n v="4800"/>
    <x:x v="6"/>
    <x:s v="Kocaeli"/>
  </x:r>
  <x:r>
    <x:m/>
    <x:x v="2"/>
    <x:x v="23"/>
    <x:x v="2"/>
    <x:n v="3700"/>
    <x:n v="3700"/>
    <x:n v="700"/>
    <x:x v="6"/>
    <x:s v="Bursa"/>
  </x:r>
  <x:r>
    <x:m/>
    <x:x v="4"/>
    <x:x v="6"/>
    <x:x v="1"/>
    <x:n v="7250"/>
    <x:n v="21750"/>
    <x:n v="6750"/>
    <x:x v="6"/>
    <x:s v="Diyarbakır"/>
  </x:r>
  <x:r>
    <x:m/>
    <x:x v="1"/>
    <x:x v="5"/>
    <x:x v="1"/>
    <x:n v="7600"/>
    <x:n v="22800"/>
    <x:n v="4800"/>
    <x:x v="6"/>
    <x:s v="Antalya"/>
  </x:r>
  <x:r>
    <x:m/>
    <x:x v="10"/>
    <x:x v="15"/>
    <x:x v="2"/>
    <x:n v="4200"/>
    <x:n v="4200"/>
    <x:n v="1200"/>
    <x:x v="6"/>
    <x:s v="Diyarbakır"/>
  </x:r>
  <x:r>
    <x:m/>
    <x:x v="6"/>
    <x:x v="18"/>
    <x:x v="1"/>
    <x:n v="1250"/>
    <x:n v="3750"/>
    <x:n v="1350"/>
    <x:x v="6"/>
    <x:s v="Ankara"/>
  </x:r>
  <x:r>
    <x:m/>
    <x:x v="8"/>
    <x:x v="11"/>
    <x:x v="2"/>
    <x:n v="1090"/>
    <x:n v="1090"/>
    <x:n v="290"/>
    <x:x v="6"/>
    <x:s v="Hatay"/>
  </x:r>
  <x:r>
    <x:m/>
    <x:x v="3"/>
    <x:x v="4"/>
    <x:x v="2"/>
    <x:n v="2180"/>
    <x:n v="2180"/>
    <x:n v="680"/>
    <x:x v="6"/>
    <x:s v="İzmir"/>
  </x:r>
  <x:r>
    <x:m/>
    <x:x v="11"/>
    <x:x v="23"/>
    <x:x v="0"/>
    <x:n v="3700"/>
    <x:n v="7400"/>
    <x:n v="1400"/>
    <x:x v="6"/>
    <x:s v="İzmir"/>
  </x:r>
  <x:r>
    <x:m/>
    <x:x v="9"/>
    <x:x v="0"/>
    <x:x v="0"/>
    <x:n v="6000"/>
    <x:n v="12000"/>
    <x:n v="4000"/>
    <x:x v="6"/>
    <x:s v="Bursa"/>
  </x:r>
  <x:r>
    <x:m/>
    <x:x v="10"/>
    <x:x v="18"/>
    <x:x v="0"/>
    <x:n v="1250"/>
    <x:n v="2500"/>
    <x:n v="900"/>
    <x:x v="6"/>
    <x:s v="Ankara"/>
  </x:r>
  <x:r>
    <x:m/>
    <x:x v="11"/>
    <x:x v="5"/>
    <x:x v="2"/>
    <x:n v="7600"/>
    <x:n v="7600"/>
    <x:n v="1600"/>
    <x:x v="6"/>
    <x:s v="Diyarbakır"/>
  </x:r>
  <x:r>
    <x:m/>
    <x:x v="0"/>
    <x:x v="1"/>
    <x:x v="0"/>
    <x:n v="1400"/>
    <x:n v="2800"/>
    <x:n v="1200"/>
    <x:x v="6"/>
    <x:s v="İzmir"/>
  </x:r>
  <x:r>
    <x:m/>
    <x:x v="4"/>
    <x:x v="4"/>
    <x:x v="0"/>
    <x:n v="2180"/>
    <x:n v="4360"/>
    <x:n v="1360"/>
    <x:x v="6"/>
    <x:s v="Mersin"/>
  </x:r>
  <x:r>
    <x:m/>
    <x:x v="0"/>
    <x:x v="10"/>
    <x:x v="1"/>
    <x:n v="1800"/>
    <x:n v="5400"/>
    <x:n v="3000"/>
    <x:x v="6"/>
    <x:s v="Ankara"/>
  </x:r>
  <x:r>
    <x:m/>
    <x:x v="2"/>
    <x:x v="22"/>
    <x:x v="2"/>
    <x:n v="1500"/>
    <x:n v="1500"/>
    <x:n v="700"/>
    <x:x v="6"/>
    <x:s v="Diyarbakır"/>
  </x:r>
  <x:r>
    <x:m/>
    <x:x v="6"/>
    <x:x v="2"/>
    <x:x v="1"/>
    <x:n v="8450"/>
    <x:n v="25350"/>
    <x:n v="7350"/>
    <x:x v="6"/>
    <x:s v="Antalya"/>
  </x:r>
  <x:r>
    <x:m/>
    <x:x v="9"/>
    <x:x v="22"/>
    <x:x v="1"/>
    <x:n v="1500"/>
    <x:n v="4500"/>
    <x:n v="2100"/>
    <x:x v="6"/>
    <x:s v="Şanlıurfa"/>
  </x:r>
  <x:r>
    <x:m/>
    <x:x v="5"/>
    <x:x v="0"/>
    <x:x v="1"/>
    <x:n v="6000"/>
    <x:n v="18000"/>
    <x:n v="6000"/>
    <x:x v="6"/>
    <x:s v="Konya"/>
  </x:r>
  <x:r>
    <x:m/>
    <x:x v="11"/>
    <x:x v="19"/>
    <x:x v="2"/>
    <x:n v="1200"/>
    <x:n v="1200"/>
    <x:n v="400"/>
    <x:x v="6"/>
    <x:s v="Bursa"/>
  </x:r>
  <x:r>
    <x:m/>
    <x:x v="0"/>
    <x:x v="15"/>
    <x:x v="1"/>
    <x:n v="4200"/>
    <x:n v="12600"/>
    <x:n v="3600"/>
    <x:x v="6"/>
    <x:s v="İstanbul"/>
  </x:r>
  <x:r>
    <x:m/>
    <x:x v="10"/>
    <x:x v="5"/>
    <x:x v="1"/>
    <x:n v="7600"/>
    <x:n v="22800"/>
    <x:n v="4800"/>
    <x:x v="6"/>
    <x:s v="İzmir"/>
  </x:r>
  <x:r>
    <x:m/>
    <x:x v="5"/>
    <x:x v="6"/>
    <x:x v="0"/>
    <x:n v="7250"/>
    <x:n v="14500"/>
    <x:n v="4500"/>
    <x:x v="6"/>
    <x:s v="Diyarbakır"/>
  </x:r>
  <x:r>
    <x:m/>
    <x:x v="1"/>
    <x:x v="20"/>
    <x:x v="0"/>
    <x:n v="7530"/>
    <x:n v="15060"/>
    <x:n v="3060"/>
    <x:x v="6"/>
    <x:s v="Gaziantep"/>
  </x:r>
  <x:r>
    <x:m/>
    <x:x v="2"/>
    <x:x v="6"/>
    <x:x v="0"/>
    <x:n v="7250"/>
    <x:n v="14500"/>
    <x:n v="4500"/>
    <x:x v="6"/>
    <x:s v="Konya"/>
  </x:r>
  <x:r>
    <x:m/>
    <x:x v="1"/>
    <x:x v="0"/>
    <x:x v="2"/>
    <x:n v="6000"/>
    <x:n v="6000"/>
    <x:n v="2000"/>
    <x:x v="6"/>
    <x:s v="Adana"/>
  </x:r>
  <x:r>
    <x:m/>
    <x:x v="5"/>
    <x:x v="19"/>
    <x:x v="1"/>
    <x:n v="1200"/>
    <x:n v="3600"/>
    <x:n v="1200"/>
    <x:x v="7"/>
    <x:s v="Antalya"/>
  </x:r>
  <x:r>
    <x:m/>
    <x:x v="11"/>
    <x:x v="21"/>
    <x:x v="0"/>
    <x:n v="5300"/>
    <x:n v="10600"/>
    <x:n v="2600"/>
    <x:x v="7"/>
    <x:s v="Mersin"/>
  </x:r>
  <x:r>
    <x:m/>
    <x:x v="8"/>
    <x:x v="2"/>
    <x:x v="0"/>
    <x:n v="8450"/>
    <x:n v="16900"/>
    <x:n v="4900"/>
    <x:x v="7"/>
    <x:s v="Antalya"/>
  </x:r>
  <x:r>
    <x:m/>
    <x:x v="4"/>
    <x:x v="3"/>
    <x:x v="2"/>
    <x:n v="1350"/>
    <x:n v="1350"/>
    <x:n v="550"/>
    <x:x v="7"/>
    <x:s v="Antalya"/>
  </x:r>
  <x:r>
    <x:m/>
    <x:x v="6"/>
    <x:x v="11"/>
    <x:x v="2"/>
    <x:n v="1090"/>
    <x:n v="1090"/>
    <x:n v="290"/>
    <x:x v="7"/>
    <x:s v="Kocaeli"/>
  </x:r>
  <x:r>
    <x:m/>
    <x:x v="4"/>
    <x:x v="4"/>
    <x:x v="2"/>
    <x:n v="2180"/>
    <x:n v="2180"/>
    <x:n v="680"/>
    <x:x v="7"/>
    <x:s v="Adana"/>
  </x:r>
  <x:r>
    <x:m/>
    <x:x v="0"/>
    <x:x v="0"/>
    <x:x v="0"/>
    <x:n v="6000"/>
    <x:n v="12000"/>
    <x:n v="4000"/>
    <x:x v="7"/>
    <x:s v="Diyarbakır"/>
  </x:r>
  <x:r>
    <x:m/>
    <x:x v="1"/>
    <x:x v="1"/>
    <x:x v="0"/>
    <x:n v="1400"/>
    <x:n v="2800"/>
    <x:n v="1200"/>
    <x:x v="7"/>
    <x:s v="Ankara"/>
  </x:r>
  <x:r>
    <x:m/>
    <x:x v="2"/>
    <x:x v="2"/>
    <x:x v="0"/>
    <x:n v="8450"/>
    <x:n v="16900"/>
    <x:n v="4900"/>
    <x:x v="7"/>
    <x:s v="Adana"/>
  </x:r>
  <x:r>
    <x:m/>
    <x:x v="3"/>
    <x:x v="3"/>
    <x:x v="1"/>
    <x:n v="1350"/>
    <x:n v="4050"/>
    <x:n v="1650"/>
    <x:x v="7"/>
    <x:s v="Diyarbakır"/>
  </x:r>
  <x:r>
    <x:m/>
    <x:x v="0"/>
    <x:x v="4"/>
    <x:x v="0"/>
    <x:n v="2180"/>
    <x:n v="4360"/>
    <x:n v="1360"/>
    <x:x v="7"/>
    <x:s v="Kocaeli"/>
  </x:r>
  <x:r>
    <x:m/>
    <x:x v="4"/>
    <x:x v="5"/>
    <x:x v="0"/>
    <x:n v="7600"/>
    <x:n v="15200"/>
    <x:n v="3200"/>
    <x:x v="7"/>
    <x:s v="Adana"/>
  </x:r>
  <x:r>
    <x:m/>
    <x:x v="1"/>
    <x:x v="6"/>
    <x:x v="0"/>
    <x:n v="7250"/>
    <x:n v="14500"/>
    <x:n v="4500"/>
    <x:x v="7"/>
    <x:s v="Adana"/>
  </x:r>
  <x:r>
    <x:m/>
    <x:x v="3"/>
    <x:x v="7"/>
    <x:x v="1"/>
    <x:n v="1100"/>
    <x:n v="3300"/>
    <x:n v="900"/>
    <x:x v="7"/>
    <x:s v="Hatay"/>
  </x:r>
  <x:r>
    <x:m/>
    <x:x v="5"/>
    <x:x v="0"/>
    <x:x v="0"/>
    <x:n v="6000"/>
    <x:n v="12000"/>
    <x:n v="4000"/>
    <x:x v="7"/>
    <x:s v="Ankara"/>
  </x:r>
  <x:r>
    <x:m/>
    <x:x v="0"/>
    <x:x v="9"/>
    <x:x v="2"/>
    <x:n v="1200"/>
    <x:n v="1200"/>
    <x:n v="400"/>
    <x:x v="7"/>
    <x:s v="Kocaeli"/>
  </x:r>
  <x:r>
    <x:m/>
    <x:x v="6"/>
    <x:x v="10"/>
    <x:x v="0"/>
    <x:n v="1800"/>
    <x:n v="3600"/>
    <x:n v="2000"/>
    <x:x v="7"/>
    <x:s v="Diyarbakır"/>
  </x:r>
  <x:r>
    <x:m/>
    <x:x v="6"/>
    <x:x v="11"/>
    <x:x v="0"/>
    <x:n v="1090"/>
    <x:n v="2180"/>
    <x:n v="580"/>
    <x:x v="7"/>
    <x:s v="Antalya"/>
  </x:r>
  <x:r>
    <x:m/>
    <x:x v="5"/>
    <x:x v="4"/>
    <x:x v="1"/>
    <x:n v="2180"/>
    <x:n v="6540"/>
    <x:n v="2040"/>
    <x:x v="7"/>
    <x:s v="Diyarbakır"/>
  </x:r>
  <x:r>
    <x:m/>
    <x:x v="7"/>
    <x:x v="10"/>
    <x:x v="1"/>
    <x:n v="1800"/>
    <x:n v="5400"/>
    <x:n v="3000"/>
    <x:x v="7"/>
    <x:s v="Kocaeli"/>
  </x:r>
  <x:r>
    <x:m/>
    <x:x v="4"/>
    <x:x v="12"/>
    <x:x v="1"/>
    <x:n v="8000"/>
    <x:n v="24000"/>
    <x:n v="6000"/>
    <x:x v="7"/>
    <x:s v="Diyarbakır"/>
  </x:r>
  <x:r>
    <x:m/>
    <x:x v="5"/>
    <x:x v="1"/>
    <x:x v="2"/>
    <x:n v="1400"/>
    <x:n v="1400"/>
    <x:n v="600"/>
    <x:x v="7"/>
    <x:s v="Hatay"/>
  </x:r>
  <x:r>
    <x:m/>
    <x:x v="8"/>
    <x:x v="13"/>
    <x:x v="2"/>
    <x:n v="10590"/>
    <x:n v="10590"/>
    <x:n v="4590"/>
    <x:x v="7"/>
    <x:s v="Ankara"/>
  </x:r>
  <x:r>
    <x:m/>
    <x:x v="9"/>
    <x:x v="3"/>
    <x:x v="0"/>
    <x:n v="1350"/>
    <x:n v="2700"/>
    <x:n v="1100"/>
    <x:x v="7"/>
    <x:s v="Konya"/>
  </x:r>
  <x:r>
    <x:m/>
    <x:x v="6"/>
    <x:x v="1"/>
    <x:x v="0"/>
    <x:n v="1400"/>
    <x:n v="2800"/>
    <x:n v="1200"/>
    <x:x v="7"/>
    <x:s v="Gaziantep"/>
  </x:r>
  <x:r>
    <x:m/>
    <x:x v="3"/>
    <x:x v="0"/>
    <x:x v="2"/>
    <x:n v="6000"/>
    <x:n v="6000"/>
    <x:n v="2000"/>
    <x:x v="7"/>
    <x:s v="Kocaeli"/>
  </x:r>
  <x:r>
    <x:m/>
    <x:x v="8"/>
    <x:x v="7"/>
    <x:x v="0"/>
    <x:n v="1100"/>
    <x:n v="2200"/>
    <x:n v="600"/>
    <x:x v="7"/>
    <x:s v="Bursa"/>
  </x:r>
  <x:r>
    <x:m/>
    <x:x v="2"/>
    <x:x v="0"/>
    <x:x v="0"/>
    <x:n v="6000"/>
    <x:n v="12000"/>
    <x:n v="4000"/>
    <x:x v="7"/>
    <x:s v="Bursa"/>
  </x:r>
  <x:r>
    <x:m/>
    <x:x v="9"/>
    <x:x v="14"/>
    <x:x v="2"/>
    <x:n v="1490"/>
    <x:n v="1490"/>
    <x:n v="690"/>
    <x:x v="7"/>
    <x:s v="Şanlıurfa"/>
  </x:r>
  <x:r>
    <x:m/>
    <x:x v="8"/>
    <x:x v="13"/>
    <x:x v="0"/>
    <x:n v="10590"/>
    <x:n v="21180"/>
    <x:n v="9180"/>
    <x:x v="7"/>
    <x:s v="Diyarbakır"/>
  </x:r>
  <x:r>
    <x:m/>
    <x:x v="2"/>
    <x:x v="12"/>
    <x:x v="1"/>
    <x:n v="8000"/>
    <x:n v="24000"/>
    <x:n v="6000"/>
    <x:x v="7"/>
    <x:s v="Adana"/>
  </x:r>
  <x:r>
    <x:m/>
    <x:x v="6"/>
    <x:x v="7"/>
    <x:x v="2"/>
    <x:n v="1100"/>
    <x:n v="1100"/>
    <x:n v="300"/>
    <x:x v="7"/>
    <x:s v="Gaziantep"/>
  </x:r>
  <x:r>
    <x:m/>
    <x:x v="9"/>
    <x:x v="9"/>
    <x:x v="2"/>
    <x:n v="1200"/>
    <x:n v="1200"/>
    <x:n v="400"/>
    <x:x v="7"/>
    <x:s v="Hatay"/>
  </x:r>
  <x:r>
    <x:m/>
    <x:x v="4"/>
    <x:x v="15"/>
    <x:x v="0"/>
    <x:n v="4200"/>
    <x:n v="8400"/>
    <x:n v="2400"/>
    <x:x v="7"/>
    <x:s v="Diyarbakır"/>
  </x:r>
  <x:r>
    <x:m/>
    <x:x v="1"/>
    <x:x v="16"/>
    <x:x v="1"/>
    <x:n v="5775"/>
    <x:n v="17325"/>
    <x:n v="5325"/>
    <x:x v="7"/>
    <x:s v="Bursa"/>
  </x:r>
  <x:r>
    <x:m/>
    <x:x v="10"/>
    <x:x v="5"/>
    <x:x v="1"/>
    <x:n v="7600"/>
    <x:n v="22800"/>
    <x:n v="4800"/>
    <x:x v="7"/>
    <x:s v="İstanbul"/>
  </x:r>
  <x:r>
    <x:m/>
    <x:x v="1"/>
    <x:x v="6"/>
    <x:x v="1"/>
    <x:n v="7250"/>
    <x:n v="21750"/>
    <x:n v="6750"/>
    <x:x v="7"/>
    <x:s v="Diyarbakır"/>
  </x:r>
  <x:r>
    <x:m/>
    <x:x v="0"/>
    <x:x v="6"/>
    <x:x v="1"/>
    <x:n v="7250"/>
    <x:n v="21750"/>
    <x:n v="6750"/>
    <x:x v="7"/>
    <x:s v="Ankara"/>
  </x:r>
  <x:r>
    <x:m/>
    <x:x v="8"/>
    <x:x v="6"/>
    <x:x v="1"/>
    <x:n v="7250"/>
    <x:n v="21750"/>
    <x:n v="6750"/>
    <x:x v="7"/>
    <x:s v="Kocaeli"/>
  </x:r>
  <x:r>
    <x:m/>
    <x:x v="5"/>
    <x:x v="3"/>
    <x:x v="2"/>
    <x:n v="1350"/>
    <x:n v="1350"/>
    <x:n v="550"/>
    <x:x v="7"/>
    <x:s v="İstanbul"/>
  </x:r>
  <x:r>
    <x:m/>
    <x:x v="1"/>
    <x:x v="6"/>
    <x:x v="0"/>
    <x:n v="7250"/>
    <x:n v="14500"/>
    <x:n v="4500"/>
    <x:x v="7"/>
    <x:s v="Şanlıurfa"/>
  </x:r>
  <x:r>
    <x:m/>
    <x:x v="6"/>
    <x:x v="5"/>
    <x:x v="2"/>
    <x:n v="7600"/>
    <x:n v="7600"/>
    <x:n v="1600"/>
    <x:x v="7"/>
    <x:s v="Konya"/>
  </x:r>
  <x:r>
    <x:m/>
    <x:x v="11"/>
    <x:x v="5"/>
    <x:x v="1"/>
    <x:n v="7600"/>
    <x:n v="22800"/>
    <x:n v="4800"/>
    <x:x v="7"/>
    <x:s v="Diyarbakır"/>
  </x:r>
  <x:r>
    <x:m/>
    <x:x v="1"/>
    <x:x v="14"/>
    <x:x v="1"/>
    <x:n v="1490"/>
    <x:n v="4470"/>
    <x:n v="2070"/>
    <x:x v="7"/>
    <x:s v="Diyarbakır"/>
  </x:r>
  <x:r>
    <x:m/>
    <x:x v="5"/>
    <x:x v="17"/>
    <x:x v="0"/>
    <x:n v="2900"/>
    <x:n v="5800"/>
    <x:n v="1800"/>
    <x:x v="7"/>
    <x:s v="Ankara"/>
  </x:r>
  <x:r>
    <x:m/>
    <x:x v="9"/>
    <x:x v="14"/>
    <x:x v="2"/>
    <x:n v="1490"/>
    <x:n v="1490"/>
    <x:n v="690"/>
    <x:x v="7"/>
    <x:s v="Mersin"/>
  </x:r>
  <x:r>
    <x:m/>
    <x:x v="9"/>
    <x:x v="11"/>
    <x:x v="0"/>
    <x:n v="1090"/>
    <x:n v="2180"/>
    <x:n v="580"/>
    <x:x v="7"/>
    <x:s v="Ankara"/>
  </x:r>
  <x:r>
    <x:m/>
    <x:x v="5"/>
    <x:x v="9"/>
    <x:x v="0"/>
    <x:n v="1200"/>
    <x:n v="2400"/>
    <x:n v="800"/>
    <x:x v="7"/>
    <x:s v="Hatay"/>
  </x:r>
  <x:r>
    <x:m/>
    <x:x v="8"/>
    <x:x v="13"/>
    <x:x v="0"/>
    <x:n v="10590"/>
    <x:n v="21180"/>
    <x:n v="9180"/>
    <x:x v="7"/>
    <x:s v="Bursa"/>
  </x:r>
  <x:r>
    <x:m/>
    <x:x v="6"/>
    <x:x v="15"/>
    <x:x v="1"/>
    <x:n v="4200"/>
    <x:n v="12600"/>
    <x:n v="3600"/>
    <x:x v="7"/>
    <x:s v="Konya"/>
  </x:r>
  <x:r>
    <x:m/>
    <x:x v="3"/>
    <x:x v="15"/>
    <x:x v="1"/>
    <x:n v="4200"/>
    <x:n v="12600"/>
    <x:n v="3600"/>
    <x:x v="7"/>
    <x:s v="Kocaeli"/>
  </x:r>
  <x:r>
    <x:m/>
    <x:x v="7"/>
    <x:x v="13"/>
    <x:x v="0"/>
    <x:n v="10590"/>
    <x:n v="21180"/>
    <x:n v="9180"/>
    <x:x v="7"/>
    <x:s v="Konya"/>
  </x:r>
  <x:r>
    <x:m/>
    <x:x v="11"/>
    <x:x v="18"/>
    <x:x v="2"/>
    <x:n v="1250"/>
    <x:n v="1250"/>
    <x:n v="450"/>
    <x:x v="7"/>
    <x:s v="Bursa"/>
  </x:r>
  <x:r>
    <x:m/>
    <x:x v="0"/>
    <x:x v="14"/>
    <x:x v="1"/>
    <x:n v="1490"/>
    <x:n v="4470"/>
    <x:n v="2070"/>
    <x:x v="7"/>
    <x:s v="Kocaeli"/>
  </x:r>
  <x:r>
    <x:m/>
    <x:x v="6"/>
    <x:x v="9"/>
    <x:x v="0"/>
    <x:n v="1200"/>
    <x:n v="2400"/>
    <x:n v="800"/>
    <x:x v="7"/>
    <x:s v="İzmir"/>
  </x:r>
  <x:r>
    <x:m/>
    <x:x v="2"/>
    <x:x v="4"/>
    <x:x v="1"/>
    <x:n v="2180"/>
    <x:n v="6540"/>
    <x:n v="2040"/>
    <x:x v="7"/>
    <x:s v="Şanlıurfa"/>
  </x:r>
  <x:r>
    <x:m/>
    <x:x v="9"/>
    <x:x v="19"/>
    <x:x v="1"/>
    <x:n v="1200"/>
    <x:n v="3600"/>
    <x:n v="1200"/>
    <x:x v="7"/>
    <x:s v="Bursa"/>
  </x:r>
  <x:r>
    <x:m/>
    <x:x v="0"/>
    <x:x v="10"/>
    <x:x v="2"/>
    <x:n v="1800"/>
    <x:n v="1800"/>
    <x:n v="1000"/>
    <x:x v="7"/>
    <x:s v="Antalya"/>
  </x:r>
  <x:r>
    <x:m/>
    <x:x v="2"/>
    <x:x v="5"/>
    <x:x v="2"/>
    <x:n v="7600"/>
    <x:n v="7600"/>
    <x:n v="1600"/>
    <x:x v="7"/>
    <x:s v="Konya"/>
  </x:r>
  <x:r>
    <x:m/>
    <x:x v="7"/>
    <x:x v="20"/>
    <x:x v="2"/>
    <x:n v="7530"/>
    <x:n v="7530"/>
    <x:n v="1530"/>
    <x:x v="7"/>
    <x:s v="Konya"/>
  </x:r>
  <x:r>
    <x:m/>
    <x:x v="11"/>
    <x:x v="14"/>
    <x:x v="0"/>
    <x:n v="1490"/>
    <x:n v="2980"/>
    <x:n v="1380"/>
    <x:x v="7"/>
    <x:s v="Kocaeli"/>
  </x:r>
  <x:r>
    <x:m/>
    <x:x v="0"/>
    <x:x v="21"/>
    <x:x v="2"/>
    <x:n v="5300"/>
    <x:n v="5300"/>
    <x:n v="1300"/>
    <x:x v="7"/>
    <x:s v="Konya"/>
  </x:r>
  <x:r>
    <x:m/>
    <x:x v="4"/>
    <x:x v="9"/>
    <x:x v="0"/>
    <x:n v="1200"/>
    <x:n v="2400"/>
    <x:n v="800"/>
    <x:x v="7"/>
    <x:s v="Antalya"/>
  </x:r>
  <x:r>
    <x:m/>
    <x:x v="9"/>
    <x:x v="11"/>
    <x:x v="2"/>
    <x:n v="1090"/>
    <x:n v="1090"/>
    <x:n v="290"/>
    <x:x v="7"/>
    <x:s v="Antalya"/>
  </x:r>
  <x:r>
    <x:m/>
    <x:x v="4"/>
    <x:x v="6"/>
    <x:x v="2"/>
    <x:n v="7250"/>
    <x:n v="7250"/>
    <x:n v="2250"/>
    <x:x v="7"/>
    <x:s v="Kocaeli"/>
  </x:r>
  <x:r>
    <x:m/>
    <x:x v="10"/>
    <x:x v="1"/>
    <x:x v="1"/>
    <x:n v="1400"/>
    <x:n v="4200"/>
    <x:n v="1800"/>
    <x:x v="7"/>
    <x:s v="Antalya"/>
  </x:r>
  <x:r>
    <x:m/>
    <x:x v="2"/>
    <x:x v="22"/>
    <x:x v="2"/>
    <x:n v="1500"/>
    <x:n v="1500"/>
    <x:n v="700"/>
    <x:x v="7"/>
    <x:s v="Mersin"/>
  </x:r>
  <x:r>
    <x:m/>
    <x:x v="7"/>
    <x:x v="3"/>
    <x:x v="2"/>
    <x:n v="1350"/>
    <x:n v="1350"/>
    <x:n v="550"/>
    <x:x v="7"/>
    <x:s v="Şanlıurfa"/>
  </x:r>
  <x:r>
    <x:m/>
    <x:x v="7"/>
    <x:x v="9"/>
    <x:x v="1"/>
    <x:n v="1200"/>
    <x:n v="3600"/>
    <x:n v="1200"/>
    <x:x v="7"/>
    <x:s v="İstanbul"/>
  </x:r>
  <x:r>
    <x:m/>
    <x:x v="1"/>
    <x:x v="20"/>
    <x:x v="1"/>
    <x:n v="7530"/>
    <x:n v="22590"/>
    <x:n v="4590"/>
    <x:x v="7"/>
    <x:s v="Diyarbakır"/>
  </x:r>
  <x:r>
    <x:m/>
    <x:x v="10"/>
    <x:x v="9"/>
    <x:x v="2"/>
    <x:n v="1200"/>
    <x:n v="1200"/>
    <x:n v="400"/>
    <x:x v="7"/>
    <x:s v="Ankara"/>
  </x:r>
  <x:r>
    <x:m/>
    <x:x v="8"/>
    <x:x v="10"/>
    <x:x v="1"/>
    <x:n v="1800"/>
    <x:n v="5400"/>
    <x:n v="3000"/>
    <x:x v="7"/>
    <x:s v="Gaziantep"/>
  </x:r>
  <x:r>
    <x:m/>
    <x:x v="0"/>
    <x:x v="6"/>
    <x:x v="2"/>
    <x:n v="7250"/>
    <x:n v="7250"/>
    <x:n v="2250"/>
    <x:x v="7"/>
    <x:s v="Şanlıurfa"/>
  </x:r>
  <x:r>
    <x:m/>
    <x:x v="9"/>
    <x:x v="14"/>
    <x:x v="1"/>
    <x:n v="1490"/>
    <x:n v="4470"/>
    <x:n v="2070"/>
    <x:x v="7"/>
    <x:s v="Antalya"/>
  </x:r>
  <x:r>
    <x:m/>
    <x:x v="9"/>
    <x:x v="19"/>
    <x:x v="2"/>
    <x:n v="1200"/>
    <x:n v="1200"/>
    <x:n v="400"/>
    <x:x v="7"/>
    <x:s v="İstanbul"/>
  </x:r>
  <x:r>
    <x:m/>
    <x:x v="1"/>
    <x:x v="12"/>
    <x:x v="2"/>
    <x:n v="8000"/>
    <x:n v="8000"/>
    <x:n v="2000"/>
    <x:x v="7"/>
    <x:s v="Hatay"/>
  </x:r>
  <x:r>
    <x:m/>
    <x:x v="6"/>
    <x:x v="1"/>
    <x:x v="2"/>
    <x:n v="1400"/>
    <x:n v="1400"/>
    <x:n v="600"/>
    <x:x v="7"/>
    <x:s v="Kocaeli"/>
  </x:r>
  <x:r>
    <x:m/>
    <x:x v="5"/>
    <x:x v="3"/>
    <x:x v="2"/>
    <x:n v="1350"/>
    <x:n v="1350"/>
    <x:n v="550"/>
    <x:x v="7"/>
    <x:s v="Hatay"/>
  </x:r>
  <x:r>
    <x:m/>
    <x:x v="8"/>
    <x:x v="19"/>
    <x:x v="2"/>
    <x:n v="1200"/>
    <x:n v="1200"/>
    <x:n v="400"/>
    <x:x v="7"/>
    <x:s v="Diyarbakır"/>
  </x:r>
  <x:r>
    <x:m/>
    <x:x v="6"/>
    <x:x v="21"/>
    <x:x v="2"/>
    <x:n v="5300"/>
    <x:n v="5300"/>
    <x:n v="1300"/>
    <x:x v="7"/>
    <x:s v="Diyarbakır"/>
  </x:r>
  <x:r>
    <x:m/>
    <x:x v="9"/>
    <x:x v="13"/>
    <x:x v="1"/>
    <x:n v="10590"/>
    <x:n v="31770"/>
    <x:n v="13770"/>
    <x:x v="7"/>
    <x:s v="Kocaeli"/>
  </x:r>
  <x:r>
    <x:m/>
    <x:x v="4"/>
    <x:x v="18"/>
    <x:x v="2"/>
    <x:n v="1250"/>
    <x:n v="1250"/>
    <x:n v="450"/>
    <x:x v="7"/>
    <x:s v="Antalya"/>
  </x:r>
  <x:r>
    <x:m/>
    <x:x v="11"/>
    <x:x v="19"/>
    <x:x v="2"/>
    <x:n v="1200"/>
    <x:n v="1200"/>
    <x:n v="400"/>
    <x:x v="7"/>
    <x:s v="Ankara"/>
  </x:r>
  <x:r>
    <x:m/>
    <x:x v="4"/>
    <x:x v="1"/>
    <x:x v="1"/>
    <x:n v="1400"/>
    <x:n v="4200"/>
    <x:n v="1800"/>
    <x:x v="7"/>
    <x:s v="Gaziantep"/>
  </x:r>
  <x:r>
    <x:m/>
    <x:x v="11"/>
    <x:x v="20"/>
    <x:x v="0"/>
    <x:n v="7530"/>
    <x:n v="15060"/>
    <x:n v="3060"/>
    <x:x v="7"/>
    <x:s v="Hatay"/>
  </x:r>
  <x:r>
    <x:m/>
    <x:x v="6"/>
    <x:x v="5"/>
    <x:x v="2"/>
    <x:n v="7600"/>
    <x:n v="7600"/>
    <x:n v="1600"/>
    <x:x v="7"/>
    <x:s v="Adana"/>
  </x:r>
  <x:r>
    <x:m/>
    <x:x v="11"/>
    <x:x v="22"/>
    <x:x v="2"/>
    <x:n v="1500"/>
    <x:n v="1500"/>
    <x:n v="700"/>
    <x:x v="7"/>
    <x:s v="İzmir"/>
  </x:r>
  <x:r>
    <x:m/>
    <x:x v="9"/>
    <x:x v="4"/>
    <x:x v="0"/>
    <x:n v="2180"/>
    <x:n v="4360"/>
    <x:n v="1360"/>
    <x:x v="7"/>
    <x:s v="Bursa"/>
  </x:r>
  <x:r>
    <x:m/>
    <x:x v="3"/>
    <x:x v="4"/>
    <x:x v="2"/>
    <x:n v="2180"/>
    <x:n v="2180"/>
    <x:n v="680"/>
    <x:x v="7"/>
    <x:s v="Gaziantep"/>
  </x:r>
  <x:r>
    <x:m/>
    <x:x v="9"/>
    <x:x v="16"/>
    <x:x v="2"/>
    <x:n v="5775"/>
    <x:n v="5775"/>
    <x:n v="1775"/>
    <x:x v="7"/>
    <x:s v="Konya"/>
  </x:r>
  <x:r>
    <x:m/>
    <x:x v="9"/>
    <x:x v="7"/>
    <x:x v="1"/>
    <x:n v="1100"/>
    <x:n v="3300"/>
    <x:n v="900"/>
    <x:x v="7"/>
    <x:s v="Adana"/>
  </x:r>
  <x:r>
    <x:m/>
    <x:x v="10"/>
    <x:x v="16"/>
    <x:x v="2"/>
    <x:n v="5775"/>
    <x:n v="5775"/>
    <x:n v="1775"/>
    <x:x v="7"/>
    <x:s v="Kocaeli"/>
  </x:r>
  <x:r>
    <x:m/>
    <x:x v="7"/>
    <x:x v="3"/>
    <x:x v="2"/>
    <x:n v="1350"/>
    <x:n v="1350"/>
    <x:n v="550"/>
    <x:x v="7"/>
    <x:s v="Hatay"/>
  </x:r>
  <x:r>
    <x:m/>
    <x:x v="0"/>
    <x:x v="5"/>
    <x:x v="1"/>
    <x:n v="7600"/>
    <x:n v="22800"/>
    <x:n v="4800"/>
    <x:x v="7"/>
    <x:s v="Adana"/>
  </x:r>
  <x:r>
    <x:m/>
    <x:x v="2"/>
    <x:x v="6"/>
    <x:x v="1"/>
    <x:n v="7250"/>
    <x:n v="21750"/>
    <x:n v="6750"/>
    <x:x v="7"/>
    <x:s v="Antalya"/>
  </x:r>
  <x:r>
    <x:m/>
    <x:x v="11"/>
    <x:x v="14"/>
    <x:x v="0"/>
    <x:n v="1490"/>
    <x:n v="2980"/>
    <x:n v="1380"/>
    <x:x v="7"/>
    <x:s v="Ankara"/>
  </x:r>
  <x:r>
    <x:m/>
    <x:x v="3"/>
    <x:x v="14"/>
    <x:x v="0"/>
    <x:n v="1490"/>
    <x:n v="2980"/>
    <x:n v="1380"/>
    <x:x v="7"/>
    <x:s v="Kocaeli"/>
  </x:r>
  <x:r>
    <x:m/>
    <x:x v="8"/>
    <x:x v="11"/>
    <x:x v="0"/>
    <x:n v="1090"/>
    <x:n v="2180"/>
    <x:n v="580"/>
    <x:x v="7"/>
    <x:s v="Ankara"/>
  </x:r>
  <x:r>
    <x:m/>
    <x:x v="8"/>
    <x:x v="9"/>
    <x:x v="1"/>
    <x:n v="1200"/>
    <x:n v="3600"/>
    <x:n v="1200"/>
    <x:x v="7"/>
    <x:s v="Antalya"/>
  </x:r>
  <x:r>
    <x:m/>
    <x:x v="11"/>
    <x:x v="11"/>
    <x:x v="0"/>
    <x:n v="1090"/>
    <x:n v="2180"/>
    <x:n v="580"/>
    <x:x v="7"/>
    <x:s v="Gaziantep"/>
  </x:r>
  <x:r>
    <x:m/>
    <x:x v="11"/>
    <x:x v="4"/>
    <x:x v="1"/>
    <x:n v="2180"/>
    <x:n v="6540"/>
    <x:n v="2040"/>
    <x:x v="7"/>
    <x:s v="Konya"/>
  </x:r>
  <x:r>
    <x:m/>
    <x:x v="2"/>
    <x:x v="21"/>
    <x:x v="1"/>
    <x:n v="5300"/>
    <x:n v="15900"/>
    <x:n v="3900"/>
    <x:x v="7"/>
    <x:s v="Diyarbakır"/>
  </x:r>
  <x:r>
    <x:m/>
    <x:x v="11"/>
    <x:x v="21"/>
    <x:x v="0"/>
    <x:n v="5300"/>
    <x:n v="10600"/>
    <x:n v="2600"/>
    <x:x v="7"/>
    <x:s v="Kocaeli"/>
  </x:r>
  <x:r>
    <x:m/>
    <x:x v="5"/>
    <x:x v="6"/>
    <x:x v="0"/>
    <x:n v="7250"/>
    <x:n v="14500"/>
    <x:n v="4500"/>
    <x:x v="7"/>
    <x:s v="Konya"/>
  </x:r>
  <x:r>
    <x:m/>
    <x:x v="5"/>
    <x:x v="19"/>
    <x:x v="1"/>
    <x:n v="1200"/>
    <x:n v="3600"/>
    <x:n v="1200"/>
    <x:x v="7"/>
    <x:s v="Gaziantep"/>
  </x:r>
  <x:r>
    <x:m/>
    <x:x v="3"/>
    <x:x v="0"/>
    <x:x v="2"/>
    <x:n v="6000"/>
    <x:n v="6000"/>
    <x:n v="2000"/>
    <x:x v="7"/>
    <x:s v="Mersin"/>
  </x:r>
  <x:r>
    <x:m/>
    <x:x v="2"/>
    <x:x v="2"/>
    <x:x v="1"/>
    <x:n v="8450"/>
    <x:n v="25350"/>
    <x:n v="7350"/>
    <x:x v="7"/>
    <x:s v="Kocaeli"/>
  </x:r>
  <x:r>
    <x:m/>
    <x:x v="6"/>
    <x:x v="15"/>
    <x:x v="2"/>
    <x:n v="4200"/>
    <x:n v="4200"/>
    <x:n v="1200"/>
    <x:x v="7"/>
    <x:s v="Hatay"/>
  </x:r>
  <x:r>
    <x:m/>
    <x:x v="6"/>
    <x:x v="13"/>
    <x:x v="1"/>
    <x:n v="10590"/>
    <x:n v="31770"/>
    <x:n v="13770"/>
    <x:x v="7"/>
    <x:s v="Mersin"/>
  </x:r>
  <x:r>
    <x:m/>
    <x:x v="5"/>
    <x:x v="19"/>
    <x:x v="2"/>
    <x:n v="1200"/>
    <x:n v="1200"/>
    <x:n v="400"/>
    <x:x v="7"/>
    <x:s v="Gaziantep"/>
  </x:r>
  <x:r>
    <x:m/>
    <x:x v="10"/>
    <x:x v="7"/>
    <x:x v="0"/>
    <x:n v="1100"/>
    <x:n v="2200"/>
    <x:n v="600"/>
    <x:x v="7"/>
    <x:s v="Hatay"/>
  </x:r>
  <x:r>
    <x:m/>
    <x:x v="9"/>
    <x:x v="23"/>
    <x:x v="0"/>
    <x:n v="3700"/>
    <x:n v="7400"/>
    <x:n v="1400"/>
    <x:x v="7"/>
    <x:s v="Mersin"/>
  </x:r>
  <x:r>
    <x:m/>
    <x:x v="1"/>
    <x:x v="23"/>
    <x:x v="2"/>
    <x:n v="3700"/>
    <x:n v="3700"/>
    <x:n v="700"/>
    <x:x v="7"/>
    <x:s v="Gaziantep"/>
  </x:r>
  <x:r>
    <x:m/>
    <x:x v="6"/>
    <x:x v="7"/>
    <x:x v="1"/>
    <x:n v="1100"/>
    <x:n v="3300"/>
    <x:n v="900"/>
    <x:x v="7"/>
    <x:s v="Mersin"/>
  </x:r>
  <x:r>
    <x:m/>
    <x:x v="5"/>
    <x:x v="23"/>
    <x:x v="2"/>
    <x:n v="3700"/>
    <x:n v="3700"/>
    <x:n v="700"/>
    <x:x v="7"/>
    <x:s v="Antalya"/>
  </x:r>
  <x:r>
    <x:m/>
    <x:x v="10"/>
    <x:x v="14"/>
    <x:x v="2"/>
    <x:n v="1490"/>
    <x:n v="1490"/>
    <x:n v="690"/>
    <x:x v="7"/>
    <x:s v="Mersin"/>
  </x:r>
  <x:r>
    <x:m/>
    <x:x v="9"/>
    <x:x v="22"/>
    <x:x v="2"/>
    <x:n v="1500"/>
    <x:n v="1500"/>
    <x:n v="700"/>
    <x:x v="7"/>
    <x:s v="Mersin"/>
  </x:r>
  <x:r>
    <x:m/>
    <x:x v="8"/>
    <x:x v="11"/>
    <x:x v="0"/>
    <x:n v="1090"/>
    <x:n v="2180"/>
    <x:n v="580"/>
    <x:x v="7"/>
    <x:s v="Antalya"/>
  </x:r>
  <x:r>
    <x:m/>
    <x:x v="10"/>
    <x:x v="10"/>
    <x:x v="1"/>
    <x:n v="1800"/>
    <x:n v="5400"/>
    <x:n v="3000"/>
    <x:x v="7"/>
    <x:s v="Diyarbakır"/>
  </x:r>
  <x:r>
    <x:m/>
    <x:x v="7"/>
    <x:x v="20"/>
    <x:x v="0"/>
    <x:n v="7530"/>
    <x:n v="15060"/>
    <x:n v="3060"/>
    <x:x v="7"/>
    <x:s v="Mersin"/>
  </x:r>
  <x:r>
    <x:m/>
    <x:x v="6"/>
    <x:x v="7"/>
    <x:x v="1"/>
    <x:n v="1100"/>
    <x:n v="3300"/>
    <x:n v="900"/>
    <x:x v="7"/>
    <x:s v="Mersin"/>
  </x:r>
  <x:r>
    <x:m/>
    <x:x v="9"/>
    <x:x v="3"/>
    <x:x v="1"/>
    <x:n v="1350"/>
    <x:n v="4050"/>
    <x:n v="1650"/>
    <x:x v="7"/>
    <x:s v="Şanlıurfa"/>
  </x:r>
  <x:r>
    <x:m/>
    <x:x v="8"/>
    <x:x v="3"/>
    <x:x v="2"/>
    <x:n v="1350"/>
    <x:n v="1350"/>
    <x:n v="550"/>
    <x:x v="7"/>
    <x:s v="Antalya"/>
  </x:r>
  <x:r>
    <x:m/>
    <x:x v="7"/>
    <x:x v="11"/>
    <x:x v="0"/>
    <x:n v="1090"/>
    <x:n v="2180"/>
    <x:n v="580"/>
    <x:x v="7"/>
    <x:s v="Gaziantep"/>
  </x:r>
  <x:r>
    <x:m/>
    <x:x v="7"/>
    <x:x v="15"/>
    <x:x v="2"/>
    <x:n v="4200"/>
    <x:n v="4200"/>
    <x:n v="1200"/>
    <x:x v="7"/>
    <x:s v="Ankara"/>
  </x:r>
  <x:r>
    <x:m/>
    <x:x v="9"/>
    <x:x v="10"/>
    <x:x v="0"/>
    <x:n v="1800"/>
    <x:n v="3600"/>
    <x:n v="2000"/>
    <x:x v="7"/>
    <x:s v="Hatay"/>
  </x:r>
  <x:r>
    <x:m/>
    <x:x v="11"/>
    <x:x v="11"/>
    <x:x v="2"/>
    <x:n v="1090"/>
    <x:n v="1090"/>
    <x:n v="290"/>
    <x:x v="7"/>
    <x:s v="Bursa"/>
  </x:r>
  <x:r>
    <x:m/>
    <x:x v="0"/>
    <x:x v="5"/>
    <x:x v="2"/>
    <x:n v="7600"/>
    <x:n v="7600"/>
    <x:n v="1600"/>
    <x:x v="7"/>
    <x:s v="Ankara"/>
  </x:r>
  <x:r>
    <x:m/>
    <x:x v="8"/>
    <x:x v="5"/>
    <x:x v="1"/>
    <x:n v="7600"/>
    <x:n v="22800"/>
    <x:n v="4800"/>
    <x:x v="7"/>
    <x:s v="Adana"/>
  </x:r>
  <x:r>
    <x:m/>
    <x:x v="2"/>
    <x:x v="23"/>
    <x:x v="2"/>
    <x:n v="3700"/>
    <x:n v="3700"/>
    <x:n v="700"/>
    <x:x v="7"/>
    <x:s v="İstanbul"/>
  </x:r>
  <x:r>
    <x:m/>
    <x:x v="4"/>
    <x:x v="6"/>
    <x:x v="1"/>
    <x:n v="7250"/>
    <x:n v="21750"/>
    <x:n v="6750"/>
    <x:x v="7"/>
    <x:s v="Şanlıurfa"/>
  </x:r>
  <x:r>
    <x:m/>
    <x:x v="1"/>
    <x:x v="5"/>
    <x:x v="1"/>
    <x:n v="7600"/>
    <x:n v="22800"/>
    <x:n v="4800"/>
    <x:x v="7"/>
    <x:s v="Kocaeli"/>
  </x:r>
  <x:r>
    <x:m/>
    <x:x v="10"/>
    <x:x v="15"/>
    <x:x v="2"/>
    <x:n v="4200"/>
    <x:n v="4200"/>
    <x:n v="1200"/>
    <x:x v="7"/>
    <x:s v="Gaziantep"/>
  </x:r>
  <x:r>
    <x:m/>
    <x:x v="6"/>
    <x:x v="18"/>
    <x:x v="1"/>
    <x:n v="1250"/>
    <x:n v="3750"/>
    <x:n v="1350"/>
    <x:x v="7"/>
    <x:s v="Mersin"/>
  </x:r>
  <x:r>
    <x:m/>
    <x:x v="8"/>
    <x:x v="11"/>
    <x:x v="2"/>
    <x:n v="1090"/>
    <x:n v="1090"/>
    <x:n v="290"/>
    <x:x v="7"/>
    <x:s v="Adana"/>
  </x:r>
  <x:r>
    <x:m/>
    <x:x v="3"/>
    <x:x v="4"/>
    <x:x v="2"/>
    <x:n v="2180"/>
    <x:n v="2180"/>
    <x:n v="680"/>
    <x:x v="7"/>
    <x:s v="Ankara"/>
  </x:r>
  <x:r>
    <x:m/>
    <x:x v="11"/>
    <x:x v="23"/>
    <x:x v="0"/>
    <x:n v="3700"/>
    <x:n v="7400"/>
    <x:n v="1400"/>
    <x:x v="7"/>
    <x:s v="İzmir"/>
  </x:r>
  <x:r>
    <x:m/>
    <x:x v="9"/>
    <x:x v="0"/>
    <x:x v="0"/>
    <x:n v="6000"/>
    <x:n v="12000"/>
    <x:n v="4000"/>
    <x:x v="7"/>
    <x:s v="Antalya"/>
  </x:r>
  <x:r>
    <x:m/>
    <x:x v="10"/>
    <x:x v="18"/>
    <x:x v="0"/>
    <x:n v="1250"/>
    <x:n v="2500"/>
    <x:n v="900"/>
    <x:x v="7"/>
    <x:s v="Gaziantep"/>
  </x:r>
  <x:r>
    <x:m/>
    <x:x v="11"/>
    <x:x v="5"/>
    <x:x v="2"/>
    <x:n v="7600"/>
    <x:n v="7600"/>
    <x:n v="1600"/>
    <x:x v="7"/>
    <x:s v="Şanlıurfa"/>
  </x:r>
  <x:r>
    <x:m/>
    <x:x v="0"/>
    <x:x v="1"/>
    <x:x v="0"/>
    <x:n v="1400"/>
    <x:n v="2800"/>
    <x:n v="1200"/>
    <x:x v="7"/>
    <x:s v="Bursa"/>
  </x:r>
  <x:r>
    <x:m/>
    <x:x v="4"/>
    <x:x v="4"/>
    <x:x v="0"/>
    <x:n v="2180"/>
    <x:n v="4360"/>
    <x:n v="1360"/>
    <x:x v="7"/>
    <x:s v="İzmir"/>
  </x:r>
  <x:r>
    <x:m/>
    <x:x v="0"/>
    <x:x v="10"/>
    <x:x v="1"/>
    <x:n v="1800"/>
    <x:n v="5400"/>
    <x:n v="3000"/>
    <x:x v="7"/>
    <x:s v="Antalya"/>
  </x:r>
  <x:r>
    <x:m/>
    <x:x v="2"/>
    <x:x v="22"/>
    <x:x v="2"/>
    <x:n v="1500"/>
    <x:n v="1500"/>
    <x:n v="700"/>
    <x:x v="7"/>
    <x:s v="Antalya"/>
  </x:r>
  <x:r>
    <x:m/>
    <x:x v="6"/>
    <x:x v="2"/>
    <x:x v="1"/>
    <x:n v="8450"/>
    <x:n v="25350"/>
    <x:n v="7350"/>
    <x:x v="7"/>
    <x:s v="Konya"/>
  </x:r>
  <x:r>
    <x:m/>
    <x:x v="9"/>
    <x:x v="22"/>
    <x:x v="1"/>
    <x:n v="1500"/>
    <x:n v="4500"/>
    <x:n v="2100"/>
    <x:x v="7"/>
    <x:s v="Bursa"/>
  </x:r>
  <x:r>
    <x:m/>
    <x:x v="5"/>
    <x:x v="0"/>
    <x:x v="1"/>
    <x:n v="6000"/>
    <x:n v="18000"/>
    <x:n v="6000"/>
    <x:x v="7"/>
    <x:s v="Adana"/>
  </x:r>
  <x:r>
    <x:m/>
    <x:x v="11"/>
    <x:x v="19"/>
    <x:x v="2"/>
    <x:n v="1200"/>
    <x:n v="1200"/>
    <x:n v="400"/>
    <x:x v="7"/>
    <x:s v="Kocaeli"/>
  </x:r>
  <x:r>
    <x:m/>
    <x:x v="0"/>
    <x:x v="15"/>
    <x:x v="1"/>
    <x:n v="4200"/>
    <x:n v="12600"/>
    <x:n v="3600"/>
    <x:x v="7"/>
    <x:s v="Şanlıurfa"/>
  </x:r>
  <x:r>
    <x:m/>
    <x:x v="10"/>
    <x:x v="5"/>
    <x:x v="1"/>
    <x:n v="7600"/>
    <x:n v="22800"/>
    <x:n v="4800"/>
    <x:x v="7"/>
    <x:s v="Gaziantep"/>
  </x:r>
  <x:r>
    <x:m/>
    <x:x v="5"/>
    <x:x v="6"/>
    <x:x v="0"/>
    <x:n v="7250"/>
    <x:n v="14500"/>
    <x:n v="4500"/>
    <x:x v="7"/>
    <x:s v="Adana"/>
  </x:r>
  <x:r>
    <x:m/>
    <x:x v="1"/>
    <x:x v="20"/>
    <x:x v="0"/>
    <x:n v="7530"/>
    <x:n v="15060"/>
    <x:n v="3060"/>
    <x:x v="7"/>
    <x:s v="İstanbul"/>
  </x:r>
  <x:r>
    <x:m/>
    <x:x v="2"/>
    <x:x v="6"/>
    <x:x v="0"/>
    <x:n v="7250"/>
    <x:n v="14500"/>
    <x:n v="4500"/>
    <x:x v="7"/>
    <x:s v="Hatay"/>
  </x:r>
  <x:r>
    <x:m/>
    <x:x v="1"/>
    <x:x v="0"/>
    <x:x v="2"/>
    <x:n v="6000"/>
    <x:n v="6000"/>
    <x:n v="2000"/>
    <x:x v="7"/>
    <x:s v="Gaziantep"/>
  </x:r>
  <x:r>
    <x:m/>
    <x:x v="5"/>
    <x:x v="19"/>
    <x:x v="1"/>
    <x:n v="1200"/>
    <x:n v="3600"/>
    <x:n v="1200"/>
    <x:x v="7"/>
    <x:s v="Bursa"/>
  </x:r>
  <x:r>
    <x:m/>
    <x:x v="11"/>
    <x:x v="21"/>
    <x:x v="0"/>
    <x:n v="5300"/>
    <x:n v="10600"/>
    <x:n v="2600"/>
    <x:x v="7"/>
    <x:s v="Şanlıurfa"/>
  </x:r>
  <x:r>
    <x:m/>
    <x:x v="8"/>
    <x:x v="2"/>
    <x:x v="0"/>
    <x:n v="8450"/>
    <x:n v="16900"/>
    <x:n v="4900"/>
    <x:x v="7"/>
    <x:s v="İstanbul"/>
  </x:r>
  <x:r>
    <x:m/>
    <x:x v="4"/>
    <x:x v="3"/>
    <x:x v="2"/>
    <x:n v="1350"/>
    <x:n v="1350"/>
    <x:n v="550"/>
    <x:x v="7"/>
    <x:s v="Şanlıurfa"/>
  </x:r>
  <x:r>
    <x:m/>
    <x:x v="6"/>
    <x:x v="11"/>
    <x:x v="2"/>
    <x:n v="1090"/>
    <x:n v="1090"/>
    <x:n v="290"/>
    <x:x v="7"/>
    <x:s v="Ankara"/>
  </x:r>
  <x:r>
    <x:m/>
    <x:x v="4"/>
    <x:x v="4"/>
    <x:x v="2"/>
    <x:n v="2180"/>
    <x:n v="2180"/>
    <x:n v="680"/>
    <x:x v="7"/>
    <x:s v="İzmir"/>
  </x:r>
  <x:r>
    <x:m/>
    <x:x v="0"/>
    <x:x v="0"/>
    <x:x v="0"/>
    <x:n v="6000"/>
    <x:n v="12000"/>
    <x:n v="4000"/>
    <x:x v="7"/>
    <x:s v="Kocaeli"/>
  </x:r>
  <x:r>
    <x:m/>
    <x:x v="1"/>
    <x:x v="1"/>
    <x:x v="0"/>
    <x:n v="1400"/>
    <x:n v="2800"/>
    <x:n v="1200"/>
    <x:x v="7"/>
    <x:s v="İstanbul"/>
  </x:r>
  <x:r>
    <x:m/>
    <x:x v="2"/>
    <x:x v="2"/>
    <x:x v="0"/>
    <x:n v="8450"/>
    <x:n v="16900"/>
    <x:n v="4900"/>
    <x:x v="7"/>
    <x:s v="İzmir"/>
  </x:r>
  <x:r>
    <x:m/>
    <x:x v="3"/>
    <x:x v="3"/>
    <x:x v="1"/>
    <x:n v="1350"/>
    <x:n v="4050"/>
    <x:n v="1650"/>
    <x:x v="7"/>
    <x:s v="Şanlıurfa"/>
  </x:r>
  <x:r>
    <x:m/>
    <x:x v="0"/>
    <x:x v="4"/>
    <x:x v="0"/>
    <x:n v="2180"/>
    <x:n v="4360"/>
    <x:n v="1360"/>
    <x:x v="7"/>
    <x:s v="Konya"/>
  </x:r>
  <x:r>
    <x:m/>
    <x:x v="4"/>
    <x:x v="5"/>
    <x:x v="0"/>
    <x:n v="7600"/>
    <x:n v="15200"/>
    <x:n v="3200"/>
    <x:x v="7"/>
    <x:s v="Bursa"/>
  </x:r>
  <x:r>
    <x:m/>
    <x:x v="1"/>
    <x:x v="6"/>
    <x:x v="0"/>
    <x:n v="7250"/>
    <x:n v="14500"/>
    <x:n v="4500"/>
    <x:x v="7"/>
    <x:s v="Gaziantep"/>
  </x:r>
  <x:r>
    <x:m/>
    <x:x v="3"/>
    <x:x v="7"/>
    <x:x v="1"/>
    <x:n v="1100"/>
    <x:n v="3300"/>
    <x:n v="900"/>
    <x:x v="7"/>
    <x:s v="Adana"/>
  </x:r>
  <x:r>
    <x:m/>
    <x:x v="5"/>
    <x:x v="0"/>
    <x:x v="0"/>
    <x:n v="6000"/>
    <x:n v="12000"/>
    <x:n v="4000"/>
    <x:x v="7"/>
    <x:s v="Hatay"/>
  </x:r>
  <x:r>
    <x:m/>
    <x:x v="0"/>
    <x:x v="9"/>
    <x:x v="2"/>
    <x:n v="1200"/>
    <x:n v="1200"/>
    <x:n v="400"/>
    <x:x v="7"/>
    <x:s v="İzmir"/>
  </x:r>
  <x:r>
    <x:m/>
    <x:x v="6"/>
    <x:x v="10"/>
    <x:x v="0"/>
    <x:n v="1800"/>
    <x:n v="3600"/>
    <x:n v="2000"/>
    <x:x v="7"/>
    <x:s v="Antalya"/>
  </x:r>
  <x:r>
    <x:m/>
    <x:x v="6"/>
    <x:x v="11"/>
    <x:x v="0"/>
    <x:n v="1090"/>
    <x:n v="2180"/>
    <x:n v="580"/>
    <x:x v="7"/>
    <x:s v="İzmir"/>
  </x:r>
  <x:r>
    <x:m/>
    <x:x v="5"/>
    <x:x v="4"/>
    <x:x v="1"/>
    <x:n v="2180"/>
    <x:n v="6540"/>
    <x:n v="2040"/>
    <x:x v="7"/>
    <x:s v="Antalya"/>
  </x:r>
  <x:r>
    <x:m/>
    <x:x v="7"/>
    <x:x v="10"/>
    <x:x v="1"/>
    <x:n v="1800"/>
    <x:n v="5400"/>
    <x:n v="3000"/>
    <x:x v="7"/>
    <x:s v="Diyarbakır"/>
  </x:r>
  <x:r>
    <x:m/>
    <x:x v="4"/>
    <x:x v="12"/>
    <x:x v="1"/>
    <x:n v="8000"/>
    <x:n v="24000"/>
    <x:n v="6000"/>
    <x:x v="7"/>
    <x:s v="Kocaeli"/>
  </x:r>
  <x:r>
    <x:m/>
    <x:x v="5"/>
    <x:x v="1"/>
    <x:x v="2"/>
    <x:n v="1400"/>
    <x:n v="1400"/>
    <x:n v="600"/>
    <x:x v="7"/>
    <x:s v="İzmir"/>
  </x:r>
  <x:r>
    <x:m/>
    <x:x v="8"/>
    <x:x v="13"/>
    <x:x v="2"/>
    <x:n v="10590"/>
    <x:n v="10590"/>
    <x:n v="4590"/>
    <x:x v="7"/>
    <x:s v="Şanlıurfa"/>
  </x:r>
  <x:r>
    <x:m/>
    <x:x v="9"/>
    <x:x v="3"/>
    <x:x v="0"/>
    <x:n v="1350"/>
    <x:n v="2700"/>
    <x:n v="1100"/>
    <x:x v="7"/>
    <x:s v="Kocaeli"/>
  </x:r>
  <x:r>
    <x:m/>
    <x:x v="6"/>
    <x:x v="1"/>
    <x:x v="0"/>
    <x:n v="1400"/>
    <x:n v="2800"/>
    <x:n v="1200"/>
    <x:x v="7"/>
    <x:s v="Bursa"/>
  </x:r>
  <x:r>
    <x:m/>
    <x:x v="3"/>
    <x:x v="0"/>
    <x:x v="2"/>
    <x:n v="6000"/>
    <x:n v="6000"/>
    <x:n v="2000"/>
    <x:x v="7"/>
    <x:s v="Adana"/>
  </x:r>
  <x:r>
    <x:m/>
    <x:x v="8"/>
    <x:x v="7"/>
    <x:x v="0"/>
    <x:n v="1100"/>
    <x:n v="2200"/>
    <x:n v="600"/>
    <x:x v="7"/>
    <x:s v="Konya"/>
  </x:r>
  <x:r>
    <x:m/>
    <x:x v="2"/>
    <x:x v="0"/>
    <x:x v="0"/>
    <x:n v="6000"/>
    <x:n v="12000"/>
    <x:n v="4000"/>
    <x:x v="7"/>
    <x:s v="Mersin"/>
  </x:r>
  <x:r>
    <x:m/>
    <x:x v="9"/>
    <x:x v="14"/>
    <x:x v="2"/>
    <x:n v="1490"/>
    <x:n v="1490"/>
    <x:n v="690"/>
    <x:x v="7"/>
    <x:s v="Gaziantep"/>
  </x:r>
  <x:r>
    <x:m/>
    <x:x v="8"/>
    <x:x v="13"/>
    <x:x v="0"/>
    <x:n v="10590"/>
    <x:n v="21180"/>
    <x:n v="9180"/>
    <x:x v="7"/>
    <x:s v="Kocaeli"/>
  </x:r>
  <x:r>
    <x:m/>
    <x:x v="2"/>
    <x:x v="12"/>
    <x:x v="1"/>
    <x:n v="8000"/>
    <x:n v="24000"/>
    <x:n v="6000"/>
    <x:x v="7"/>
    <x:s v="Antalya"/>
  </x:r>
  <x:r>
    <x:m/>
    <x:x v="6"/>
    <x:x v="7"/>
    <x:x v="2"/>
    <x:n v="1100"/>
    <x:n v="1100"/>
    <x:n v="300"/>
    <x:x v="7"/>
    <x:s v="Ankara"/>
  </x:r>
  <x:r>
    <x:m/>
    <x:x v="9"/>
    <x:x v="9"/>
    <x:x v="2"/>
    <x:n v="1200"/>
    <x:n v="1200"/>
    <x:n v="400"/>
    <x:x v="7"/>
    <x:s v="Mersin"/>
  </x:r>
  <x:r>
    <x:m/>
    <x:x v="4"/>
    <x:x v="15"/>
    <x:x v="0"/>
    <x:n v="4200"/>
    <x:n v="8400"/>
    <x:n v="2400"/>
    <x:x v="7"/>
    <x:s v="İstanbul"/>
  </x:r>
  <x:r>
    <x:m/>
    <x:x v="1"/>
    <x:x v="16"/>
    <x:x v="1"/>
    <x:n v="5775"/>
    <x:n v="17325"/>
    <x:n v="5325"/>
    <x:x v="7"/>
    <x:s v="Bursa"/>
  </x:r>
  <x:r>
    <x:m/>
    <x:x v="10"/>
    <x:x v="5"/>
    <x:x v="1"/>
    <x:n v="7600"/>
    <x:n v="22800"/>
    <x:n v="4800"/>
    <x:x v="7"/>
    <x:s v="Adana"/>
  </x:r>
  <x:r>
    <x:m/>
    <x:x v="1"/>
    <x:x v="6"/>
    <x:x v="1"/>
    <x:n v="7250"/>
    <x:n v="21750"/>
    <x:n v="6750"/>
    <x:x v="7"/>
    <x:s v="Ankara"/>
  </x:r>
  <x:r>
    <x:m/>
    <x:x v="0"/>
    <x:x v="6"/>
    <x:x v="1"/>
    <x:n v="7250"/>
    <x:n v="21750"/>
    <x:n v="6750"/>
    <x:x v="7"/>
    <x:s v="Mersin"/>
  </x:r>
  <x:r>
    <x:m/>
    <x:x v="8"/>
    <x:x v="6"/>
    <x:x v="1"/>
    <x:n v="7250"/>
    <x:n v="21750"/>
    <x:n v="6750"/>
    <x:x v="7"/>
    <x:s v="İstanbul"/>
  </x:r>
  <x:r>
    <x:m/>
    <x:x v="5"/>
    <x:x v="3"/>
    <x:x v="2"/>
    <x:n v="1350"/>
    <x:n v="1350"/>
    <x:n v="550"/>
    <x:x v="7"/>
    <x:s v="Hatay"/>
  </x:r>
  <x:r>
    <x:m/>
    <x:x v="1"/>
    <x:x v="6"/>
    <x:x v="0"/>
    <x:n v="7250"/>
    <x:n v="14500"/>
    <x:n v="4500"/>
    <x:x v="7"/>
    <x:s v="Diyarbakır"/>
  </x:r>
  <x:r>
    <x:m/>
    <x:x v="6"/>
    <x:x v="5"/>
    <x:x v="2"/>
    <x:n v="7600"/>
    <x:n v="7600"/>
    <x:n v="1600"/>
    <x:x v="7"/>
    <x:s v="İstanbul"/>
  </x:r>
  <x:r>
    <x:m/>
    <x:x v="11"/>
    <x:x v="5"/>
    <x:x v="1"/>
    <x:n v="7600"/>
    <x:n v="22800"/>
    <x:n v="4800"/>
    <x:x v="7"/>
    <x:s v="Gaziantep"/>
  </x:r>
  <x:r>
    <x:m/>
    <x:x v="1"/>
    <x:x v="14"/>
    <x:x v="1"/>
    <x:n v="1490"/>
    <x:n v="4470"/>
    <x:n v="2070"/>
    <x:x v="7"/>
    <x:s v="Şanlıurfa"/>
  </x:r>
  <x:r>
    <x:m/>
    <x:x v="5"/>
    <x:x v="17"/>
    <x:x v="0"/>
    <x:n v="2900"/>
    <x:n v="5800"/>
    <x:n v="1800"/>
    <x:x v="7"/>
    <x:s v="Kocaeli"/>
  </x:r>
  <x:r>
    <x:m/>
    <x:x v="9"/>
    <x:x v="14"/>
    <x:x v="2"/>
    <x:n v="1490"/>
    <x:n v="1490"/>
    <x:n v="690"/>
    <x:x v="7"/>
    <x:s v="Konya"/>
  </x:r>
  <x:r>
    <x:m/>
    <x:x v="9"/>
    <x:x v="11"/>
    <x:x v="0"/>
    <x:n v="1090"/>
    <x:n v="2180"/>
    <x:n v="580"/>
    <x:x v="7"/>
    <x:s v="Diyarbakır"/>
  </x:r>
  <x:r>
    <x:m/>
    <x:x v="5"/>
    <x:x v="9"/>
    <x:x v="0"/>
    <x:n v="1200"/>
    <x:n v="2400"/>
    <x:n v="800"/>
    <x:x v="7"/>
    <x:s v="Bursa"/>
  </x:r>
  <x:r>
    <x:m/>
    <x:x v="8"/>
    <x:x v="13"/>
    <x:x v="0"/>
    <x:n v="10590"/>
    <x:n v="21180"/>
    <x:n v="9180"/>
    <x:x v="7"/>
    <x:s v="İzmir"/>
  </x:r>
  <x:r>
    <x:m/>
    <x:x v="6"/>
    <x:x v="15"/>
    <x:x v="1"/>
    <x:n v="4200"/>
    <x:n v="12600"/>
    <x:n v="3600"/>
    <x:x v="7"/>
    <x:s v="İstanbul"/>
  </x:r>
  <x:r>
    <x:m/>
    <x:x v="3"/>
    <x:x v="15"/>
    <x:x v="1"/>
    <x:n v="4200"/>
    <x:n v="12600"/>
    <x:n v="3600"/>
    <x:x v="7"/>
    <x:s v="Şanlıurfa"/>
  </x:r>
  <x:r>
    <x:m/>
    <x:x v="7"/>
    <x:x v="13"/>
    <x:x v="0"/>
    <x:n v="10590"/>
    <x:n v="21180"/>
    <x:n v="9180"/>
    <x:x v="7"/>
    <x:s v="Mersin"/>
  </x:r>
  <x:r>
    <x:m/>
    <x:x v="11"/>
    <x:x v="18"/>
    <x:x v="2"/>
    <x:n v="1250"/>
    <x:n v="1250"/>
    <x:n v="450"/>
    <x:x v="7"/>
    <x:s v="Bursa"/>
  </x:r>
  <x:r>
    <x:m/>
    <x:x v="0"/>
    <x:x v="14"/>
    <x:x v="1"/>
    <x:n v="1490"/>
    <x:n v="4470"/>
    <x:n v="2070"/>
    <x:x v="7"/>
    <x:s v="Şanlıurfa"/>
  </x:r>
  <x:r>
    <x:m/>
    <x:x v="6"/>
    <x:x v="9"/>
    <x:x v="0"/>
    <x:n v="1200"/>
    <x:n v="2400"/>
    <x:n v="800"/>
    <x:x v="7"/>
    <x:s v="Diyarbakır"/>
  </x:r>
  <x:r>
    <x:m/>
    <x:x v="2"/>
    <x:x v="4"/>
    <x:x v="1"/>
    <x:n v="2180"/>
    <x:n v="6540"/>
    <x:n v="2040"/>
    <x:x v="7"/>
    <x:s v="Hatay"/>
  </x:r>
  <x:r>
    <x:m/>
    <x:x v="9"/>
    <x:x v="19"/>
    <x:x v="1"/>
    <x:n v="1200"/>
    <x:n v="3600"/>
    <x:n v="1200"/>
    <x:x v="7"/>
    <x:s v="İstanbul"/>
  </x:r>
  <x:r>
    <x:m/>
    <x:x v="0"/>
    <x:x v="10"/>
    <x:x v="2"/>
    <x:n v="1800"/>
    <x:n v="1800"/>
    <x:n v="1000"/>
    <x:x v="7"/>
    <x:s v="Antalya"/>
  </x:r>
  <x:r>
    <x:m/>
    <x:x v="2"/>
    <x:x v="5"/>
    <x:x v="2"/>
    <x:n v="7600"/>
    <x:n v="7600"/>
    <x:n v="1600"/>
    <x:x v="7"/>
    <x:s v="İzmir"/>
  </x:r>
  <x:r>
    <x:m/>
    <x:x v="7"/>
    <x:x v="20"/>
    <x:x v="2"/>
    <x:n v="7530"/>
    <x:n v="7530"/>
    <x:n v="1530"/>
    <x:x v="7"/>
    <x:s v="Mersin"/>
  </x:r>
  <x:r>
    <x:m/>
    <x:x v="11"/>
    <x:x v="14"/>
    <x:x v="0"/>
    <x:n v="1490"/>
    <x:n v="2980"/>
    <x:n v="1380"/>
    <x:x v="7"/>
    <x:s v="Konya"/>
  </x:r>
  <x:r>
    <x:m/>
    <x:x v="0"/>
    <x:x v="21"/>
    <x:x v="2"/>
    <x:n v="5300"/>
    <x:n v="5300"/>
    <x:n v="1300"/>
    <x:x v="7"/>
    <x:s v="İzmir"/>
  </x:r>
  <x:r>
    <x:m/>
    <x:x v="4"/>
    <x:x v="9"/>
    <x:x v="0"/>
    <x:n v="1200"/>
    <x:n v="2400"/>
    <x:n v="800"/>
    <x:x v="7"/>
    <x:s v="Diyarbakır"/>
  </x:r>
  <x:r>
    <x:m/>
    <x:x v="9"/>
    <x:x v="11"/>
    <x:x v="2"/>
    <x:n v="1090"/>
    <x:n v="1090"/>
    <x:n v="290"/>
    <x:x v="7"/>
    <x:s v="Mersin"/>
  </x:r>
  <x:r>
    <x:m/>
    <x:x v="4"/>
    <x:x v="6"/>
    <x:x v="2"/>
    <x:n v="7250"/>
    <x:n v="7250"/>
    <x:n v="2250"/>
    <x:x v="7"/>
    <x:s v="Gaziantep"/>
  </x:r>
  <x:r>
    <x:m/>
    <x:x v="10"/>
    <x:x v="1"/>
    <x:x v="1"/>
    <x:n v="1400"/>
    <x:n v="4200"/>
    <x:n v="1800"/>
    <x:x v="7"/>
    <x:s v="Adana"/>
  </x:r>
  <x:r>
    <x:m/>
    <x:x v="2"/>
    <x:x v="22"/>
    <x:x v="2"/>
    <x:n v="1500"/>
    <x:n v="1500"/>
    <x:n v="700"/>
    <x:x v="7"/>
    <x:s v="Şanlıurfa"/>
  </x:r>
  <x:r>
    <x:m/>
    <x:x v="7"/>
    <x:x v="3"/>
    <x:x v="2"/>
    <x:n v="1350"/>
    <x:n v="1350"/>
    <x:n v="550"/>
    <x:x v="7"/>
    <x:s v="Kocaeli"/>
  </x:r>
  <x:r>
    <x:m/>
    <x:x v="7"/>
    <x:x v="9"/>
    <x:x v="1"/>
    <x:n v="1200"/>
    <x:n v="3600"/>
    <x:n v="1200"/>
    <x:x v="7"/>
    <x:s v="Gaziantep"/>
  </x:r>
  <x:r>
    <x:m/>
    <x:x v="1"/>
    <x:x v="20"/>
    <x:x v="1"/>
    <x:n v="7530"/>
    <x:n v="22590"/>
    <x:n v="4590"/>
    <x:x v="7"/>
    <x:s v="Adana"/>
  </x:r>
  <x:r>
    <x:m/>
    <x:x v="10"/>
    <x:x v="9"/>
    <x:x v="2"/>
    <x:n v="1200"/>
    <x:n v="1200"/>
    <x:n v="400"/>
    <x:x v="7"/>
    <x:s v="İstanbul"/>
  </x:r>
  <x:r>
    <x:m/>
    <x:x v="8"/>
    <x:x v="10"/>
    <x:x v="1"/>
    <x:n v="1800"/>
    <x:n v="5400"/>
    <x:n v="3000"/>
    <x:x v="7"/>
    <x:s v="İstanbul"/>
  </x:r>
  <x:r>
    <x:m/>
    <x:x v="0"/>
    <x:x v="6"/>
    <x:x v="2"/>
    <x:n v="7250"/>
    <x:n v="7250"/>
    <x:n v="2250"/>
    <x:x v="8"/>
    <x:s v="Bursa"/>
  </x:r>
  <x:r>
    <x:m/>
    <x:x v="9"/>
    <x:x v="14"/>
    <x:x v="1"/>
    <x:n v="1490"/>
    <x:n v="4470"/>
    <x:n v="2070"/>
    <x:x v="8"/>
    <x:s v="İzmir"/>
  </x:r>
  <x:r>
    <x:m/>
    <x:x v="9"/>
    <x:x v="19"/>
    <x:x v="2"/>
    <x:n v="1200"/>
    <x:n v="1200"/>
    <x:n v="400"/>
    <x:x v="8"/>
    <x:s v="Diyarbakır"/>
  </x:r>
  <x:r>
    <x:m/>
    <x:x v="1"/>
    <x:x v="12"/>
    <x:x v="2"/>
    <x:n v="8000"/>
    <x:n v="8000"/>
    <x:n v="2000"/>
    <x:x v="8"/>
    <x:s v="İstanbul"/>
  </x:r>
  <x:r>
    <x:m/>
    <x:x v="6"/>
    <x:x v="1"/>
    <x:x v="2"/>
    <x:n v="1400"/>
    <x:n v="1400"/>
    <x:n v="600"/>
    <x:x v="8"/>
    <x:s v="Adana"/>
  </x:r>
  <x:r>
    <x:m/>
    <x:x v="5"/>
    <x:x v="3"/>
    <x:x v="2"/>
    <x:n v="1350"/>
    <x:n v="1350"/>
    <x:n v="550"/>
    <x:x v="8"/>
    <x:s v="Mersin"/>
  </x:r>
  <x:r>
    <x:m/>
    <x:x v="8"/>
    <x:x v="19"/>
    <x:x v="2"/>
    <x:n v="1200"/>
    <x:n v="1200"/>
    <x:n v="400"/>
    <x:x v="8"/>
    <x:s v="Adana"/>
  </x:r>
  <x:r>
    <x:m/>
    <x:x v="6"/>
    <x:x v="21"/>
    <x:x v="2"/>
    <x:n v="5300"/>
    <x:n v="5300"/>
    <x:n v="1300"/>
    <x:x v="8"/>
    <x:s v="Bursa"/>
  </x:r>
  <x:r>
    <x:m/>
    <x:x v="9"/>
    <x:x v="13"/>
    <x:x v="1"/>
    <x:n v="10590"/>
    <x:n v="31770"/>
    <x:n v="13770"/>
    <x:x v="8"/>
    <x:s v="Mersin"/>
  </x:r>
  <x:r>
    <x:m/>
    <x:x v="4"/>
    <x:x v="18"/>
    <x:x v="2"/>
    <x:n v="1250"/>
    <x:n v="1250"/>
    <x:n v="450"/>
    <x:x v="8"/>
    <x:s v="Diyarbakır"/>
  </x:r>
  <x:r>
    <x:m/>
    <x:x v="11"/>
    <x:x v="19"/>
    <x:x v="2"/>
    <x:n v="1200"/>
    <x:n v="1200"/>
    <x:n v="400"/>
    <x:x v="8"/>
    <x:s v="Kocaeli"/>
  </x:r>
  <x:r>
    <x:m/>
    <x:x v="4"/>
    <x:x v="1"/>
    <x:x v="1"/>
    <x:n v="1400"/>
    <x:n v="4200"/>
    <x:n v="1800"/>
    <x:x v="8"/>
    <x:s v="Hatay"/>
  </x:r>
  <x:r>
    <x:m/>
    <x:x v="11"/>
    <x:x v="20"/>
    <x:x v="0"/>
    <x:n v="7530"/>
    <x:n v="15060"/>
    <x:n v="3060"/>
    <x:x v="8"/>
    <x:s v="Mersin"/>
  </x:r>
  <x:r>
    <x:m/>
    <x:x v="6"/>
    <x:x v="5"/>
    <x:x v="2"/>
    <x:n v="7600"/>
    <x:n v="7600"/>
    <x:n v="1600"/>
    <x:x v="8"/>
    <x:s v="Gaziantep"/>
  </x:r>
  <x:r>
    <x:m/>
    <x:x v="11"/>
    <x:x v="22"/>
    <x:x v="2"/>
    <x:n v="1500"/>
    <x:n v="1500"/>
    <x:n v="700"/>
    <x:x v="8"/>
    <x:s v="Konya"/>
  </x:r>
  <x:r>
    <x:m/>
    <x:x v="9"/>
    <x:x v="17"/>
    <x:x v="0"/>
    <x:n v="2180"/>
    <x:n v="4360"/>
    <x:n v="1360"/>
    <x:x v="8"/>
    <x:s v="Hatay"/>
  </x:r>
  <x:r>
    <x:m/>
    <x:x v="3"/>
    <x:x v="4"/>
    <x:x v="2"/>
    <x:n v="2180"/>
    <x:n v="2180"/>
    <x:n v="680"/>
    <x:x v="8"/>
    <x:s v="Mersin"/>
  </x:r>
  <x:r>
    <x:m/>
    <x:x v="9"/>
    <x:x v="16"/>
    <x:x v="2"/>
    <x:n v="5775"/>
    <x:n v="5775"/>
    <x:n v="1775"/>
    <x:x v="8"/>
    <x:s v="Gaziantep"/>
  </x:r>
  <x:r>
    <x:m/>
    <x:x v="9"/>
    <x:x v="7"/>
    <x:x v="1"/>
    <x:n v="1100"/>
    <x:n v="3300"/>
    <x:n v="900"/>
    <x:x v="8"/>
    <x:s v="Diyarbakır"/>
  </x:r>
  <x:r>
    <x:m/>
    <x:x v="10"/>
    <x:x v="16"/>
    <x:x v="2"/>
    <x:n v="5775"/>
    <x:n v="5775"/>
    <x:n v="1775"/>
    <x:x v="8"/>
    <x:s v="Bursa"/>
  </x:r>
  <x:r>
    <x:m/>
    <x:x v="7"/>
    <x:x v="3"/>
    <x:x v="2"/>
    <x:n v="1350"/>
    <x:n v="1350"/>
    <x:n v="550"/>
    <x:x v="8"/>
    <x:s v="Adana"/>
  </x:r>
  <x:r>
    <x:m/>
    <x:x v="0"/>
    <x:x v="5"/>
    <x:x v="1"/>
    <x:n v="7600"/>
    <x:n v="22800"/>
    <x:n v="4800"/>
    <x:x v="8"/>
    <x:s v="İstanbul"/>
  </x:r>
  <x:r>
    <x:m/>
    <x:x v="2"/>
    <x:x v="6"/>
    <x:x v="1"/>
    <x:n v="7250"/>
    <x:n v="21750"/>
    <x:n v="6750"/>
    <x:x v="8"/>
    <x:s v="İzmir"/>
  </x:r>
  <x:r>
    <x:m/>
    <x:x v="11"/>
    <x:x v="14"/>
    <x:x v="0"/>
    <x:n v="1490"/>
    <x:n v="2980"/>
    <x:n v="1380"/>
    <x:x v="8"/>
    <x:s v="Ankara"/>
  </x:r>
  <x:r>
    <x:m/>
    <x:x v="3"/>
    <x:x v="14"/>
    <x:x v="0"/>
    <x:n v="1490"/>
    <x:n v="2980"/>
    <x:n v="1380"/>
    <x:x v="8"/>
    <x:s v="Kocaeli"/>
  </x:r>
  <x:r>
    <x:m/>
    <x:x v="8"/>
    <x:x v="11"/>
    <x:x v="0"/>
    <x:n v="1090"/>
    <x:n v="2180"/>
    <x:n v="580"/>
    <x:x v="8"/>
    <x:s v="İzmir"/>
  </x:r>
  <x:r>
    <x:m/>
    <x:x v="8"/>
    <x:x v="9"/>
    <x:x v="1"/>
    <x:n v="1200"/>
    <x:n v="3600"/>
    <x:n v="1200"/>
    <x:x v="8"/>
    <x:s v="Mersin"/>
  </x:r>
  <x:r>
    <x:m/>
    <x:x v="11"/>
    <x:x v="11"/>
    <x:x v="0"/>
    <x:n v="1090"/>
    <x:n v="2180"/>
    <x:n v="580"/>
    <x:x v="8"/>
    <x:s v="Şanlıurfa"/>
  </x:r>
  <x:r>
    <x:m/>
    <x:x v="11"/>
    <x:x v="4"/>
    <x:x v="1"/>
    <x:n v="2180"/>
    <x:n v="6540"/>
    <x:n v="2040"/>
    <x:x v="8"/>
    <x:s v="Kocaeli"/>
  </x:r>
  <x:r>
    <x:m/>
    <x:x v="2"/>
    <x:x v="21"/>
    <x:x v="1"/>
    <x:n v="5300"/>
    <x:n v="15900"/>
    <x:n v="3900"/>
    <x:x v="8"/>
    <x:s v="İzmir"/>
  </x:r>
  <x:r>
    <x:m/>
    <x:x v="11"/>
    <x:x v="21"/>
    <x:x v="0"/>
    <x:n v="5300"/>
    <x:n v="10600"/>
    <x:n v="2600"/>
    <x:x v="8"/>
    <x:s v="Diyarbakır"/>
  </x:r>
  <x:r>
    <x:m/>
    <x:x v="5"/>
    <x:x v="6"/>
    <x:x v="0"/>
    <x:n v="7250"/>
    <x:n v="14500"/>
    <x:n v="4500"/>
    <x:x v="8"/>
    <x:s v="Kocaeli"/>
  </x:r>
  <x:r>
    <x:m/>
    <x:x v="5"/>
    <x:x v="19"/>
    <x:x v="1"/>
    <x:n v="1200"/>
    <x:n v="3600"/>
    <x:n v="1200"/>
    <x:x v="8"/>
    <x:s v="Kocaeli"/>
  </x:r>
  <x:r>
    <x:m/>
    <x:x v="3"/>
    <x:x v="0"/>
    <x:x v="2"/>
    <x:n v="6000"/>
    <x:n v="6000"/>
    <x:n v="2000"/>
    <x:x v="8"/>
    <x:s v="Bursa"/>
  </x:r>
  <x:r>
    <x:m/>
    <x:x v="2"/>
    <x:x v="2"/>
    <x:x v="1"/>
    <x:n v="8450"/>
    <x:n v="25350"/>
    <x:n v="7350"/>
    <x:x v="8"/>
    <x:s v="Hatay"/>
  </x:r>
  <x:r>
    <x:m/>
    <x:x v="6"/>
    <x:x v="15"/>
    <x:x v="2"/>
    <x:n v="4200"/>
    <x:n v="4200"/>
    <x:n v="1200"/>
    <x:x v="8"/>
    <x:s v="Ankara"/>
  </x:r>
  <x:r>
    <x:m/>
    <x:x v="6"/>
    <x:x v="13"/>
    <x:x v="1"/>
    <x:n v="10590"/>
    <x:n v="31770"/>
    <x:n v="13770"/>
    <x:x v="8"/>
    <x:s v="Kocaeli"/>
  </x:r>
  <x:r>
    <x:m/>
    <x:x v="5"/>
    <x:x v="19"/>
    <x:x v="2"/>
    <x:n v="1200"/>
    <x:n v="1200"/>
    <x:n v="400"/>
    <x:x v="8"/>
    <x:s v="Hatay"/>
  </x:r>
  <x:r>
    <x:m/>
    <x:x v="10"/>
    <x:x v="7"/>
    <x:x v="0"/>
    <x:n v="1100"/>
    <x:n v="2200"/>
    <x:n v="600"/>
    <x:x v="8"/>
    <x:s v="Adana"/>
  </x:r>
  <x:r>
    <x:m/>
    <x:x v="9"/>
    <x:x v="23"/>
    <x:x v="0"/>
    <x:n v="3700"/>
    <x:n v="7400"/>
    <x:n v="1400"/>
    <x:x v="8"/>
    <x:s v="Gaziantep"/>
  </x:r>
  <x:r>
    <x:m/>
    <x:x v="1"/>
    <x:x v="23"/>
    <x:x v="2"/>
    <x:n v="3700"/>
    <x:n v="3700"/>
    <x:n v="700"/>
    <x:x v="8"/>
    <x:s v="Konya"/>
  </x:r>
  <x:r>
    <x:m/>
    <x:x v="6"/>
    <x:x v="7"/>
    <x:x v="1"/>
    <x:n v="1100"/>
    <x:n v="3300"/>
    <x:n v="900"/>
    <x:x v="8"/>
    <x:s v="Diyarbakır"/>
  </x:r>
  <x:r>
    <x:m/>
    <x:x v="5"/>
    <x:x v="23"/>
    <x:x v="2"/>
    <x:n v="3700"/>
    <x:n v="3700"/>
    <x:n v="700"/>
    <x:x v="8"/>
    <x:s v="İzmir"/>
  </x:r>
  <x:r>
    <x:m/>
    <x:x v="10"/>
    <x:x v="14"/>
    <x:x v="2"/>
    <x:n v="1490"/>
    <x:n v="1490"/>
    <x:n v="690"/>
    <x:x v="8"/>
    <x:s v="Konya"/>
  </x:r>
  <x:r>
    <x:m/>
    <x:x v="9"/>
    <x:x v="22"/>
    <x:x v="2"/>
    <x:n v="1500"/>
    <x:n v="1500"/>
    <x:n v="700"/>
    <x:x v="8"/>
    <x:s v="İstanbul"/>
  </x:r>
  <x:r>
    <x:m/>
    <x:x v="8"/>
    <x:x v="11"/>
    <x:x v="0"/>
    <x:n v="1090"/>
    <x:n v="2180"/>
    <x:n v="580"/>
    <x:x v="8"/>
    <x:s v="İzmir"/>
  </x:r>
  <x:r>
    <x:m/>
    <x:x v="10"/>
    <x:x v="10"/>
    <x:x v="1"/>
    <x:n v="1800"/>
    <x:n v="5400"/>
    <x:n v="3000"/>
    <x:x v="8"/>
    <x:s v="Antalya"/>
  </x:r>
  <x:r>
    <x:m/>
    <x:x v="7"/>
    <x:x v="20"/>
    <x:x v="0"/>
    <x:n v="7530"/>
    <x:n v="15060"/>
    <x:n v="3060"/>
    <x:x v="8"/>
    <x:s v="Konya"/>
  </x:r>
  <x:r>
    <x:m/>
    <x:x v="6"/>
    <x:x v="7"/>
    <x:x v="1"/>
    <x:n v="1100"/>
    <x:n v="3300"/>
    <x:n v="900"/>
    <x:x v="8"/>
    <x:s v="Hatay"/>
  </x:r>
  <x:r>
    <x:m/>
    <x:x v="9"/>
    <x:x v="3"/>
    <x:x v="1"/>
    <x:n v="1350"/>
    <x:n v="4050"/>
    <x:n v="1650"/>
    <x:x v="8"/>
    <x:s v="Adana"/>
  </x:r>
  <x:r>
    <x:m/>
    <x:x v="8"/>
    <x:x v="3"/>
    <x:x v="2"/>
    <x:n v="1350"/>
    <x:n v="1350"/>
    <x:n v="550"/>
    <x:x v="8"/>
    <x:s v="Şanlıurfa"/>
  </x:r>
  <x:r>
    <x:m/>
    <x:x v="7"/>
    <x:x v="11"/>
    <x:x v="0"/>
    <x:n v="1090"/>
    <x:n v="2180"/>
    <x:n v="580"/>
    <x:x v="8"/>
    <x:s v="Bursa"/>
  </x:r>
  <x:r>
    <x:m/>
    <x:x v="7"/>
    <x:x v="15"/>
    <x:x v="2"/>
    <x:n v="4200"/>
    <x:n v="4200"/>
    <x:n v="1200"/>
    <x:x v="8"/>
    <x:s v="Gaziantep"/>
  </x:r>
  <x:r>
    <x:m/>
    <x:x v="9"/>
    <x:x v="10"/>
    <x:x v="0"/>
    <x:n v="1800"/>
    <x:n v="3600"/>
    <x:n v="2000"/>
    <x:x v="8"/>
    <x:s v="Mersin"/>
  </x:r>
  <x:r>
    <x:m/>
    <x:x v="11"/>
    <x:x v="11"/>
    <x:x v="2"/>
    <x:n v="1090"/>
    <x:n v="1090"/>
    <x:n v="290"/>
    <x:x v="8"/>
    <x:s v="İstanbul"/>
  </x:r>
  <x:r>
    <x:m/>
    <x:x v="0"/>
    <x:x v="5"/>
    <x:x v="2"/>
    <x:n v="7600"/>
    <x:n v="7600"/>
    <x:n v="1600"/>
    <x:x v="8"/>
    <x:s v="Bursa"/>
  </x:r>
  <x:r>
    <x:m/>
    <x:x v="8"/>
    <x:x v="5"/>
    <x:x v="1"/>
    <x:n v="7600"/>
    <x:n v="22800"/>
    <x:n v="4800"/>
    <x:x v="8"/>
    <x:s v="Adana"/>
  </x:r>
  <x:r>
    <x:m/>
    <x:x v="2"/>
    <x:x v="23"/>
    <x:x v="2"/>
    <x:n v="3700"/>
    <x:n v="3700"/>
    <x:n v="700"/>
    <x:x v="8"/>
    <x:s v="Bursa"/>
  </x:r>
  <x:r>
    <x:m/>
    <x:x v="4"/>
    <x:x v="6"/>
    <x:x v="1"/>
    <x:n v="7250"/>
    <x:n v="21750"/>
    <x:n v="6750"/>
    <x:x v="8"/>
    <x:s v="Konya"/>
  </x:r>
  <x:r>
    <x:m/>
    <x:x v="1"/>
    <x:x v="5"/>
    <x:x v="1"/>
    <x:n v="7600"/>
    <x:n v="22800"/>
    <x:n v="4800"/>
    <x:x v="8"/>
    <x:s v="Adana"/>
  </x:r>
  <x:r>
    <x:m/>
    <x:x v="10"/>
    <x:x v="15"/>
    <x:x v="2"/>
    <x:n v="4200"/>
    <x:n v="4200"/>
    <x:n v="1200"/>
    <x:x v="8"/>
    <x:s v="Antalya"/>
  </x:r>
  <x:r>
    <x:m/>
    <x:x v="6"/>
    <x:x v="18"/>
    <x:x v="1"/>
    <x:n v="1250"/>
    <x:n v="3750"/>
    <x:n v="1350"/>
    <x:x v="8"/>
    <x:s v="Kocaeli"/>
  </x:r>
  <x:r>
    <x:m/>
    <x:x v="8"/>
    <x:x v="11"/>
    <x:x v="2"/>
    <x:n v="1090"/>
    <x:n v="1090"/>
    <x:n v="290"/>
    <x:x v="8"/>
    <x:s v="Antalya"/>
  </x:r>
  <x:r>
    <x:m/>
    <x:x v="3"/>
    <x:x v="4"/>
    <x:x v="2"/>
    <x:n v="2180"/>
    <x:n v="2180"/>
    <x:n v="680"/>
    <x:x v="8"/>
    <x:s v="Mersin"/>
  </x:r>
  <x:r>
    <x:m/>
    <x:x v="11"/>
    <x:x v="23"/>
    <x:x v="0"/>
    <x:n v="3700"/>
    <x:n v="7400"/>
    <x:n v="1400"/>
    <x:x v="8"/>
    <x:s v="İstanbul"/>
  </x:r>
  <x:r>
    <x:m/>
    <x:x v="9"/>
    <x:x v="0"/>
    <x:x v="0"/>
    <x:n v="6000"/>
    <x:n v="12000"/>
    <x:n v="4000"/>
    <x:x v="8"/>
    <x:s v="Diyarbakır"/>
  </x:r>
  <x:r>
    <x:m/>
    <x:x v="10"/>
    <x:x v="18"/>
    <x:x v="0"/>
    <x:n v="1250"/>
    <x:n v="2500"/>
    <x:n v="900"/>
    <x:x v="8"/>
    <x:s v="Antalya"/>
  </x:r>
  <x:r>
    <x:m/>
    <x:x v="11"/>
    <x:x v="5"/>
    <x:x v="2"/>
    <x:n v="7600"/>
    <x:n v="7600"/>
    <x:n v="1600"/>
    <x:x v="8"/>
    <x:s v="Diyarbakır"/>
  </x:r>
  <x:r>
    <x:m/>
    <x:x v="0"/>
    <x:x v="1"/>
    <x:x v="0"/>
    <x:n v="1400"/>
    <x:n v="2800"/>
    <x:n v="1200"/>
    <x:x v="8"/>
    <x:s v="Mersin"/>
  </x:r>
  <x:r>
    <x:m/>
    <x:x v="4"/>
    <x:x v="4"/>
    <x:x v="0"/>
    <x:n v="2180"/>
    <x:n v="4360"/>
    <x:n v="1360"/>
    <x:x v="8"/>
    <x:s v="Gaziantep"/>
  </x:r>
  <x:r>
    <x:m/>
    <x:x v="0"/>
    <x:x v="10"/>
    <x:x v="1"/>
    <x:n v="1800"/>
    <x:n v="5400"/>
    <x:n v="3000"/>
    <x:x v="8"/>
    <x:s v="Konya"/>
  </x:r>
  <x:r>
    <x:m/>
    <x:x v="2"/>
    <x:x v="22"/>
    <x:x v="2"/>
    <x:n v="1500"/>
    <x:n v="1500"/>
    <x:n v="700"/>
    <x:x v="8"/>
    <x:s v="Ankara"/>
  </x:r>
  <x:r>
    <x:m/>
    <x:x v="6"/>
    <x:x v="2"/>
    <x:x v="1"/>
    <x:n v="8450"/>
    <x:n v="25350"/>
    <x:n v="7350"/>
    <x:x v="8"/>
    <x:s v="İstanbul"/>
  </x:r>
  <x:r>
    <x:m/>
    <x:x v="9"/>
    <x:x v="22"/>
    <x:x v="1"/>
    <x:n v="1500"/>
    <x:n v="4500"/>
    <x:n v="2100"/>
    <x:x v="8"/>
    <x:s v="Konya"/>
  </x:r>
  <x:r>
    <x:m/>
    <x:x v="5"/>
    <x:x v="0"/>
    <x:x v="1"/>
    <x:n v="6000"/>
    <x:n v="18000"/>
    <x:n v="6000"/>
    <x:x v="8"/>
    <x:s v="Şanlıurfa"/>
  </x:r>
  <x:r>
    <x:m/>
    <x:x v="11"/>
    <x:x v="19"/>
    <x:x v="2"/>
    <x:n v="1200"/>
    <x:n v="1200"/>
    <x:n v="400"/>
    <x:x v="8"/>
    <x:s v="Antalya"/>
  </x:r>
  <x:r>
    <x:m/>
    <x:x v="0"/>
    <x:x v="15"/>
    <x:x v="1"/>
    <x:n v="4200"/>
    <x:n v="12600"/>
    <x:n v="3600"/>
    <x:x v="8"/>
    <x:s v="Ankara"/>
  </x:r>
  <x:r>
    <x:m/>
    <x:x v="10"/>
    <x:x v="5"/>
    <x:x v="1"/>
    <x:n v="7600"/>
    <x:n v="22800"/>
    <x:n v="4800"/>
    <x:x v="8"/>
    <x:s v="Gaziantep"/>
  </x:r>
  <x:r>
    <x:m/>
    <x:x v="5"/>
    <x:x v="6"/>
    <x:x v="0"/>
    <x:n v="7250"/>
    <x:n v="14500"/>
    <x:n v="4500"/>
    <x:x v="8"/>
    <x:s v="Bursa"/>
  </x:r>
  <x:r>
    <x:m/>
    <x:x v="1"/>
    <x:x v="20"/>
    <x:x v="0"/>
    <x:n v="7530"/>
    <x:n v="15060"/>
    <x:n v="3060"/>
    <x:x v="8"/>
    <x:s v="Bursa"/>
  </x:r>
  <x:r>
    <x:m/>
    <x:x v="2"/>
    <x:x v="6"/>
    <x:x v="0"/>
    <x:n v="7250"/>
    <x:n v="14500"/>
    <x:n v="4500"/>
    <x:x v="8"/>
    <x:s v="Şanlıurfa"/>
  </x:r>
  <x:r>
    <x:m/>
    <x:x v="1"/>
    <x:x v="0"/>
    <x:x v="2"/>
    <x:n v="6000"/>
    <x:n v="6000"/>
    <x:n v="2000"/>
    <x:x v="8"/>
    <x:s v="Şanlıurfa"/>
  </x:r>
  <x:r>
    <x:m/>
    <x:x v="5"/>
    <x:x v="19"/>
    <x:x v="1"/>
    <x:n v="1200"/>
    <x:n v="3600"/>
    <x:n v="1200"/>
    <x:x v="8"/>
    <x:s v="Gaziantep"/>
  </x:r>
  <x:r>
    <x:m/>
    <x:x v="11"/>
    <x:x v="21"/>
    <x:x v="0"/>
    <x:n v="5300"/>
    <x:n v="10600"/>
    <x:n v="2600"/>
    <x:x v="8"/>
    <x:s v="Gaziantep"/>
  </x:r>
  <x:r>
    <x:m/>
    <x:x v="8"/>
    <x:x v="2"/>
    <x:x v="0"/>
    <x:n v="8450"/>
    <x:n v="16900"/>
    <x:n v="4900"/>
    <x:x v="8"/>
    <x:s v="Ankara"/>
  </x:r>
  <x:r>
    <x:m/>
    <x:x v="4"/>
    <x:x v="3"/>
    <x:x v="2"/>
    <x:n v="1350"/>
    <x:n v="1350"/>
    <x:n v="550"/>
    <x:x v="8"/>
    <x:s v="Hatay"/>
  </x:r>
  <x:r>
    <x:m/>
    <x:x v="6"/>
    <x:x v="11"/>
    <x:x v="2"/>
    <x:n v="1090"/>
    <x:n v="1090"/>
    <x:n v="290"/>
    <x:x v="8"/>
    <x:s v="Hatay"/>
  </x:r>
  <x:r>
    <x:m/>
    <x:x v="4"/>
    <x:x v="4"/>
    <x:x v="2"/>
    <x:n v="2180"/>
    <x:n v="2180"/>
    <x:n v="680"/>
    <x:x v="8"/>
    <x:s v="Antalya"/>
  </x:r>
  <x:r>
    <x:m/>
    <x:x v="1"/>
    <x:x v="23"/>
    <x:x v="2"/>
    <x:n v="3700"/>
    <x:n v="3700"/>
    <x:n v="700"/>
    <x:x v="8"/>
    <x:s v="İzmir"/>
  </x:r>
  <x:r>
    <x:m/>
    <x:x v="6"/>
    <x:x v="7"/>
    <x:x v="1"/>
    <x:n v="1100"/>
    <x:n v="3300"/>
    <x:n v="900"/>
    <x:x v="8"/>
    <x:s v="Adana"/>
  </x:r>
  <x:r>
    <x:m/>
    <x:x v="5"/>
    <x:x v="23"/>
    <x:x v="2"/>
    <x:n v="3700"/>
    <x:n v="3700"/>
    <x:n v="700"/>
    <x:x v="8"/>
    <x:s v="Adana"/>
  </x:r>
  <x:r>
    <x:m/>
    <x:x v="10"/>
    <x:x v="14"/>
    <x:x v="2"/>
    <x:n v="1490"/>
    <x:n v="1490"/>
    <x:n v="690"/>
    <x:x v="8"/>
    <x:s v="Şanlıurfa"/>
  </x:r>
  <x:r>
    <x:m/>
    <x:x v="9"/>
    <x:x v="22"/>
    <x:x v="2"/>
    <x:n v="1500"/>
    <x:n v="1500"/>
    <x:n v="700"/>
    <x:x v="8"/>
    <x:s v="Şanlıurfa"/>
  </x:r>
  <x:r>
    <x:m/>
    <x:x v="8"/>
    <x:x v="11"/>
    <x:x v="0"/>
    <x:n v="1090"/>
    <x:n v="2180"/>
    <x:n v="580"/>
    <x:x v="8"/>
    <x:s v="Antalya"/>
  </x:r>
  <x:r>
    <x:m/>
    <x:x v="10"/>
    <x:x v="10"/>
    <x:x v="1"/>
    <x:n v="1800"/>
    <x:n v="5400"/>
    <x:n v="3000"/>
    <x:x v="8"/>
    <x:s v="Mersin"/>
  </x:r>
  <x:r>
    <x:m/>
    <x:x v="7"/>
    <x:x v="20"/>
    <x:x v="0"/>
    <x:n v="7530"/>
    <x:n v="15060"/>
    <x:n v="3060"/>
    <x:x v="8"/>
    <x:s v="Gaziantep"/>
  </x:r>
  <x:r>
    <x:m/>
    <x:x v="6"/>
    <x:x v="7"/>
    <x:x v="1"/>
    <x:n v="1100"/>
    <x:n v="3300"/>
    <x:n v="900"/>
    <x:x v="8"/>
    <x:s v="Hatay"/>
  </x:r>
  <x:r>
    <x:m/>
    <x:x v="9"/>
    <x:x v="3"/>
    <x:x v="1"/>
    <x:n v="1350"/>
    <x:n v="4050"/>
    <x:n v="1650"/>
    <x:x v="8"/>
    <x:s v="İzmir"/>
  </x:r>
  <x:r>
    <x:m/>
    <x:x v="8"/>
    <x:x v="3"/>
    <x:x v="2"/>
    <x:n v="1350"/>
    <x:n v="1350"/>
    <x:n v="550"/>
    <x:x v="8"/>
    <x:s v="Hatay"/>
  </x:r>
  <x:r>
    <x:m/>
    <x:x v="7"/>
    <x:x v="11"/>
    <x:x v="0"/>
    <x:n v="1090"/>
    <x:n v="2180"/>
    <x:n v="580"/>
    <x:x v="8"/>
    <x:s v="Konya"/>
  </x:r>
  <x:r>
    <x:m/>
    <x:x v="7"/>
    <x:x v="15"/>
    <x:x v="2"/>
    <x:n v="4200"/>
    <x:n v="4200"/>
    <x:n v="1200"/>
    <x:x v="8"/>
    <x:s v="Ankara"/>
  </x:r>
  <x:r>
    <x:m/>
    <x:x v="9"/>
    <x:x v="10"/>
    <x:x v="0"/>
    <x:n v="1800"/>
    <x:n v="3600"/>
    <x:n v="2000"/>
    <x:x v="8"/>
    <x:s v="Antalya"/>
  </x:r>
  <x:r>
    <x:m/>
    <x:x v="11"/>
    <x:x v="11"/>
    <x:x v="2"/>
    <x:n v="1090"/>
    <x:n v="1090"/>
    <x:n v="290"/>
    <x:x v="8"/>
    <x:s v="Bursa"/>
  </x:r>
  <x:r>
    <x:m/>
    <x:x v="0"/>
    <x:x v="5"/>
    <x:x v="2"/>
    <x:n v="7600"/>
    <x:n v="7600"/>
    <x:n v="1600"/>
    <x:x v="8"/>
    <x:s v="Mersin"/>
  </x:r>
  <x:r>
    <x:m/>
    <x:x v="8"/>
    <x:x v="5"/>
    <x:x v="1"/>
    <x:n v="7600"/>
    <x:n v="22800"/>
    <x:n v="4800"/>
    <x:x v="8"/>
    <x:s v="Kocaeli"/>
  </x:r>
  <x:r>
    <x:m/>
    <x:x v="2"/>
    <x:x v="23"/>
    <x:x v="2"/>
    <x:n v="3700"/>
    <x:n v="3700"/>
    <x:n v="700"/>
    <x:x v="8"/>
    <x:s v="Ankara"/>
  </x:r>
  <x:r>
    <x:m/>
    <x:x v="4"/>
    <x:x v="6"/>
    <x:x v="1"/>
    <x:n v="7250"/>
    <x:n v="21750"/>
    <x:n v="6750"/>
    <x:x v="8"/>
    <x:s v="Diyarbakır"/>
  </x:r>
  <x:r>
    <x:m/>
    <x:x v="1"/>
    <x:x v="5"/>
    <x:x v="1"/>
    <x:n v="7600"/>
    <x:n v="22800"/>
    <x:n v="4800"/>
    <x:x v="8"/>
    <x:s v="Antalya"/>
  </x:r>
  <x:r>
    <x:m/>
    <x:x v="10"/>
    <x:x v="15"/>
    <x:x v="2"/>
    <x:n v="4200"/>
    <x:n v="4200"/>
    <x:n v="1200"/>
    <x:x v="8"/>
    <x:s v="Hatay"/>
  </x:r>
  <x:r>
    <x:m/>
    <x:x v="6"/>
    <x:x v="18"/>
    <x:x v="1"/>
    <x:n v="1250"/>
    <x:n v="3750"/>
    <x:n v="1350"/>
    <x:x v="8"/>
    <x:s v="Hatay"/>
  </x:r>
  <x:r>
    <x:m/>
    <x:x v="8"/>
    <x:x v="11"/>
    <x:x v="2"/>
    <x:n v="1090"/>
    <x:n v="1090"/>
    <x:n v="290"/>
    <x:x v="8"/>
    <x:s v="Hatay"/>
  </x:r>
  <x:r>
    <x:m/>
    <x:x v="3"/>
    <x:x v="4"/>
    <x:x v="2"/>
    <x:n v="2180"/>
    <x:n v="2180"/>
    <x:n v="680"/>
    <x:x v="8"/>
    <x:s v="Adana"/>
  </x:r>
  <x:r>
    <x:m/>
    <x:x v="11"/>
    <x:x v="23"/>
    <x:x v="0"/>
    <x:n v="3700"/>
    <x:n v="7400"/>
    <x:n v="1400"/>
    <x:x v="8"/>
    <x:s v="Ankara"/>
  </x:r>
  <x:r>
    <x:m/>
    <x:x v="9"/>
    <x:x v="0"/>
    <x:x v="0"/>
    <x:n v="6000"/>
    <x:n v="12000"/>
    <x:n v="4000"/>
    <x:x v="8"/>
    <x:s v="İzmir"/>
  </x:r>
  <x:r>
    <x:m/>
    <x:x v="10"/>
    <x:x v="18"/>
    <x:x v="0"/>
    <x:n v="1250"/>
    <x:n v="2500"/>
    <x:n v="900"/>
    <x:x v="8"/>
    <x:s v="Bursa"/>
  </x:r>
  <x:r>
    <x:m/>
    <x:x v="11"/>
    <x:x v="5"/>
    <x:x v="2"/>
    <x:n v="7600"/>
    <x:n v="7600"/>
    <x:n v="1600"/>
    <x:x v="8"/>
    <x:s v="İstanbul"/>
  </x:r>
  <x:r>
    <x:m/>
    <x:x v="0"/>
    <x:x v="1"/>
    <x:x v="0"/>
    <x:n v="1400"/>
    <x:n v="2800"/>
    <x:n v="1200"/>
    <x:x v="8"/>
    <x:s v="Ankara"/>
  </x:r>
  <x:r>
    <x:m/>
    <x:x v="4"/>
    <x:x v="4"/>
    <x:x v="0"/>
    <x:n v="2180"/>
    <x:n v="4360"/>
    <x:n v="1360"/>
    <x:x v="8"/>
    <x:s v="Diyarbakır"/>
  </x:r>
  <x:r>
    <x:m/>
    <x:x v="0"/>
    <x:x v="10"/>
    <x:x v="1"/>
    <x:n v="1800"/>
    <x:n v="5400"/>
    <x:n v="3000"/>
    <x:x v="8"/>
    <x:s v="Şanlıurfa"/>
  </x:r>
  <x:r>
    <x:m/>
    <x:x v="2"/>
    <x:x v="22"/>
    <x:x v="2"/>
    <x:n v="1500"/>
    <x:n v="1500"/>
    <x:n v="700"/>
    <x:x v="8"/>
    <x:s v="Ankara"/>
  </x:r>
  <x:r>
    <x:m/>
    <x:x v="6"/>
    <x:x v="2"/>
    <x:x v="1"/>
    <x:n v="8450"/>
    <x:n v="25350"/>
    <x:n v="7350"/>
    <x:x v="8"/>
    <x:s v="Diyarbakır"/>
  </x:r>
  <x:r>
    <x:m/>
    <x:x v="9"/>
    <x:x v="22"/>
    <x:x v="1"/>
    <x:n v="1500"/>
    <x:n v="4500"/>
    <x:n v="2100"/>
    <x:x v="8"/>
    <x:s v="Antalya"/>
  </x:r>
  <x:r>
    <x:m/>
    <x:x v="5"/>
    <x:x v="0"/>
    <x:x v="1"/>
    <x:n v="6000"/>
    <x:n v="18000"/>
    <x:n v="6000"/>
    <x:x v="8"/>
    <x:s v="Kocaeli"/>
  </x:r>
  <x:r>
    <x:m/>
    <x:x v="11"/>
    <x:x v="19"/>
    <x:x v="2"/>
    <x:n v="1200"/>
    <x:n v="1200"/>
    <x:n v="400"/>
    <x:x v="8"/>
    <x:s v="Gaziantep"/>
  </x:r>
  <x:r>
    <x:m/>
    <x:x v="0"/>
    <x:x v="15"/>
    <x:x v="1"/>
    <x:n v="4200"/>
    <x:n v="12600"/>
    <x:n v="3600"/>
    <x:x v="8"/>
    <x:s v="Konya"/>
  </x:r>
  <x:r>
    <x:m/>
    <x:x v="10"/>
    <x:x v="5"/>
    <x:x v="1"/>
    <x:n v="7600"/>
    <x:n v="22800"/>
    <x:n v="4800"/>
    <x:x v="8"/>
    <x:s v="Antalya"/>
  </x:r>
  <x:r>
    <x:m/>
    <x:x v="5"/>
    <x:x v="6"/>
    <x:x v="0"/>
    <x:n v="7250"/>
    <x:n v="14500"/>
    <x:n v="4500"/>
    <x:x v="8"/>
    <x:s v="Adana"/>
  </x:r>
  <x:r>
    <x:m/>
    <x:x v="1"/>
    <x:x v="20"/>
    <x:x v="0"/>
    <x:n v="7530"/>
    <x:n v="15060"/>
    <x:n v="3060"/>
    <x:x v="8"/>
    <x:s v="Mersin"/>
  </x:r>
  <x:r>
    <x:m/>
    <x:x v="2"/>
    <x:x v="6"/>
    <x:x v="0"/>
    <x:n v="7250"/>
    <x:n v="14500"/>
    <x:n v="4500"/>
    <x:x v="9"/>
    <x:s v="Kocaeli"/>
  </x:r>
  <x:r>
    <x:m/>
    <x:x v="1"/>
    <x:x v="0"/>
    <x:x v="2"/>
    <x:n v="6000"/>
    <x:n v="6000"/>
    <x:n v="2000"/>
    <x:x v="9"/>
    <x:s v="Diyarbakır"/>
  </x:r>
  <x:r>
    <x:m/>
    <x:x v="5"/>
    <x:x v="19"/>
    <x:x v="1"/>
    <x:n v="1200"/>
    <x:n v="3600"/>
    <x:n v="1200"/>
    <x:x v="9"/>
    <x:s v="Konya"/>
  </x:r>
  <x:r>
    <x:m/>
    <x:x v="11"/>
    <x:x v="21"/>
    <x:x v="0"/>
    <x:n v="5300"/>
    <x:n v="10600"/>
    <x:n v="2600"/>
    <x:x v="9"/>
    <x:s v="Gaziantep"/>
  </x:r>
  <x:r>
    <x:m/>
    <x:x v="8"/>
    <x:x v="2"/>
    <x:x v="0"/>
    <x:n v="8450"/>
    <x:n v="16900"/>
    <x:n v="4900"/>
    <x:x v="9"/>
    <x:s v="Adana"/>
  </x:r>
  <x:r>
    <x:m/>
    <x:x v="4"/>
    <x:x v="3"/>
    <x:x v="2"/>
    <x:n v="1350"/>
    <x:n v="1350"/>
    <x:n v="550"/>
    <x:x v="9"/>
    <x:s v="İstanbul"/>
  </x:r>
  <x:r>
    <x:m/>
    <x:x v="6"/>
    <x:x v="11"/>
    <x:x v="2"/>
    <x:n v="1090"/>
    <x:n v="1090"/>
    <x:n v="290"/>
    <x:x v="9"/>
    <x:s v="Şanlıurfa"/>
  </x:r>
  <x:r>
    <x:m/>
    <x:x v="4"/>
    <x:x v="4"/>
    <x:x v="2"/>
    <x:n v="2180"/>
    <x:n v="2180"/>
    <x:n v="680"/>
    <x:x v="9"/>
    <x:s v="Bursa"/>
  </x:r>
  <x:r>
    <x:m/>
    <x:x v="0"/>
    <x:x v="0"/>
    <x:x v="0"/>
    <x:n v="6000"/>
    <x:n v="12000"/>
    <x:n v="4000"/>
    <x:x v="9"/>
    <x:s v="Diyarbakır"/>
  </x:r>
  <x:r>
    <x:m/>
    <x:x v="1"/>
    <x:x v="1"/>
    <x:x v="0"/>
    <x:n v="1400"/>
    <x:n v="2800"/>
    <x:n v="1200"/>
    <x:x v="9"/>
    <x:s v="Şanlıurfa"/>
  </x:r>
  <x:r>
    <x:m/>
    <x:x v="2"/>
    <x:x v="2"/>
    <x:x v="0"/>
    <x:n v="8450"/>
    <x:n v="16900"/>
    <x:n v="4900"/>
    <x:x v="9"/>
    <x:s v="Kocaeli"/>
  </x:r>
  <x:r>
    <x:m/>
    <x:x v="3"/>
    <x:x v="3"/>
    <x:x v="1"/>
    <x:n v="1350"/>
    <x:n v="4050"/>
    <x:n v="1650"/>
    <x:x v="9"/>
    <x:s v="Konya"/>
  </x:r>
  <x:r>
    <x:m/>
    <x:x v="0"/>
    <x:x v="4"/>
    <x:x v="0"/>
    <x:n v="2180"/>
    <x:n v="4360"/>
    <x:n v="1360"/>
    <x:x v="9"/>
    <x:s v="Hatay"/>
  </x:r>
  <x:r>
    <x:m/>
    <x:x v="4"/>
    <x:x v="5"/>
    <x:x v="0"/>
    <x:n v="7600"/>
    <x:n v="15200"/>
    <x:n v="3200"/>
    <x:x v="9"/>
    <x:s v="Mersin"/>
  </x:r>
  <x:r>
    <x:m/>
    <x:x v="1"/>
    <x:x v="6"/>
    <x:x v="0"/>
    <x:n v="7250"/>
    <x:n v="14500"/>
    <x:n v="4500"/>
    <x:x v="9"/>
    <x:s v="Mersin"/>
  </x:r>
  <x:r>
    <x:m/>
    <x:x v="3"/>
    <x:x v="7"/>
    <x:x v="1"/>
    <x:n v="1100"/>
    <x:n v="3300"/>
    <x:n v="900"/>
    <x:x v="9"/>
    <x:s v="Gaziantep"/>
  </x:r>
  <x:r>
    <x:m/>
    <x:x v="5"/>
    <x:x v="0"/>
    <x:x v="0"/>
    <x:n v="6000"/>
    <x:n v="12000"/>
    <x:n v="4000"/>
    <x:x v="9"/>
    <x:s v="Kocaeli"/>
  </x:r>
  <x:r>
    <x:m/>
    <x:x v="0"/>
    <x:x v="9"/>
    <x:x v="2"/>
    <x:n v="1200"/>
    <x:n v="1200"/>
    <x:n v="400"/>
    <x:x v="9"/>
    <x:s v="Konya"/>
  </x:r>
  <x:r>
    <x:m/>
    <x:x v="6"/>
    <x:x v="10"/>
    <x:x v="0"/>
    <x:n v="1800"/>
    <x:n v="3600"/>
    <x:n v="2000"/>
    <x:x v="9"/>
    <x:s v="Adana"/>
  </x:r>
  <x:r>
    <x:m/>
    <x:x v="6"/>
    <x:x v="11"/>
    <x:x v="0"/>
    <x:n v="1090"/>
    <x:n v="2180"/>
    <x:n v="580"/>
    <x:x v="9"/>
    <x:s v="Konya"/>
  </x:r>
  <x:r>
    <x:m/>
    <x:x v="5"/>
    <x:x v="4"/>
    <x:x v="1"/>
    <x:n v="2180"/>
    <x:n v="6540"/>
    <x:n v="2040"/>
    <x:x v="9"/>
    <x:s v="Konya"/>
  </x:r>
  <x:r>
    <x:m/>
    <x:x v="7"/>
    <x:x v="10"/>
    <x:x v="1"/>
    <x:n v="1800"/>
    <x:n v="5400"/>
    <x:n v="3000"/>
    <x:x v="9"/>
    <x:s v="Konya"/>
  </x:r>
  <x:r>
    <x:m/>
    <x:x v="4"/>
    <x:x v="12"/>
    <x:x v="1"/>
    <x:n v="8000"/>
    <x:n v="24000"/>
    <x:n v="6000"/>
    <x:x v="9"/>
    <x:s v="Şanlıurfa"/>
  </x:r>
  <x:r>
    <x:m/>
    <x:x v="5"/>
    <x:x v="1"/>
    <x:x v="2"/>
    <x:n v="1400"/>
    <x:n v="1400"/>
    <x:n v="600"/>
    <x:x v="9"/>
    <x:s v="Antalya"/>
  </x:r>
  <x:r>
    <x:m/>
    <x:x v="8"/>
    <x:x v="13"/>
    <x:x v="2"/>
    <x:n v="10590"/>
    <x:n v="10590"/>
    <x:n v="4590"/>
    <x:x v="9"/>
    <x:s v="Hatay"/>
  </x:r>
  <x:r>
    <x:m/>
    <x:x v="9"/>
    <x:x v="3"/>
    <x:x v="0"/>
    <x:n v="1350"/>
    <x:n v="2700"/>
    <x:n v="1100"/>
    <x:x v="9"/>
    <x:s v="Şanlıurfa"/>
  </x:r>
  <x:r>
    <x:m/>
    <x:x v="6"/>
    <x:x v="1"/>
    <x:x v="0"/>
    <x:n v="1400"/>
    <x:n v="2800"/>
    <x:n v="1200"/>
    <x:x v="9"/>
    <x:s v="Gaziantep"/>
  </x:r>
  <x:r>
    <x:m/>
    <x:x v="3"/>
    <x:x v="0"/>
    <x:x v="2"/>
    <x:n v="6000"/>
    <x:n v="6000"/>
    <x:n v="2000"/>
    <x:x v="9"/>
    <x:s v="Adana"/>
  </x:r>
  <x:r>
    <x:m/>
    <x:x v="8"/>
    <x:x v="7"/>
    <x:x v="0"/>
    <x:n v="1100"/>
    <x:n v="2200"/>
    <x:n v="600"/>
    <x:x v="9"/>
    <x:s v="İstanbul"/>
  </x:r>
  <x:r>
    <x:m/>
    <x:x v="2"/>
    <x:x v="0"/>
    <x:x v="0"/>
    <x:n v="6000"/>
    <x:n v="12000"/>
    <x:n v="4000"/>
    <x:x v="9"/>
    <x:s v="Konya"/>
  </x:r>
  <x:r>
    <x:m/>
    <x:x v="9"/>
    <x:x v="14"/>
    <x:x v="2"/>
    <x:n v="1490"/>
    <x:n v="1490"/>
    <x:n v="690"/>
    <x:x v="9"/>
    <x:s v="Adana"/>
  </x:r>
  <x:r>
    <x:m/>
    <x:x v="8"/>
    <x:x v="13"/>
    <x:x v="0"/>
    <x:n v="10590"/>
    <x:n v="21180"/>
    <x:n v="9180"/>
    <x:x v="9"/>
    <x:s v="Gaziantep"/>
  </x:r>
  <x:r>
    <x:m/>
    <x:x v="2"/>
    <x:x v="12"/>
    <x:x v="1"/>
    <x:n v="8000"/>
    <x:n v="24000"/>
    <x:n v="6000"/>
    <x:x v="9"/>
    <x:s v="Diyarbakır"/>
  </x:r>
  <x:r>
    <x:m/>
    <x:x v="6"/>
    <x:x v="7"/>
    <x:x v="2"/>
    <x:n v="1100"/>
    <x:n v="1100"/>
    <x:n v="300"/>
    <x:x v="9"/>
    <x:s v="Mersin"/>
  </x:r>
  <x:r>
    <x:m/>
    <x:x v="9"/>
    <x:x v="9"/>
    <x:x v="2"/>
    <x:n v="1200"/>
    <x:n v="1200"/>
    <x:n v="400"/>
    <x:x v="9"/>
    <x:s v="Mersin"/>
  </x:r>
  <x:r>
    <x:m/>
    <x:x v="4"/>
    <x:x v="15"/>
    <x:x v="0"/>
    <x:n v="4200"/>
    <x:n v="8400"/>
    <x:n v="2400"/>
    <x:x v="9"/>
    <x:s v="Hatay"/>
  </x:r>
  <x:r>
    <x:m/>
    <x:x v="1"/>
    <x:x v="16"/>
    <x:x v="1"/>
    <x:n v="5775"/>
    <x:n v="17325"/>
    <x:n v="5325"/>
    <x:x v="9"/>
    <x:s v="İzmir"/>
  </x:r>
  <x:r>
    <x:m/>
    <x:x v="10"/>
    <x:x v="5"/>
    <x:x v="1"/>
    <x:n v="7600"/>
    <x:n v="22800"/>
    <x:n v="4800"/>
    <x:x v="9"/>
    <x:s v="Diyarbakır"/>
  </x:r>
  <x:r>
    <x:m/>
    <x:x v="1"/>
    <x:x v="6"/>
    <x:x v="1"/>
    <x:n v="7250"/>
    <x:n v="21750"/>
    <x:n v="6750"/>
    <x:x v="9"/>
    <x:s v="İstanbul"/>
  </x:r>
  <x:r>
    <x:m/>
    <x:x v="0"/>
    <x:x v="6"/>
    <x:x v="1"/>
    <x:n v="7250"/>
    <x:n v="21750"/>
    <x:n v="6750"/>
    <x:x v="9"/>
    <x:s v="Mersin"/>
  </x:r>
  <x:r>
    <x:m/>
    <x:x v="8"/>
    <x:x v="6"/>
    <x:x v="1"/>
    <x:n v="7250"/>
    <x:n v="21750"/>
    <x:n v="6750"/>
    <x:x v="9"/>
    <x:s v="Gaziantep"/>
  </x:r>
  <x:r>
    <x:m/>
    <x:x v="5"/>
    <x:x v="3"/>
    <x:x v="2"/>
    <x:n v="1350"/>
    <x:n v="1350"/>
    <x:n v="550"/>
    <x:x v="9"/>
    <x:s v="Bursa"/>
  </x:r>
  <x:r>
    <x:m/>
    <x:x v="1"/>
    <x:x v="6"/>
    <x:x v="0"/>
    <x:n v="7250"/>
    <x:n v="14500"/>
    <x:n v="4500"/>
    <x:x v="9"/>
    <x:s v="Bursa"/>
  </x:r>
  <x:r>
    <x:m/>
    <x:x v="6"/>
    <x:x v="5"/>
    <x:x v="2"/>
    <x:n v="7600"/>
    <x:n v="7600"/>
    <x:n v="1600"/>
    <x:x v="9"/>
    <x:s v="Adana"/>
  </x:r>
  <x:r>
    <x:m/>
    <x:x v="11"/>
    <x:x v="5"/>
    <x:x v="1"/>
    <x:n v="7600"/>
    <x:n v="22800"/>
    <x:n v="4800"/>
    <x:x v="9"/>
    <x:s v="Konya"/>
  </x:r>
  <x:r>
    <x:m/>
    <x:x v="1"/>
    <x:x v="14"/>
    <x:x v="1"/>
    <x:n v="1490"/>
    <x:n v="4470"/>
    <x:n v="2070"/>
    <x:x v="9"/>
    <x:s v="Hatay"/>
  </x:r>
  <x:r>
    <x:m/>
    <x:x v="5"/>
    <x:x v="17"/>
    <x:x v="0"/>
    <x:n v="2900"/>
    <x:n v="5800"/>
    <x:n v="1800"/>
    <x:x v="9"/>
    <x:s v="Antalya"/>
  </x:r>
  <x:r>
    <x:m/>
    <x:x v="9"/>
    <x:x v="14"/>
    <x:x v="2"/>
    <x:n v="1490"/>
    <x:n v="1490"/>
    <x:n v="690"/>
    <x:x v="9"/>
    <x:s v="Mersin"/>
  </x:r>
  <x:r>
    <x:m/>
    <x:x v="9"/>
    <x:x v="11"/>
    <x:x v="0"/>
    <x:n v="1090"/>
    <x:n v="2180"/>
    <x:n v="580"/>
    <x:x v="9"/>
    <x:s v="Hatay"/>
  </x:r>
  <x:r>
    <x:m/>
    <x:x v="5"/>
    <x:x v="9"/>
    <x:x v="0"/>
    <x:n v="1200"/>
    <x:n v="2400"/>
    <x:n v="800"/>
    <x:x v="9"/>
    <x:s v="Mersin"/>
  </x:r>
  <x:r>
    <x:m/>
    <x:x v="8"/>
    <x:x v="13"/>
    <x:x v="0"/>
    <x:n v="10590"/>
    <x:n v="21180"/>
    <x:n v="9180"/>
    <x:x v="9"/>
    <x:s v="Antalya"/>
  </x:r>
  <x:r>
    <x:m/>
    <x:x v="6"/>
    <x:x v="15"/>
    <x:x v="1"/>
    <x:n v="4200"/>
    <x:n v="12600"/>
    <x:n v="3600"/>
    <x:x v="9"/>
    <x:s v="Şanlıurfa"/>
  </x:r>
  <x:r>
    <x:m/>
    <x:x v="3"/>
    <x:x v="15"/>
    <x:x v="1"/>
    <x:n v="4200"/>
    <x:n v="12600"/>
    <x:n v="3600"/>
    <x:x v="9"/>
    <x:s v="Bursa"/>
  </x:r>
  <x:r>
    <x:m/>
    <x:x v="7"/>
    <x:x v="13"/>
    <x:x v="0"/>
    <x:n v="10590"/>
    <x:n v="21180"/>
    <x:n v="9180"/>
    <x:x v="9"/>
    <x:s v="Kocaeli"/>
  </x:r>
  <x:r>
    <x:m/>
    <x:x v="11"/>
    <x:x v="18"/>
    <x:x v="2"/>
    <x:n v="1250"/>
    <x:n v="1250"/>
    <x:n v="450"/>
    <x:x v="9"/>
    <x:s v="Hatay"/>
  </x:r>
  <x:r>
    <x:m/>
    <x:x v="0"/>
    <x:x v="14"/>
    <x:x v="1"/>
    <x:n v="1490"/>
    <x:n v="4470"/>
    <x:n v="2070"/>
    <x:x v="9"/>
    <x:s v="Konya"/>
  </x:r>
  <x:r>
    <x:m/>
    <x:x v="6"/>
    <x:x v="9"/>
    <x:x v="0"/>
    <x:n v="1200"/>
    <x:n v="2400"/>
    <x:n v="800"/>
    <x:x v="9"/>
    <x:s v="Kocaeli"/>
  </x:r>
  <x:r>
    <x:m/>
    <x:x v="2"/>
    <x:x v="4"/>
    <x:x v="1"/>
    <x:n v="2180"/>
    <x:n v="6540"/>
    <x:n v="2040"/>
    <x:x v="9"/>
    <x:s v="Mersin"/>
  </x:r>
  <x:r>
    <x:m/>
    <x:x v="9"/>
    <x:x v="19"/>
    <x:x v="1"/>
    <x:n v="1200"/>
    <x:n v="3600"/>
    <x:n v="1200"/>
    <x:x v="9"/>
    <x:s v="Konya"/>
  </x:r>
  <x:r>
    <x:m/>
    <x:x v="0"/>
    <x:x v="10"/>
    <x:x v="2"/>
    <x:n v="1800"/>
    <x:n v="1800"/>
    <x:n v="1000"/>
    <x:x v="9"/>
    <x:s v="İzmir"/>
  </x:r>
  <x:r>
    <x:m/>
    <x:x v="2"/>
    <x:x v="5"/>
    <x:x v="2"/>
    <x:n v="7600"/>
    <x:n v="7600"/>
    <x:n v="1600"/>
    <x:x v="9"/>
    <x:s v="Diyarbakır"/>
  </x:r>
  <x:r>
    <x:m/>
    <x:x v="7"/>
    <x:x v="20"/>
    <x:x v="2"/>
    <x:n v="7530"/>
    <x:n v="7530"/>
    <x:n v="1530"/>
    <x:x v="9"/>
    <x:s v="Diyarbakır"/>
  </x:r>
  <x:r>
    <x:m/>
    <x:x v="11"/>
    <x:x v="14"/>
    <x:x v="0"/>
    <x:n v="1490"/>
    <x:n v="2980"/>
    <x:n v="1380"/>
    <x:x v="9"/>
    <x:s v="Diyarbakır"/>
  </x:r>
  <x:r>
    <x:m/>
    <x:x v="0"/>
    <x:x v="21"/>
    <x:x v="2"/>
    <x:n v="5300"/>
    <x:n v="5300"/>
    <x:n v="1300"/>
    <x:x v="9"/>
    <x:s v="Antalya"/>
  </x:r>
  <x:r>
    <x:m/>
    <x:x v="4"/>
    <x:x v="9"/>
    <x:x v="0"/>
    <x:n v="1200"/>
    <x:n v="2400"/>
    <x:n v="800"/>
    <x:x v="9"/>
    <x:s v="İzmir"/>
  </x:r>
  <x:r>
    <x:m/>
    <x:x v="9"/>
    <x:x v="11"/>
    <x:x v="2"/>
    <x:n v="1090"/>
    <x:n v="1090"/>
    <x:n v="290"/>
    <x:x v="9"/>
    <x:s v="Diyarbakır"/>
  </x:r>
  <x:r>
    <x:m/>
    <x:x v="4"/>
    <x:x v="6"/>
    <x:x v="2"/>
    <x:n v="7250"/>
    <x:n v="7250"/>
    <x:n v="2250"/>
    <x:x v="9"/>
    <x:s v="Şanlıurfa"/>
  </x:r>
  <x:r>
    <x:m/>
    <x:x v="10"/>
    <x:x v="1"/>
    <x:x v="1"/>
    <x:n v="1400"/>
    <x:n v="4200"/>
    <x:n v="1800"/>
    <x:x v="9"/>
    <x:s v="Şanlıurfa"/>
  </x:r>
  <x:r>
    <x:m/>
    <x:x v="2"/>
    <x:x v="22"/>
    <x:x v="2"/>
    <x:n v="1500"/>
    <x:n v="1500"/>
    <x:n v="700"/>
    <x:x v="9"/>
    <x:s v="Diyarbakır"/>
  </x:r>
  <x:r>
    <x:m/>
    <x:x v="7"/>
    <x:x v="3"/>
    <x:x v="2"/>
    <x:n v="1350"/>
    <x:n v="1350"/>
    <x:n v="550"/>
    <x:x v="9"/>
    <x:s v="Konya"/>
  </x:r>
  <x:r>
    <x:m/>
    <x:x v="7"/>
    <x:x v="9"/>
    <x:x v="1"/>
    <x:n v="1200"/>
    <x:n v="3600"/>
    <x:n v="1200"/>
    <x:x v="9"/>
    <x:s v="İzmir"/>
  </x:r>
  <x:r>
    <x:m/>
    <x:x v="1"/>
    <x:x v="20"/>
    <x:x v="1"/>
    <x:n v="7530"/>
    <x:n v="22590"/>
    <x:n v="4590"/>
    <x:x v="9"/>
    <x:s v="Diyarbakır"/>
  </x:r>
  <x:r>
    <x:m/>
    <x:x v="10"/>
    <x:x v="9"/>
    <x:x v="2"/>
    <x:n v="1200"/>
    <x:n v="1200"/>
    <x:n v="400"/>
    <x:x v="9"/>
    <x:s v="Diyarbakır"/>
  </x:r>
  <x:r>
    <x:m/>
    <x:x v="8"/>
    <x:x v="10"/>
    <x:x v="1"/>
    <x:n v="1800"/>
    <x:n v="5400"/>
    <x:n v="3000"/>
    <x:x v="9"/>
    <x:s v="Hatay"/>
  </x:r>
  <x:r>
    <x:m/>
    <x:x v="0"/>
    <x:x v="6"/>
    <x:x v="2"/>
    <x:n v="7250"/>
    <x:n v="7250"/>
    <x:n v="2250"/>
    <x:x v="9"/>
    <x:s v="Ankara"/>
  </x:r>
  <x:r>
    <x:m/>
    <x:x v="9"/>
    <x:x v="14"/>
    <x:x v="1"/>
    <x:n v="1490"/>
    <x:n v="4470"/>
    <x:n v="2070"/>
    <x:x v="9"/>
    <x:s v="Hatay"/>
  </x:r>
  <x:r>
    <x:m/>
    <x:x v="9"/>
    <x:x v="19"/>
    <x:x v="2"/>
    <x:n v="1200"/>
    <x:n v="1200"/>
    <x:n v="400"/>
    <x:x v="9"/>
    <x:s v="Gaziantep"/>
  </x:r>
  <x:r>
    <x:m/>
    <x:x v="1"/>
    <x:x v="12"/>
    <x:x v="2"/>
    <x:n v="8000"/>
    <x:n v="8000"/>
    <x:n v="2000"/>
    <x:x v="9"/>
    <x:s v="Bursa"/>
  </x:r>
  <x:r>
    <x:m/>
    <x:x v="6"/>
    <x:x v="1"/>
    <x:x v="2"/>
    <x:n v="1400"/>
    <x:n v="1400"/>
    <x:n v="600"/>
    <x:x v="9"/>
    <x:s v="Antalya"/>
  </x:r>
  <x:r>
    <x:m/>
    <x:x v="5"/>
    <x:x v="3"/>
    <x:x v="2"/>
    <x:n v="1350"/>
    <x:n v="1350"/>
    <x:n v="550"/>
    <x:x v="9"/>
    <x:s v="Hatay"/>
  </x:r>
  <x:r>
    <x:m/>
    <x:x v="8"/>
    <x:x v="19"/>
    <x:x v="2"/>
    <x:n v="1200"/>
    <x:n v="1200"/>
    <x:n v="400"/>
    <x:x v="9"/>
    <x:s v="İzmir"/>
  </x:r>
  <x:r>
    <x:m/>
    <x:x v="6"/>
    <x:x v="21"/>
    <x:x v="2"/>
    <x:n v="5300"/>
    <x:n v="5300"/>
    <x:n v="1300"/>
    <x:x v="9"/>
    <x:s v="Hatay"/>
  </x:r>
  <x:r>
    <x:m/>
    <x:x v="9"/>
    <x:x v="13"/>
    <x:x v="1"/>
    <x:n v="10590"/>
    <x:n v="31770"/>
    <x:n v="13770"/>
    <x:x v="9"/>
    <x:s v="Antalya"/>
  </x:r>
  <x:r>
    <x:m/>
    <x:x v="4"/>
    <x:x v="18"/>
    <x:x v="2"/>
    <x:n v="1250"/>
    <x:n v="1250"/>
    <x:n v="450"/>
    <x:x v="9"/>
    <x:s v="Bursa"/>
  </x:r>
  <x:r>
    <x:m/>
    <x:x v="11"/>
    <x:x v="19"/>
    <x:x v="2"/>
    <x:n v="1200"/>
    <x:n v="1200"/>
    <x:n v="400"/>
    <x:x v="9"/>
    <x:s v="Konya"/>
  </x:r>
  <x:r>
    <x:m/>
    <x:x v="4"/>
    <x:x v="1"/>
    <x:x v="1"/>
    <x:n v="1400"/>
    <x:n v="4200"/>
    <x:n v="1800"/>
    <x:x v="9"/>
    <x:s v="Şanlıurfa"/>
  </x:r>
  <x:r>
    <x:m/>
    <x:x v="11"/>
    <x:x v="20"/>
    <x:x v="0"/>
    <x:n v="7530"/>
    <x:n v="15060"/>
    <x:n v="3060"/>
    <x:x v="9"/>
    <x:s v="Antalya"/>
  </x:r>
  <x:r>
    <x:m/>
    <x:x v="6"/>
    <x:x v="5"/>
    <x:x v="2"/>
    <x:n v="7600"/>
    <x:n v="7600"/>
    <x:n v="1600"/>
    <x:x v="9"/>
    <x:s v="Antalya"/>
  </x:r>
  <x:r>
    <x:m/>
    <x:x v="11"/>
    <x:x v="22"/>
    <x:x v="2"/>
    <x:n v="1500"/>
    <x:n v="1500"/>
    <x:n v="700"/>
    <x:x v="9"/>
    <x:s v="İstanbul"/>
  </x:r>
  <x:r>
    <x:m/>
    <x:x v="9"/>
    <x:x v="4"/>
    <x:x v="0"/>
    <x:n v="2180"/>
    <x:n v="4360"/>
    <x:n v="1360"/>
    <x:x v="9"/>
    <x:s v="Şanlıurfa"/>
  </x:r>
  <x:r>
    <x:m/>
    <x:x v="3"/>
    <x:x v="4"/>
    <x:x v="2"/>
    <x:n v="2180"/>
    <x:n v="2180"/>
    <x:n v="680"/>
    <x:x v="9"/>
    <x:s v="Adana"/>
  </x:r>
  <x:r>
    <x:m/>
    <x:x v="9"/>
    <x:x v="16"/>
    <x:x v="2"/>
    <x:n v="5775"/>
    <x:n v="5775"/>
    <x:n v="1775"/>
    <x:x v="9"/>
    <x:s v="Ankara"/>
  </x:r>
  <x:r>
    <x:m/>
    <x:x v="9"/>
    <x:x v="7"/>
    <x:x v="1"/>
    <x:n v="1100"/>
    <x:n v="3300"/>
    <x:n v="900"/>
    <x:x v="9"/>
    <x:s v="Hatay"/>
  </x:r>
  <x:r>
    <x:m/>
    <x:x v="10"/>
    <x:x v="16"/>
    <x:x v="2"/>
    <x:n v="5775"/>
    <x:n v="5775"/>
    <x:n v="1775"/>
    <x:x v="9"/>
    <x:s v="Diyarbakır"/>
  </x:r>
  <x:r>
    <x:m/>
    <x:x v="7"/>
    <x:x v="3"/>
    <x:x v="2"/>
    <x:n v="1350"/>
    <x:n v="1350"/>
    <x:n v="550"/>
    <x:x v="9"/>
    <x:s v="İstanbul"/>
  </x:r>
  <x:r>
    <x:m/>
    <x:x v="0"/>
    <x:x v="5"/>
    <x:x v="1"/>
    <x:n v="7600"/>
    <x:n v="22800"/>
    <x:n v="4800"/>
    <x:x v="9"/>
    <x:s v="İzmir"/>
  </x:r>
  <x:r>
    <x:m/>
    <x:x v="2"/>
    <x:x v="6"/>
    <x:x v="1"/>
    <x:n v="7250"/>
    <x:n v="21750"/>
    <x:n v="6750"/>
    <x:x v="9"/>
    <x:s v="Antalya"/>
  </x:r>
  <x:r>
    <x:m/>
    <x:x v="11"/>
    <x:x v="14"/>
    <x:x v="0"/>
    <x:n v="1490"/>
    <x:n v="2980"/>
    <x:n v="1380"/>
    <x:x v="9"/>
    <x:s v="Gaziantep"/>
  </x:r>
  <x:r>
    <x:m/>
    <x:x v="3"/>
    <x:x v="14"/>
    <x:x v="0"/>
    <x:n v="1490"/>
    <x:n v="2980"/>
    <x:n v="1380"/>
    <x:x v="9"/>
    <x:s v="Kocaeli"/>
  </x:r>
  <x:r>
    <x:m/>
    <x:x v="8"/>
    <x:x v="11"/>
    <x:x v="0"/>
    <x:n v="1090"/>
    <x:n v="2180"/>
    <x:n v="580"/>
    <x:x v="9"/>
    <x:s v="Mersin"/>
  </x:r>
  <x:r>
    <x:m/>
    <x:x v="8"/>
    <x:x v="9"/>
    <x:x v="1"/>
    <x:n v="1200"/>
    <x:n v="3600"/>
    <x:n v="1200"/>
    <x:x v="9"/>
    <x:s v="Diyarbakır"/>
  </x:r>
  <x:r>
    <x:m/>
    <x:x v="11"/>
    <x:x v="11"/>
    <x:x v="0"/>
    <x:n v="1090"/>
    <x:n v="2180"/>
    <x:n v="580"/>
    <x:x v="9"/>
    <x:s v="İzmir"/>
  </x:r>
  <x:r>
    <x:m/>
    <x:x v="11"/>
    <x:x v="4"/>
    <x:x v="1"/>
    <x:n v="2180"/>
    <x:n v="6540"/>
    <x:n v="2040"/>
    <x:x v="9"/>
    <x:s v="Mersin"/>
  </x:r>
  <x:r>
    <x:m/>
    <x:x v="2"/>
    <x:x v="21"/>
    <x:x v="1"/>
    <x:n v="5300"/>
    <x:n v="15900"/>
    <x:n v="3900"/>
    <x:x v="9"/>
    <x:s v="Diyarbakır"/>
  </x:r>
  <x:r>
    <x:m/>
    <x:x v="11"/>
    <x:x v="21"/>
    <x:x v="0"/>
    <x:n v="5300"/>
    <x:n v="10600"/>
    <x:n v="2600"/>
    <x:x v="9"/>
    <x:s v="Diyarbakır"/>
  </x:r>
  <x:r>
    <x:m/>
    <x:x v="5"/>
    <x:x v="6"/>
    <x:x v="0"/>
    <x:n v="7250"/>
    <x:n v="14500"/>
    <x:n v="4500"/>
    <x:x v="9"/>
    <x:s v="Adana"/>
  </x:r>
  <x:r>
    <x:m/>
    <x:x v="5"/>
    <x:x v="19"/>
    <x:x v="1"/>
    <x:n v="1200"/>
    <x:n v="3600"/>
    <x:n v="1200"/>
    <x:x v="9"/>
    <x:s v="İzmir"/>
  </x:r>
  <x:r>
    <x:m/>
    <x:x v="3"/>
    <x:x v="0"/>
    <x:x v="2"/>
    <x:n v="6000"/>
    <x:n v="6000"/>
    <x:n v="2000"/>
    <x:x v="9"/>
    <x:s v="Hatay"/>
  </x:r>
  <x:r>
    <x:m/>
    <x:x v="2"/>
    <x:x v="2"/>
    <x:x v="1"/>
    <x:n v="8450"/>
    <x:n v="25350"/>
    <x:n v="7350"/>
    <x:x v="9"/>
    <x:s v="İzmir"/>
  </x:r>
  <x:r>
    <x:m/>
    <x:x v="6"/>
    <x:x v="15"/>
    <x:x v="2"/>
    <x:n v="4200"/>
    <x:n v="4200"/>
    <x:n v="1200"/>
    <x:x v="9"/>
    <x:s v="Antalya"/>
  </x:r>
  <x:r>
    <x:m/>
    <x:x v="6"/>
    <x:x v="13"/>
    <x:x v="1"/>
    <x:n v="10590"/>
    <x:n v="31770"/>
    <x:n v="13770"/>
    <x:x v="9"/>
    <x:s v="Kocaeli"/>
  </x:r>
  <x:r>
    <x:m/>
    <x:x v="5"/>
    <x:x v="19"/>
    <x:x v="2"/>
    <x:n v="1200"/>
    <x:n v="1200"/>
    <x:n v="400"/>
    <x:x v="9"/>
    <x:s v="Konya"/>
  </x:r>
  <x:r>
    <x:m/>
    <x:x v="10"/>
    <x:x v="7"/>
    <x:x v="0"/>
    <x:n v="1100"/>
    <x:n v="2200"/>
    <x:n v="600"/>
    <x:x v="9"/>
    <x:s v="Mersin"/>
  </x:r>
  <x:r>
    <x:m/>
    <x:x v="9"/>
    <x:x v="23"/>
    <x:x v="0"/>
    <x:n v="3700"/>
    <x:n v="7400"/>
    <x:n v="1400"/>
    <x:x v="9"/>
    <x:s v="Hatay"/>
  </x:r>
  <x:r>
    <x:m/>
    <x:x v="1"/>
    <x:x v="23"/>
    <x:x v="2"/>
    <x:n v="3700"/>
    <x:n v="3700"/>
    <x:n v="700"/>
    <x:x v="9"/>
    <x:s v="Antalya"/>
  </x:r>
  <x:r>
    <x:m/>
    <x:x v="6"/>
    <x:x v="7"/>
    <x:x v="1"/>
    <x:n v="1100"/>
    <x:n v="3300"/>
    <x:n v="900"/>
    <x:x v="10"/>
    <x:s v="Şanlıurfa"/>
  </x:r>
  <x:r>
    <x:m/>
    <x:x v="5"/>
    <x:x v="23"/>
    <x:x v="2"/>
    <x:n v="3700"/>
    <x:n v="3700"/>
    <x:n v="700"/>
    <x:x v="10"/>
    <x:s v="Şanlıurfa"/>
  </x:r>
  <x:r>
    <x:m/>
    <x:x v="10"/>
    <x:x v="14"/>
    <x:x v="2"/>
    <x:n v="1490"/>
    <x:n v="1490"/>
    <x:n v="690"/>
    <x:x v="10"/>
    <x:s v="Adana"/>
  </x:r>
  <x:r>
    <x:m/>
    <x:x v="9"/>
    <x:x v="22"/>
    <x:x v="2"/>
    <x:n v="1500"/>
    <x:n v="1500"/>
    <x:n v="700"/>
    <x:x v="10"/>
    <x:s v="Hatay"/>
  </x:r>
  <x:r>
    <x:m/>
    <x:x v="8"/>
    <x:x v="11"/>
    <x:x v="0"/>
    <x:n v="1090"/>
    <x:n v="2180"/>
    <x:n v="580"/>
    <x:x v="10"/>
    <x:s v="Diyarbakır"/>
  </x:r>
  <x:r>
    <x:m/>
    <x:x v="10"/>
    <x:x v="10"/>
    <x:x v="1"/>
    <x:n v="1800"/>
    <x:n v="5400"/>
    <x:n v="3000"/>
    <x:x v="10"/>
    <x:s v="Bursa"/>
  </x:r>
  <x:r>
    <x:m/>
    <x:x v="7"/>
    <x:x v="20"/>
    <x:x v="0"/>
    <x:n v="7530"/>
    <x:n v="15060"/>
    <x:n v="3060"/>
    <x:x v="10"/>
    <x:s v="Kocaeli"/>
  </x:r>
  <x:r>
    <x:m/>
    <x:x v="6"/>
    <x:x v="7"/>
    <x:x v="1"/>
    <x:n v="1100"/>
    <x:n v="3300"/>
    <x:n v="900"/>
    <x:x v="10"/>
    <x:s v="Şanlıurfa"/>
  </x:r>
  <x:r>
    <x:m/>
    <x:x v="9"/>
    <x:x v="3"/>
    <x:x v="1"/>
    <x:n v="1350"/>
    <x:n v="4050"/>
    <x:n v="1650"/>
    <x:x v="10"/>
    <x:s v="Adana"/>
  </x:r>
  <x:r>
    <x:m/>
    <x:x v="8"/>
    <x:x v="3"/>
    <x:x v="2"/>
    <x:n v="1350"/>
    <x:n v="1350"/>
    <x:n v="550"/>
    <x:x v="10"/>
    <x:s v="Adana"/>
  </x:r>
  <x:r>
    <x:m/>
    <x:x v="7"/>
    <x:x v="9"/>
    <x:x v="0"/>
    <x:n v="1090"/>
    <x:n v="2180"/>
    <x:n v="580"/>
    <x:x v="10"/>
    <x:s v="Şanlıurfa"/>
  </x:r>
  <x:r>
    <x:m/>
    <x:x v="7"/>
    <x:x v="15"/>
    <x:x v="2"/>
    <x:n v="4200"/>
    <x:n v="4200"/>
    <x:n v="1200"/>
    <x:x v="10"/>
    <x:s v="İzmir"/>
  </x:r>
  <x:r>
    <x:m/>
    <x:x v="9"/>
    <x:x v="10"/>
    <x:x v="0"/>
    <x:n v="1800"/>
    <x:n v="3600"/>
    <x:n v="2000"/>
    <x:x v="10"/>
    <x:s v="Mersin"/>
  </x:r>
  <x:r>
    <x:m/>
    <x:x v="11"/>
    <x:x v="11"/>
    <x:x v="2"/>
    <x:n v="1090"/>
    <x:n v="1090"/>
    <x:n v="290"/>
    <x:x v="10"/>
    <x:s v="Bursa"/>
  </x:r>
  <x:r>
    <x:m/>
    <x:x v="0"/>
    <x:x v="5"/>
    <x:x v="2"/>
    <x:n v="7600"/>
    <x:n v="7600"/>
    <x:n v="1600"/>
    <x:x v="10"/>
    <x:s v="Adana"/>
  </x:r>
  <x:r>
    <x:m/>
    <x:x v="8"/>
    <x:x v="5"/>
    <x:x v="1"/>
    <x:n v="7600"/>
    <x:n v="22800"/>
    <x:n v="4800"/>
    <x:x v="10"/>
    <x:s v="Bursa"/>
  </x:r>
  <x:r>
    <x:m/>
    <x:x v="2"/>
    <x:x v="23"/>
    <x:x v="2"/>
    <x:n v="3700"/>
    <x:n v="3700"/>
    <x:n v="700"/>
    <x:x v="10"/>
    <x:s v="Kocaeli"/>
  </x:r>
  <x:r>
    <x:m/>
    <x:x v="4"/>
    <x:x v="6"/>
    <x:x v="1"/>
    <x:n v="7250"/>
    <x:n v="21750"/>
    <x:n v="6750"/>
    <x:x v="10"/>
    <x:s v="İstanbul"/>
  </x:r>
  <x:r>
    <x:m/>
    <x:x v="1"/>
    <x:x v="5"/>
    <x:x v="1"/>
    <x:n v="7600"/>
    <x:n v="22800"/>
    <x:n v="4800"/>
    <x:x v="10"/>
    <x:s v="Kocaeli"/>
  </x:r>
  <x:r>
    <x:m/>
    <x:x v="10"/>
    <x:x v="15"/>
    <x:x v="2"/>
    <x:n v="4200"/>
    <x:n v="4200"/>
    <x:n v="1200"/>
    <x:x v="10"/>
    <x:s v="Şanlıurfa"/>
  </x:r>
  <x:r>
    <x:m/>
    <x:x v="6"/>
    <x:x v="18"/>
    <x:x v="1"/>
    <x:n v="1250"/>
    <x:n v="3750"/>
    <x:n v="1350"/>
    <x:x v="10"/>
    <x:s v="Kocaeli"/>
  </x:r>
  <x:r>
    <x:m/>
    <x:x v="8"/>
    <x:x v="11"/>
    <x:x v="2"/>
    <x:n v="1090"/>
    <x:n v="1090"/>
    <x:n v="290"/>
    <x:x v="10"/>
    <x:s v="Kocaeli"/>
  </x:r>
  <x:r>
    <x:m/>
    <x:x v="3"/>
    <x:x v="13"/>
    <x:x v="2"/>
    <x:n v="2180"/>
    <x:n v="2180"/>
    <x:n v="680"/>
    <x:x v="10"/>
    <x:s v="Adana"/>
  </x:r>
  <x:r>
    <x:m/>
    <x:x v="11"/>
    <x:x v="23"/>
    <x:x v="0"/>
    <x:n v="3700"/>
    <x:n v="7400"/>
    <x:n v="1400"/>
    <x:x v="10"/>
    <x:s v="Antalya"/>
  </x:r>
  <x:r>
    <x:m/>
    <x:x v="9"/>
    <x:x v="0"/>
    <x:x v="0"/>
    <x:n v="6000"/>
    <x:n v="12000"/>
    <x:n v="4000"/>
    <x:x v="10"/>
    <x:s v="Hatay"/>
  </x:r>
  <x:r>
    <x:m/>
    <x:x v="10"/>
    <x:x v="18"/>
    <x:x v="0"/>
    <x:n v="1250"/>
    <x:n v="2500"/>
    <x:n v="900"/>
    <x:x v="10"/>
    <x:s v="Bursa"/>
  </x:r>
  <x:r>
    <x:m/>
    <x:x v="11"/>
    <x:x v="5"/>
    <x:x v="2"/>
    <x:n v="7600"/>
    <x:n v="7600"/>
    <x:n v="1600"/>
    <x:x v="10"/>
    <x:s v="Şanlıurfa"/>
  </x:r>
  <x:r>
    <x:m/>
    <x:x v="0"/>
    <x:x v="1"/>
    <x:x v="0"/>
    <x:n v="1400"/>
    <x:n v="2800"/>
    <x:n v="1200"/>
    <x:x v="10"/>
    <x:s v="Hatay"/>
  </x:r>
  <x:r>
    <x:m/>
    <x:x v="4"/>
    <x:x v="4"/>
    <x:x v="0"/>
    <x:n v="2180"/>
    <x:n v="4360"/>
    <x:n v="1360"/>
    <x:x v="10"/>
    <x:s v="İstanbul"/>
  </x:r>
  <x:r>
    <x:m/>
    <x:x v="0"/>
    <x:x v="10"/>
    <x:x v="1"/>
    <x:n v="1800"/>
    <x:n v="5400"/>
    <x:n v="3000"/>
    <x:x v="10"/>
    <x:s v="Bursa"/>
  </x:r>
  <x:r>
    <x:m/>
    <x:x v="2"/>
    <x:x v="22"/>
    <x:x v="2"/>
    <x:n v="1500"/>
    <x:n v="1500"/>
    <x:n v="700"/>
    <x:x v="10"/>
    <x:s v="Şanlıurfa"/>
  </x:r>
  <x:r>
    <x:m/>
    <x:x v="6"/>
    <x:x v="2"/>
    <x:x v="1"/>
    <x:n v="8450"/>
    <x:n v="25350"/>
    <x:n v="7350"/>
    <x:x v="10"/>
    <x:s v="Diyarbakır"/>
  </x:r>
  <x:r>
    <x:m/>
    <x:x v="9"/>
    <x:x v="22"/>
    <x:x v="1"/>
    <x:n v="1500"/>
    <x:n v="4500"/>
    <x:n v="2100"/>
    <x:x v="10"/>
    <x:s v="Ankara"/>
  </x:r>
  <x:r>
    <x:m/>
    <x:x v="5"/>
    <x:x v="0"/>
    <x:x v="1"/>
    <x:n v="6000"/>
    <x:n v="18000"/>
    <x:n v="6000"/>
    <x:x v="10"/>
    <x:s v="Gaziantep"/>
  </x:r>
  <x:r>
    <x:m/>
    <x:x v="11"/>
    <x:x v="19"/>
    <x:x v="2"/>
    <x:n v="1200"/>
    <x:n v="1200"/>
    <x:n v="400"/>
    <x:x v="10"/>
    <x:s v="Ankara"/>
  </x:r>
  <x:r>
    <x:m/>
    <x:x v="0"/>
    <x:x v="15"/>
    <x:x v="1"/>
    <x:n v="4200"/>
    <x:n v="12600"/>
    <x:n v="3600"/>
    <x:x v="10"/>
    <x:s v="Mersin"/>
  </x:r>
  <x:r>
    <x:m/>
    <x:x v="10"/>
    <x:x v="5"/>
    <x:x v="1"/>
    <x:n v="7600"/>
    <x:n v="22800"/>
    <x:n v="4800"/>
    <x:x v="10"/>
    <x:s v="Adana"/>
  </x:r>
  <x:r>
    <x:m/>
    <x:x v="5"/>
    <x:x v="16"/>
    <x:x v="0"/>
    <x:n v="7250"/>
    <x:n v="14500"/>
    <x:n v="4500"/>
    <x:x v="10"/>
    <x:s v="Bursa"/>
  </x:r>
  <x:r>
    <x:m/>
    <x:x v="1"/>
    <x:x v="20"/>
    <x:x v="0"/>
    <x:n v="7530"/>
    <x:n v="15060"/>
    <x:n v="3060"/>
    <x:x v="10"/>
    <x:s v="İzmir"/>
  </x:r>
  <x:r>
    <x:m/>
    <x:x v="2"/>
    <x:x v="6"/>
    <x:x v="0"/>
    <x:n v="7250"/>
    <x:n v="14500"/>
    <x:n v="4500"/>
    <x:x v="10"/>
    <x:s v="Ankara"/>
  </x:r>
  <x:r>
    <x:m/>
    <x:x v="1"/>
    <x:x v="0"/>
    <x:x v="2"/>
    <x:n v="6000"/>
    <x:n v="6000"/>
    <x:n v="2000"/>
    <x:x v="10"/>
    <x:s v="Antalya"/>
  </x:r>
  <x:r>
    <x:m/>
    <x:x v="5"/>
    <x:x v="19"/>
    <x:x v="1"/>
    <x:n v="1200"/>
    <x:n v="3600"/>
    <x:n v="1200"/>
    <x:x v="10"/>
    <x:s v="Mersin"/>
  </x:r>
  <x:r>
    <x:m/>
    <x:x v="11"/>
    <x:x v="21"/>
    <x:x v="0"/>
    <x:n v="5300"/>
    <x:n v="10600"/>
    <x:n v="2600"/>
    <x:x v="10"/>
    <x:s v="İstanbul"/>
  </x:r>
  <x:r>
    <x:m/>
    <x:x v="8"/>
    <x:x v="2"/>
    <x:x v="0"/>
    <x:n v="8450"/>
    <x:n v="16900"/>
    <x:n v="4900"/>
    <x:x v="10"/>
    <x:s v="İstanbul"/>
  </x:r>
  <x:r>
    <x:m/>
    <x:x v="4"/>
    <x:x v="3"/>
    <x:x v="2"/>
    <x:n v="1350"/>
    <x:n v="1350"/>
    <x:n v="550"/>
    <x:x v="10"/>
    <x:s v="Konya"/>
  </x:r>
  <x:r>
    <x:m/>
    <x:x v="6"/>
    <x:x v="11"/>
    <x:x v="2"/>
    <x:n v="1090"/>
    <x:n v="1090"/>
    <x:n v="290"/>
    <x:x v="10"/>
    <x:s v="Hatay"/>
  </x:r>
  <x:r>
    <x:m/>
    <x:x v="4"/>
    <x:x v="4"/>
    <x:x v="2"/>
    <x:n v="2180"/>
    <x:n v="2180"/>
    <x:n v="680"/>
    <x:x v="10"/>
    <x:s v="Adana"/>
  </x:r>
  <x:r>
    <x:m/>
    <x:x v="1"/>
    <x:x v="23"/>
    <x:x v="2"/>
    <x:n v="3700"/>
    <x:n v="3700"/>
    <x:n v="700"/>
    <x:x v="10"/>
    <x:s v="Kocaeli"/>
  </x:r>
  <x:r>
    <x:m/>
    <x:x v="6"/>
    <x:x v="7"/>
    <x:x v="1"/>
    <x:n v="1100"/>
    <x:n v="3300"/>
    <x:n v="900"/>
    <x:x v="10"/>
    <x:s v="Ankara"/>
  </x:r>
  <x:r>
    <x:m/>
    <x:x v="5"/>
    <x:x v="23"/>
    <x:x v="2"/>
    <x:n v="3700"/>
    <x:n v="3700"/>
    <x:n v="700"/>
    <x:x v="10"/>
    <x:s v="Hatay"/>
  </x:r>
  <x:r>
    <x:m/>
    <x:x v="10"/>
    <x:x v="14"/>
    <x:x v="2"/>
    <x:n v="1490"/>
    <x:n v="1490"/>
    <x:n v="690"/>
    <x:x v="10"/>
    <x:s v="Gaziantep"/>
  </x:r>
  <x:r>
    <x:m/>
    <x:x v="9"/>
    <x:x v="22"/>
    <x:x v="2"/>
    <x:n v="1500"/>
    <x:n v="1500"/>
    <x:n v="700"/>
    <x:x v="10"/>
    <x:s v="Mersin"/>
  </x:r>
  <x:r>
    <x:m/>
    <x:x v="8"/>
    <x:x v="11"/>
    <x:x v="0"/>
    <x:n v="1090"/>
    <x:n v="2180"/>
    <x:n v="580"/>
    <x:x v="10"/>
    <x:s v="Diyarbakır"/>
  </x:r>
  <x:r>
    <x:m/>
    <x:x v="10"/>
    <x:x v="12"/>
    <x:x v="1"/>
    <x:n v="1800"/>
    <x:n v="5400"/>
    <x:n v="3000"/>
    <x:x v="10"/>
    <x:s v="Şanlıurfa"/>
  </x:r>
  <x:r>
    <x:m/>
    <x:x v="7"/>
    <x:x v="20"/>
    <x:x v="0"/>
    <x:n v="7530"/>
    <x:n v="15060"/>
    <x:n v="3060"/>
    <x:x v="10"/>
    <x:s v="Antalya"/>
  </x:r>
  <x:r>
    <x:m/>
    <x:x v="6"/>
    <x:x v="7"/>
    <x:x v="1"/>
    <x:n v="1100"/>
    <x:n v="3300"/>
    <x:n v="900"/>
    <x:x v="10"/>
    <x:s v="Antalya"/>
  </x:r>
  <x:r>
    <x:m/>
    <x:x v="9"/>
    <x:x v="3"/>
    <x:x v="1"/>
    <x:n v="1350"/>
    <x:n v="4050"/>
    <x:n v="1650"/>
    <x:x v="10"/>
    <x:s v="Hatay"/>
  </x:r>
  <x:r>
    <x:m/>
    <x:x v="8"/>
    <x:x v="3"/>
    <x:x v="2"/>
    <x:n v="1350"/>
    <x:n v="1350"/>
    <x:n v="550"/>
    <x:x v="10"/>
    <x:s v="Hatay"/>
  </x:r>
  <x:r>
    <x:m/>
    <x:x v="7"/>
    <x:x v="11"/>
    <x:x v="0"/>
    <x:n v="1090"/>
    <x:n v="2180"/>
    <x:n v="580"/>
    <x:x v="10"/>
    <x:s v="Antalya"/>
  </x:r>
  <x:r>
    <x:m/>
    <x:x v="7"/>
    <x:x v="15"/>
    <x:x v="2"/>
    <x:n v="4200"/>
    <x:n v="4200"/>
    <x:n v="1200"/>
    <x:x v="10"/>
    <x:s v="Adana"/>
  </x:r>
  <x:r>
    <x:m/>
    <x:x v="9"/>
    <x:x v="10"/>
    <x:x v="0"/>
    <x:n v="1800"/>
    <x:n v="3600"/>
    <x:n v="2000"/>
    <x:x v="10"/>
    <x:s v="İzmir"/>
  </x:r>
  <x:r>
    <x:m/>
    <x:x v="11"/>
    <x:x v="11"/>
    <x:x v="2"/>
    <x:n v="1090"/>
    <x:n v="1090"/>
    <x:n v="290"/>
    <x:x v="10"/>
    <x:s v="Ankara"/>
  </x:r>
  <x:r>
    <x:m/>
    <x:x v="0"/>
    <x:x v="5"/>
    <x:x v="2"/>
    <x:n v="7600"/>
    <x:n v="7600"/>
    <x:n v="1600"/>
    <x:x v="10"/>
    <x:s v="Diyarbakır"/>
  </x:r>
  <x:r>
    <x:m/>
    <x:x v="8"/>
    <x:x v="5"/>
    <x:x v="1"/>
    <x:n v="7600"/>
    <x:n v="22800"/>
    <x:n v="4800"/>
    <x:x v="10"/>
    <x:s v="Diyarbakır"/>
  </x:r>
  <x:r>
    <x:m/>
    <x:x v="2"/>
    <x:x v="23"/>
    <x:x v="2"/>
    <x:n v="3700"/>
    <x:n v="3700"/>
    <x:n v="700"/>
    <x:x v="10"/>
    <x:s v="Konya"/>
  </x:r>
  <x:r>
    <x:m/>
    <x:x v="4"/>
    <x:x v="6"/>
    <x:x v="1"/>
    <x:n v="7250"/>
    <x:n v="21750"/>
    <x:n v="6750"/>
    <x:x v="10"/>
    <x:s v="İzmir"/>
  </x:r>
  <x:r>
    <x:m/>
    <x:x v="1"/>
    <x:x v="5"/>
    <x:x v="1"/>
    <x:n v="7600"/>
    <x:n v="22800"/>
    <x:n v="4800"/>
    <x:x v="10"/>
    <x:s v="İzmir"/>
  </x:r>
  <x:r>
    <x:m/>
    <x:x v="10"/>
    <x:x v="15"/>
    <x:x v="2"/>
    <x:n v="4200"/>
    <x:n v="4200"/>
    <x:n v="1200"/>
    <x:x v="10"/>
    <x:s v="Şanlıurfa"/>
  </x:r>
  <x:r>
    <x:m/>
    <x:x v="6"/>
    <x:x v="18"/>
    <x:x v="1"/>
    <x:n v="1250"/>
    <x:n v="3750"/>
    <x:n v="1350"/>
    <x:x v="10"/>
    <x:s v="Adana"/>
  </x:r>
  <x:r>
    <x:m/>
    <x:x v="8"/>
    <x:x v="11"/>
    <x:x v="2"/>
    <x:n v="1090"/>
    <x:n v="1090"/>
    <x:n v="290"/>
    <x:x v="10"/>
    <x:s v="Adana"/>
  </x:r>
  <x:r>
    <x:m/>
    <x:x v="3"/>
    <x:x v="4"/>
    <x:x v="2"/>
    <x:n v="2180"/>
    <x:n v="2180"/>
    <x:n v="680"/>
    <x:x v="10"/>
    <x:s v="Şanlıurfa"/>
  </x:r>
  <x:r>
    <x:m/>
    <x:x v="11"/>
    <x:x v="23"/>
    <x:x v="0"/>
    <x:n v="3700"/>
    <x:n v="7400"/>
    <x:n v="1400"/>
    <x:x v="10"/>
    <x:s v="Ankara"/>
  </x:r>
  <x:r>
    <x:m/>
    <x:x v="9"/>
    <x:x v="0"/>
    <x:x v="0"/>
    <x:n v="6000"/>
    <x:n v="12000"/>
    <x:n v="4000"/>
    <x:x v="10"/>
    <x:s v="Adana"/>
  </x:r>
  <x:r>
    <x:m/>
    <x:x v="10"/>
    <x:x v="18"/>
    <x:x v="0"/>
    <x:n v="1250"/>
    <x:n v="2500"/>
    <x:n v="900"/>
    <x:x v="10"/>
    <x:s v="Hatay"/>
  </x:r>
  <x:r>
    <x:m/>
    <x:x v="11"/>
    <x:x v="5"/>
    <x:x v="2"/>
    <x:n v="7600"/>
    <x:n v="7600"/>
    <x:n v="1600"/>
    <x:x v="10"/>
    <x:s v="İzmir"/>
  </x:r>
  <x:r>
    <x:m/>
    <x:x v="0"/>
    <x:x v="1"/>
    <x:x v="0"/>
    <x:n v="1400"/>
    <x:n v="2800"/>
    <x:n v="1200"/>
    <x:x v="10"/>
    <x:s v="Antalya"/>
  </x:r>
  <x:r>
    <x:m/>
    <x:x v="4"/>
    <x:x v="4"/>
    <x:x v="0"/>
    <x:n v="2180"/>
    <x:n v="4360"/>
    <x:n v="1360"/>
    <x:x v="10"/>
    <x:s v="Gaziantep"/>
  </x:r>
  <x:r>
    <x:m/>
    <x:x v="0"/>
    <x:x v="10"/>
    <x:x v="1"/>
    <x:n v="1800"/>
    <x:n v="5400"/>
    <x:n v="3000"/>
    <x:x v="10"/>
    <x:s v="İzmir"/>
  </x:r>
  <x:r>
    <x:m/>
    <x:x v="2"/>
    <x:x v="22"/>
    <x:x v="2"/>
    <x:n v="1500"/>
    <x:n v="1500"/>
    <x:n v="700"/>
    <x:x v="10"/>
    <x:s v="Ankara"/>
  </x:r>
  <x:r>
    <x:m/>
    <x:x v="6"/>
    <x:x v="2"/>
    <x:x v="1"/>
    <x:n v="8450"/>
    <x:n v="25350"/>
    <x:n v="7350"/>
    <x:x v="10"/>
    <x:s v="Antalya"/>
  </x:r>
  <x:r>
    <x:m/>
    <x:x v="9"/>
    <x:x v="22"/>
    <x:x v="1"/>
    <x:n v="1500"/>
    <x:n v="4500"/>
    <x:n v="2100"/>
    <x:x v="10"/>
    <x:s v="Gaziantep"/>
  </x:r>
  <x:r>
    <x:m/>
    <x:x v="5"/>
    <x:x v="0"/>
    <x:x v="1"/>
    <x:n v="6000"/>
    <x:n v="18000"/>
    <x:n v="6000"/>
    <x:x v="10"/>
    <x:s v="Hatay"/>
  </x:r>
  <x:r>
    <x:m/>
    <x:x v="11"/>
    <x:x v="19"/>
    <x:x v="2"/>
    <x:n v="1200"/>
    <x:n v="1200"/>
    <x:n v="400"/>
    <x:x v="10"/>
    <x:s v="Mersin"/>
  </x:r>
  <x:r>
    <x:m/>
    <x:x v="0"/>
    <x:x v="15"/>
    <x:x v="1"/>
    <x:n v="4200"/>
    <x:n v="12600"/>
    <x:n v="3600"/>
    <x:x v="10"/>
    <x:s v="Ankara"/>
  </x:r>
  <x:r>
    <x:m/>
    <x:x v="10"/>
    <x:x v="5"/>
    <x:x v="1"/>
    <x:n v="7600"/>
    <x:n v="22800"/>
    <x:n v="4800"/>
    <x:x v="10"/>
    <x:s v="Diyarbakır"/>
  </x:r>
  <x:r>
    <x:m/>
    <x:x v="5"/>
    <x:x v="6"/>
    <x:x v="0"/>
    <x:n v="7250"/>
    <x:n v="14500"/>
    <x:n v="4500"/>
    <x:x v="10"/>
    <x:s v="İstanbul"/>
  </x:r>
  <x:r>
    <x:m/>
    <x:x v="1"/>
    <x:x v="20"/>
    <x:x v="0"/>
    <x:n v="7530"/>
    <x:n v="15060"/>
    <x:n v="3060"/>
    <x:x v="10"/>
    <x:s v="Kocaeli"/>
  </x:r>
  <x:r>
    <x:m/>
    <x:x v="2"/>
    <x:x v="6"/>
    <x:x v="0"/>
    <x:n v="7250"/>
    <x:n v="14500"/>
    <x:n v="4500"/>
    <x:x v="10"/>
    <x:s v="Ankara"/>
  </x:r>
  <x:r>
    <x:m/>
    <x:x v="1"/>
    <x:x v="0"/>
    <x:x v="2"/>
    <x:n v="6000"/>
    <x:n v="6000"/>
    <x:n v="2000"/>
    <x:x v="10"/>
    <x:s v="Adana"/>
  </x:r>
  <x:r>
    <x:m/>
    <x:x v="5"/>
    <x:x v="19"/>
    <x:x v="1"/>
    <x:n v="1200"/>
    <x:n v="3600"/>
    <x:n v="1200"/>
    <x:x v="10"/>
    <x:s v="Bursa"/>
  </x:r>
  <x:r>
    <x:m/>
    <x:x v="11"/>
    <x:x v="21"/>
    <x:x v="0"/>
    <x:n v="5300"/>
    <x:n v="10600"/>
    <x:n v="2600"/>
    <x:x v="10"/>
    <x:s v="Bursa"/>
  </x:r>
  <x:r>
    <x:m/>
    <x:x v="8"/>
    <x:x v="2"/>
    <x:x v="0"/>
    <x:n v="8450"/>
    <x:n v="16900"/>
    <x:n v="4900"/>
    <x:x v="10"/>
    <x:s v="Diyarbakır"/>
  </x:r>
  <x:r>
    <x:m/>
    <x:x v="4"/>
    <x:x v="3"/>
    <x:x v="2"/>
    <x:n v="1350"/>
    <x:n v="1350"/>
    <x:n v="550"/>
    <x:x v="10"/>
    <x:s v="Ankara"/>
  </x:r>
  <x:r>
    <x:m/>
    <x:x v="6"/>
    <x:x v="11"/>
    <x:x v="2"/>
    <x:n v="1090"/>
    <x:n v="1090"/>
    <x:n v="290"/>
    <x:x v="10"/>
    <x:s v="Şanlıurfa"/>
  </x:r>
  <x:r>
    <x:m/>
    <x:x v="4"/>
    <x:x v="4"/>
    <x:x v="2"/>
    <x:n v="2180"/>
    <x:n v="2180"/>
    <x:n v="680"/>
    <x:x v="10"/>
    <x:s v="İstanbul"/>
  </x:r>
  <x:r>
    <x:m/>
    <x:x v="0"/>
    <x:x v="0"/>
    <x:x v="0"/>
    <x:n v="6000"/>
    <x:n v="12000"/>
    <x:n v="4000"/>
    <x:x v="10"/>
    <x:s v="Gaziantep"/>
  </x:r>
  <x:r>
    <x:m/>
    <x:x v="1"/>
    <x:x v="1"/>
    <x:x v="0"/>
    <x:n v="1400"/>
    <x:n v="2800"/>
    <x:n v="1200"/>
    <x:x v="10"/>
    <x:s v="İzmir"/>
  </x:r>
  <x:r>
    <x:m/>
    <x:x v="2"/>
    <x:x v="2"/>
    <x:x v="0"/>
    <x:n v="8450"/>
    <x:n v="16900"/>
    <x:n v="4900"/>
    <x:x v="10"/>
    <x:s v="Gaziantep"/>
  </x:r>
  <x:r>
    <x:m/>
    <x:x v="3"/>
    <x:x v="3"/>
    <x:x v="1"/>
    <x:n v="1350"/>
    <x:n v="4050"/>
    <x:n v="1650"/>
    <x:x v="10"/>
    <x:s v="Ankara"/>
  </x:r>
  <x:r>
    <x:m/>
    <x:x v="0"/>
    <x:x v="4"/>
    <x:x v="0"/>
    <x:n v="2180"/>
    <x:n v="4360"/>
    <x:n v="1360"/>
    <x:x v="10"/>
    <x:s v="Antalya"/>
  </x:r>
  <x:r>
    <x:m/>
    <x:x v="4"/>
    <x:x v="5"/>
    <x:x v="0"/>
    <x:n v="7600"/>
    <x:n v="15200"/>
    <x:n v="3200"/>
    <x:x v="10"/>
    <x:s v="Bursa"/>
  </x:r>
  <x:r>
    <x:m/>
    <x:x v="1"/>
    <x:x v="6"/>
    <x:x v="0"/>
    <x:n v="7250"/>
    <x:n v="14500"/>
    <x:n v="4500"/>
    <x:x v="10"/>
    <x:s v="Konya"/>
  </x:r>
  <x:r>
    <x:m/>
    <x:x v="3"/>
    <x:x v="7"/>
    <x:x v="1"/>
    <x:n v="1100"/>
    <x:n v="3300"/>
    <x:n v="900"/>
    <x:x v="10"/>
    <x:s v="Antalya"/>
  </x:r>
  <x:r>
    <x:m/>
    <x:x v="5"/>
    <x:x v="0"/>
    <x:x v="0"/>
    <x:n v="6000"/>
    <x:n v="12000"/>
    <x:n v="4000"/>
    <x:x v="11"/>
    <x:s v="Şanlıurfa"/>
  </x:r>
  <x:r>
    <x:m/>
    <x:x v="0"/>
    <x:x v="9"/>
    <x:x v="2"/>
    <x:n v="1200"/>
    <x:n v="1200"/>
    <x:n v="400"/>
    <x:x v="11"/>
    <x:s v="Diyarbakır"/>
  </x:r>
  <x:r>
    <x:m/>
    <x:x v="6"/>
    <x:x v="10"/>
    <x:x v="0"/>
    <x:n v="1800"/>
    <x:n v="3600"/>
    <x:n v="2000"/>
    <x:x v="11"/>
    <x:s v="Mersin"/>
  </x:r>
  <x:r>
    <x:m/>
    <x:x v="6"/>
    <x:x v="11"/>
    <x:x v="0"/>
    <x:n v="1090"/>
    <x:n v="2180"/>
    <x:n v="580"/>
    <x:x v="11"/>
    <x:s v="Kocaeli"/>
  </x:r>
  <x:r>
    <x:m/>
    <x:x v="5"/>
    <x:x v="4"/>
    <x:x v="1"/>
    <x:n v="2180"/>
    <x:n v="6540"/>
    <x:n v="2040"/>
    <x:x v="11"/>
    <x:s v="Şanlıurfa"/>
  </x:r>
  <x:r>
    <x:m/>
    <x:x v="7"/>
    <x:x v="10"/>
    <x:x v="1"/>
    <x:n v="1800"/>
    <x:n v="5400"/>
    <x:n v="3000"/>
    <x:x v="11"/>
    <x:s v="Bursa"/>
  </x:r>
  <x:r>
    <x:m/>
    <x:x v="4"/>
    <x:x v="12"/>
    <x:x v="1"/>
    <x:n v="8000"/>
    <x:n v="24000"/>
    <x:n v="6000"/>
    <x:x v="11"/>
    <x:s v="Ankara"/>
  </x:r>
  <x:r>
    <x:m/>
    <x:x v="5"/>
    <x:x v="1"/>
    <x:x v="2"/>
    <x:n v="1400"/>
    <x:n v="1400"/>
    <x:n v="600"/>
    <x:x v="11"/>
    <x:s v="Adana"/>
  </x:r>
  <x:r>
    <x:m/>
    <x:x v="8"/>
    <x:x v="13"/>
    <x:x v="2"/>
    <x:n v="10590"/>
    <x:n v="10590"/>
    <x:n v="4590"/>
    <x:x v="11"/>
    <x:s v="Bursa"/>
  </x:r>
  <x:r>
    <x:m/>
    <x:x v="9"/>
    <x:x v="3"/>
    <x:x v="0"/>
    <x:n v="1350"/>
    <x:n v="2700"/>
    <x:n v="1100"/>
    <x:x v="11"/>
    <x:s v="Ankara"/>
  </x:r>
  <x:r>
    <x:m/>
    <x:x v="6"/>
    <x:x v="1"/>
    <x:x v="0"/>
    <x:n v="1400"/>
    <x:n v="2800"/>
    <x:n v="1200"/>
    <x:x v="11"/>
    <x:s v="Antalya"/>
  </x:r>
  <x:r>
    <x:m/>
    <x:x v="3"/>
    <x:x v="0"/>
    <x:x v="2"/>
    <x:n v="6000"/>
    <x:n v="6000"/>
    <x:n v="2000"/>
    <x:x v="11"/>
    <x:s v="Adana"/>
  </x:r>
  <x:r>
    <x:m/>
    <x:x v="8"/>
    <x:x v="7"/>
    <x:x v="0"/>
    <x:n v="1100"/>
    <x:n v="2200"/>
    <x:n v="600"/>
    <x:x v="11"/>
    <x:s v="Hatay"/>
  </x:r>
  <x:r>
    <x:m/>
    <x:x v="2"/>
    <x:x v="0"/>
    <x:x v="0"/>
    <x:n v="6000"/>
    <x:n v="12000"/>
    <x:n v="4000"/>
    <x:x v="11"/>
    <x:s v="İstanbul"/>
  </x:r>
  <x:r>
    <x:m/>
    <x:x v="9"/>
    <x:x v="14"/>
    <x:x v="2"/>
    <x:n v="1490"/>
    <x:n v="1490"/>
    <x:n v="690"/>
    <x:x v="11"/>
    <x:s v="Kocaeli"/>
  </x:r>
  <x:r>
    <x:m/>
    <x:x v="8"/>
    <x:x v="13"/>
    <x:x v="0"/>
    <x:n v="10590"/>
    <x:n v="21180"/>
    <x:n v="9180"/>
    <x:x v="11"/>
    <x:s v="İstanbul"/>
  </x:r>
  <x:r>
    <x:m/>
    <x:x v="2"/>
    <x:x v="12"/>
    <x:x v="1"/>
    <x:n v="8000"/>
    <x:n v="24000"/>
    <x:n v="6000"/>
    <x:x v="11"/>
    <x:s v="İstanbul"/>
  </x:r>
  <x:r>
    <x:m/>
    <x:x v="6"/>
    <x:x v="7"/>
    <x:x v="2"/>
    <x:n v="1100"/>
    <x:n v="1100"/>
    <x:n v="300"/>
    <x:x v="11"/>
    <x:s v="Gaziantep"/>
  </x:r>
  <x:r>
    <x:m/>
    <x:x v="9"/>
    <x:x v="9"/>
    <x:x v="2"/>
    <x:n v="1200"/>
    <x:n v="1200"/>
    <x:n v="400"/>
    <x:x v="11"/>
    <x:s v="Hatay"/>
  </x:r>
  <x:r>
    <x:m/>
    <x:x v="4"/>
    <x:x v="15"/>
    <x:x v="0"/>
    <x:n v="4200"/>
    <x:n v="8400"/>
    <x:n v="2400"/>
    <x:x v="11"/>
    <x:s v="İstanbul"/>
  </x:r>
  <x:r>
    <x:m/>
    <x:x v="1"/>
    <x:x v="16"/>
    <x:x v="1"/>
    <x:n v="5775"/>
    <x:n v="17325"/>
    <x:n v="5325"/>
    <x:x v="11"/>
    <x:s v="Mersin"/>
  </x:r>
  <x:r>
    <x:m/>
    <x:x v="10"/>
    <x:x v="5"/>
    <x:x v="1"/>
    <x:n v="7600"/>
    <x:n v="22800"/>
    <x:n v="4800"/>
    <x:x v="11"/>
    <x:s v="Kocaeli"/>
  </x:r>
  <x:r>
    <x:m/>
    <x:x v="1"/>
    <x:x v="6"/>
    <x:x v="1"/>
    <x:n v="7250"/>
    <x:n v="21750"/>
    <x:n v="6750"/>
    <x:x v="11"/>
    <x:s v="İstanbul"/>
  </x:r>
  <x:r>
    <x:m/>
    <x:x v="0"/>
    <x:x v="6"/>
    <x:x v="1"/>
    <x:n v="7250"/>
    <x:n v="21750"/>
    <x:n v="6750"/>
    <x:x v="11"/>
    <x:s v="Adana"/>
  </x:r>
  <x:r>
    <x:m/>
    <x:x v="8"/>
    <x:x v="6"/>
    <x:x v="1"/>
    <x:n v="7250"/>
    <x:n v="21750"/>
    <x:n v="6750"/>
    <x:x v="11"/>
    <x:s v="Diyarbakır"/>
  </x:r>
  <x:r>
    <x:m/>
    <x:x v="5"/>
    <x:x v="3"/>
    <x:x v="2"/>
    <x:n v="1350"/>
    <x:n v="1350"/>
    <x:n v="550"/>
    <x:x v="11"/>
    <x:s v="Antalya"/>
  </x:r>
  <x:r>
    <x:m/>
    <x:x v="1"/>
    <x:x v="6"/>
    <x:x v="0"/>
    <x:n v="7250"/>
    <x:n v="14500"/>
    <x:n v="4500"/>
    <x:x v="11"/>
    <x:s v="Mersin"/>
  </x:r>
  <x:r>
    <x:m/>
    <x:x v="6"/>
    <x:x v="5"/>
    <x:x v="2"/>
    <x:n v="7600"/>
    <x:n v="7600"/>
    <x:n v="1600"/>
    <x:x v="11"/>
    <x:s v="Gaziantep"/>
  </x:r>
  <x:r>
    <x:m/>
    <x:x v="11"/>
    <x:x v="5"/>
    <x:x v="1"/>
    <x:n v="7600"/>
    <x:n v="22800"/>
    <x:n v="4800"/>
    <x:x v="11"/>
    <x:s v="Ankara"/>
  </x:r>
  <x:r>
    <x:m/>
    <x:x v="1"/>
    <x:x v="14"/>
    <x:x v="1"/>
    <x:n v="1490"/>
    <x:n v="4470"/>
    <x:n v="2070"/>
    <x:x v="11"/>
    <x:s v="Mersin"/>
  </x:r>
  <x:r>
    <x:m/>
    <x:x v="5"/>
    <x:x v="17"/>
    <x:x v="0"/>
    <x:n v="2900"/>
    <x:n v="5800"/>
    <x:n v="1800"/>
    <x:x v="11"/>
    <x:s v="Diyarbakır"/>
  </x:r>
  <x:r>
    <x:m/>
    <x:x v="9"/>
    <x:x v="14"/>
    <x:x v="2"/>
    <x:n v="1490"/>
    <x:n v="1490"/>
    <x:n v="690"/>
    <x:x v="11"/>
    <x:s v="Mersin"/>
  </x:r>
  <x:r>
    <x:m/>
    <x:x v="9"/>
    <x:x v="11"/>
    <x:x v="0"/>
    <x:n v="1090"/>
    <x:n v="2180"/>
    <x:n v="580"/>
    <x:x v="11"/>
    <x:s v="Konya"/>
  </x:r>
  <x:r>
    <x:m/>
    <x:x v="5"/>
    <x:x v="9"/>
    <x:x v="0"/>
    <x:n v="1200"/>
    <x:n v="2400"/>
    <x:n v="800"/>
    <x:x v="11"/>
    <x:s v="Hatay"/>
  </x:r>
  <x:r>
    <x:m/>
    <x:x v="8"/>
    <x:x v="13"/>
    <x:x v="0"/>
    <x:n v="10590"/>
    <x:n v="21180"/>
    <x:n v="9180"/>
    <x:x v="11"/>
    <x:s v="İzmir"/>
  </x:r>
  <x:r>
    <x:m/>
    <x:x v="6"/>
    <x:x v="15"/>
    <x:x v="1"/>
    <x:n v="4200"/>
    <x:n v="12600"/>
    <x:n v="3600"/>
    <x:x v="11"/>
    <x:s v="Mersin"/>
  </x:r>
  <x:r>
    <x:m/>
    <x:x v="3"/>
    <x:x v="15"/>
    <x:x v="1"/>
    <x:n v="4200"/>
    <x:n v="12600"/>
    <x:n v="3600"/>
    <x:x v="11"/>
    <x:s v="Gaziantep"/>
  </x:r>
  <x:r>
    <x:m/>
    <x:x v="7"/>
    <x:x v="13"/>
    <x:x v="0"/>
    <x:n v="10590"/>
    <x:n v="21180"/>
    <x:n v="9180"/>
    <x:x v="11"/>
    <x:s v="Şanlıurfa"/>
  </x:r>
  <x:r>
    <x:m/>
    <x:x v="11"/>
    <x:x v="18"/>
    <x:x v="2"/>
    <x:n v="1250"/>
    <x:n v="1250"/>
    <x:n v="450"/>
    <x:x v="11"/>
    <x:s v="İstanbul"/>
  </x:r>
  <x:r>
    <x:m/>
    <x:x v="0"/>
    <x:x v="14"/>
    <x:x v="1"/>
    <x:n v="1490"/>
    <x:n v="4470"/>
    <x:n v="2070"/>
    <x:x v="11"/>
    <x:s v="Ankara"/>
  </x:r>
  <x:r>
    <x:m/>
    <x:x v="6"/>
    <x:x v="9"/>
    <x:x v="0"/>
    <x:n v="1200"/>
    <x:n v="2400"/>
    <x:n v="800"/>
    <x:x v="11"/>
    <x:s v="Hatay"/>
  </x:r>
  <x:r>
    <x:m/>
    <x:x v="2"/>
    <x:x v="4"/>
    <x:x v="1"/>
    <x:n v="2180"/>
    <x:n v="6540"/>
    <x:n v="2040"/>
    <x:x v="11"/>
    <x:s v="Konya"/>
  </x:r>
  <x:r>
    <x:m/>
    <x:x v="9"/>
    <x:x v="19"/>
    <x:x v="1"/>
    <x:n v="1200"/>
    <x:n v="3600"/>
    <x:n v="1200"/>
    <x:x v="11"/>
    <x:s v="İstanbul"/>
  </x:r>
  <x:r>
    <x:m/>
    <x:x v="0"/>
    <x:x v="10"/>
    <x:x v="2"/>
    <x:n v="1800"/>
    <x:n v="1800"/>
    <x:n v="1000"/>
    <x:x v="11"/>
    <x:s v="Hatay"/>
  </x:r>
  <x:r>
    <x:m/>
    <x:x v="2"/>
    <x:x v="5"/>
    <x:x v="2"/>
    <x:n v="7600"/>
    <x:n v="7600"/>
    <x:n v="1600"/>
    <x:x v="11"/>
    <x:s v="Antalya"/>
  </x:r>
  <x:r>
    <x:m/>
    <x:x v="7"/>
    <x:x v="20"/>
    <x:x v="2"/>
    <x:n v="7530"/>
    <x:n v="7530"/>
    <x:n v="1530"/>
    <x:x v="11"/>
    <x:s v="Ankara"/>
  </x:r>
  <x:r>
    <x:m/>
    <x:x v="11"/>
    <x:x v="14"/>
    <x:x v="0"/>
    <x:n v="1490"/>
    <x:n v="2980"/>
    <x:n v="1380"/>
    <x:x v="11"/>
    <x:s v="Kocaeli"/>
  </x:r>
  <x:r>
    <x:m/>
    <x:x v="0"/>
    <x:x v="21"/>
    <x:x v="2"/>
    <x:n v="5300"/>
    <x:n v="5300"/>
    <x:n v="1300"/>
    <x:x v="11"/>
    <x:s v="İzmir"/>
  </x:r>
  <x:r>
    <x:m/>
    <x:x v="4"/>
    <x:x v="9"/>
    <x:x v="0"/>
    <x:n v="1200"/>
    <x:n v="2400"/>
    <x:n v="800"/>
    <x:x v="11"/>
    <x:s v="Diyarbakır"/>
  </x:r>
  <x:r>
    <x:m/>
    <x:x v="9"/>
    <x:x v="11"/>
    <x:x v="2"/>
    <x:n v="1090"/>
    <x:n v="1090"/>
    <x:n v="290"/>
    <x:x v="11"/>
    <x:s v="Ankara"/>
  </x:r>
  <x:r>
    <x:m/>
    <x:x v="4"/>
    <x:x v="6"/>
    <x:x v="2"/>
    <x:n v="7250"/>
    <x:n v="7250"/>
    <x:n v="2250"/>
    <x:x v="11"/>
    <x:s v="Gaziantep"/>
  </x:r>
  <x:r>
    <x:m/>
    <x:x v="10"/>
    <x:x v="1"/>
    <x:x v="1"/>
    <x:n v="1400"/>
    <x:n v="4200"/>
    <x:n v="1800"/>
    <x:x v="11"/>
    <x:s v="Şanlıurfa"/>
  </x:r>
  <x:r>
    <x:m/>
    <x:x v="2"/>
    <x:x v="22"/>
    <x:x v="2"/>
    <x:n v="1500"/>
    <x:n v="1500"/>
    <x:n v="700"/>
    <x:x v="11"/>
    <x:s v="Kocaeli"/>
  </x:r>
  <x:r>
    <x:m/>
    <x:x v="7"/>
    <x:x v="3"/>
    <x:x v="2"/>
    <x:n v="1350"/>
    <x:n v="1350"/>
    <x:n v="550"/>
    <x:x v="11"/>
    <x:s v="İzmir"/>
  </x:r>
  <x:r>
    <x:m/>
    <x:x v="7"/>
    <x:x v="9"/>
    <x:x v="1"/>
    <x:n v="1200"/>
    <x:n v="3600"/>
    <x:n v="1200"/>
    <x:x v="11"/>
    <x:s v="Ankara"/>
  </x:r>
  <x:r>
    <x:m/>
    <x:x v="1"/>
    <x:x v="20"/>
    <x:x v="1"/>
    <x:n v="7530"/>
    <x:n v="22590"/>
    <x:n v="4590"/>
    <x:x v="11"/>
    <x:s v="Antalya"/>
  </x:r>
  <x:r>
    <x:m/>
    <x:x v="10"/>
    <x:x v="9"/>
    <x:x v="2"/>
    <x:n v="1200"/>
    <x:n v="1200"/>
    <x:n v="400"/>
    <x:x v="11"/>
    <x:s v="Gaziantep"/>
  </x:r>
  <x:r>
    <x:m/>
    <x:x v="8"/>
    <x:x v="10"/>
    <x:x v="1"/>
    <x:n v="1800"/>
    <x:n v="5400"/>
    <x:n v="3000"/>
    <x:x v="11"/>
    <x:s v="Antalya"/>
  </x:r>
  <x:r>
    <x:m/>
    <x:x v="0"/>
    <x:x v="6"/>
    <x:x v="2"/>
    <x:n v="7250"/>
    <x:n v="7250"/>
    <x:n v="2250"/>
    <x:x v="11"/>
    <x:s v="Hatay"/>
  </x:r>
  <x:r>
    <x:m/>
    <x:x v="9"/>
    <x:x v="14"/>
    <x:x v="1"/>
    <x:n v="1490"/>
    <x:n v="4470"/>
    <x:n v="2070"/>
    <x:x v="11"/>
    <x:s v="Diyarbakır"/>
  </x:r>
  <x:r>
    <x:m/>
    <x:x v="9"/>
    <x:x v="19"/>
    <x:x v="2"/>
    <x:n v="1200"/>
    <x:n v="1200"/>
    <x:n v="400"/>
    <x:x v="11"/>
    <x:s v="Hatay"/>
  </x:r>
  <x:r>
    <x:m/>
    <x:x v="1"/>
    <x:x v="12"/>
    <x:x v="2"/>
    <x:n v="8000"/>
    <x:n v="8000"/>
    <x:n v="2000"/>
    <x:x v="11"/>
    <x:s v="Şanlıurfa"/>
  </x:r>
  <x:r>
    <x:m/>
    <x:x v="6"/>
    <x:x v="1"/>
    <x:x v="2"/>
    <x:n v="1400"/>
    <x:n v="1400"/>
    <x:n v="600"/>
    <x:x v="11"/>
    <x:s v="Şanlıurfa"/>
  </x:r>
  <x:r>
    <x:m/>
    <x:x v="5"/>
    <x:x v="3"/>
    <x:x v="2"/>
    <x:n v="1350"/>
    <x:n v="1350"/>
    <x:n v="550"/>
    <x:x v="11"/>
    <x:s v="Diyarbakır"/>
  </x:r>
  <x:r>
    <x:m/>
    <x:x v="8"/>
    <x:x v="19"/>
    <x:x v="2"/>
    <x:n v="1200"/>
    <x:n v="1200"/>
    <x:n v="400"/>
    <x:x v="11"/>
    <x:s v="Hatay"/>
  </x:r>
  <x:r>
    <x:m/>
    <x:x v="6"/>
    <x:x v="21"/>
    <x:x v="2"/>
    <x:n v="5300"/>
    <x:n v="5300"/>
    <x:n v="1300"/>
    <x:x v="11"/>
    <x:s v="Bursa"/>
  </x:r>
  <x:r>
    <x:m/>
    <x:x v="9"/>
    <x:x v="13"/>
    <x:x v="1"/>
    <x:n v="10590"/>
    <x:n v="31770"/>
    <x:n v="13770"/>
    <x:x v="11"/>
    <x:s v="Adana"/>
  </x:r>
  <x:r>
    <x:m/>
    <x:x v="4"/>
    <x:x v="18"/>
    <x:x v="2"/>
    <x:n v="1250"/>
    <x:n v="1250"/>
    <x:n v="450"/>
    <x:x v="11"/>
    <x:s v="Diyarbakır"/>
  </x:r>
  <x:r>
    <x:m/>
    <x:x v="11"/>
    <x:x v="19"/>
    <x:x v="2"/>
    <x:n v="1200"/>
    <x:n v="1200"/>
    <x:n v="400"/>
    <x:x v="11"/>
    <x:s v="Hatay"/>
  </x:r>
  <x:r>
    <x:m/>
    <x:x v="4"/>
    <x:x v="1"/>
    <x:x v="1"/>
    <x:n v="1400"/>
    <x:n v="4200"/>
    <x:n v="1800"/>
    <x:x v="11"/>
    <x:s v="Kocaeli"/>
  </x:r>
  <x:r>
    <x:m/>
    <x:x v="11"/>
    <x:x v="20"/>
    <x:x v="0"/>
    <x:n v="7530"/>
    <x:n v="15060"/>
    <x:n v="3060"/>
    <x:x v="11"/>
    <x:s v="İstanbul"/>
  </x:r>
  <x:r>
    <x:m/>
    <x:x v="6"/>
    <x:x v="5"/>
    <x:x v="2"/>
    <x:n v="7600"/>
    <x:n v="7600"/>
    <x:n v="1600"/>
    <x:x v="11"/>
    <x:s v="Kocaeli"/>
  </x:r>
  <x:r>
    <x:m/>
    <x:x v="11"/>
    <x:x v="22"/>
    <x:x v="2"/>
    <x:n v="1500"/>
    <x:n v="1500"/>
    <x:n v="700"/>
    <x:x v="11"/>
    <x:s v="Şanlıurfa"/>
  </x:r>
  <x:r>
    <x:m/>
    <x:x v="9"/>
    <x:x v="4"/>
    <x:x v="0"/>
    <x:n v="2180"/>
    <x:n v="4360"/>
    <x:n v="1360"/>
    <x:x v="11"/>
    <x:s v="İzmir"/>
  </x:r>
  <x:r>
    <x:m/>
    <x:x v="3"/>
    <x:x v="4"/>
    <x:x v="2"/>
    <x:n v="2180"/>
    <x:n v="2180"/>
    <x:n v="680"/>
    <x:x v="11"/>
    <x:s v="Mersin"/>
  </x:r>
  <x:r>
    <x:m/>
    <x:x v="9"/>
    <x:x v="16"/>
    <x:x v="2"/>
    <x:n v="5775"/>
    <x:n v="5775"/>
    <x:n v="1775"/>
    <x:x v="11"/>
    <x:s v="Şanlıurfa"/>
  </x:r>
  <x:r>
    <x:m/>
    <x:x v="9"/>
    <x:x v="7"/>
    <x:x v="1"/>
    <x:n v="1100"/>
    <x:n v="3300"/>
    <x:n v="900"/>
    <x:x v="11"/>
    <x:s v="Kocaeli"/>
  </x:r>
  <x:r>
    <x:m/>
    <x:x v="10"/>
    <x:x v="16"/>
    <x:x v="2"/>
    <x:n v="5775"/>
    <x:n v="5775"/>
    <x:n v="1775"/>
    <x:x v="11"/>
    <x:s v="Kocaeli"/>
  </x:r>
  <x:r>
    <x:m/>
    <x:x v="7"/>
    <x:x v="3"/>
    <x:x v="2"/>
    <x:n v="1350"/>
    <x:n v="1350"/>
    <x:n v="550"/>
    <x:x v="11"/>
    <x:s v="Şanlıurfa"/>
  </x:r>
  <x:r>
    <x:m/>
    <x:x v="0"/>
    <x:x v="5"/>
    <x:x v="1"/>
    <x:n v="7600"/>
    <x:n v="22800"/>
    <x:n v="4800"/>
    <x:x v="11"/>
    <x:s v="Konya"/>
  </x:r>
  <x:r>
    <x:m/>
    <x:x v="2"/>
    <x:x v="6"/>
    <x:x v="1"/>
    <x:n v="7250"/>
    <x:n v="21750"/>
    <x:n v="6750"/>
    <x:x v="11"/>
    <x:s v="İzmir"/>
  </x:r>
  <x:r>
    <x:m/>
    <x:x v="11"/>
    <x:x v="14"/>
    <x:x v="0"/>
    <x:n v="1490"/>
    <x:n v="2980"/>
    <x:n v="1380"/>
    <x:x v="11"/>
    <x:s v="İstanbul"/>
  </x:r>
  <x:r>
    <x:m/>
    <x:x v="3"/>
    <x:x v="14"/>
    <x:x v="0"/>
    <x:n v="1490"/>
    <x:n v="2980"/>
    <x:n v="1380"/>
    <x:x v="11"/>
    <x:s v="Kocaeli"/>
  </x:r>
  <x:r>
    <x:m/>
    <x:x v="8"/>
    <x:x v="11"/>
    <x:x v="0"/>
    <x:n v="1090"/>
    <x:n v="2180"/>
    <x:n v="580"/>
    <x:x v="11"/>
    <x:s v="Adana"/>
  </x:r>
  <x:r>
    <x:m/>
    <x:x v="8"/>
    <x:x v="9"/>
    <x:x v="1"/>
    <x:n v="1200"/>
    <x:n v="3600"/>
    <x:n v="1200"/>
    <x:x v="11"/>
    <x:s v="Adana"/>
  </x:r>
  <x:r>
    <x:m/>
    <x:x v="11"/>
    <x:x v="11"/>
    <x:x v="0"/>
    <x:n v="1090"/>
    <x:n v="2180"/>
    <x:n v="580"/>
    <x:x v="11"/>
    <x:s v="Mersin"/>
  </x:r>
  <x:r>
    <x:m/>
    <x:x v="11"/>
    <x:x v="4"/>
    <x:x v="1"/>
    <x:n v="2180"/>
    <x:n v="6540"/>
    <x:n v="2040"/>
    <x:x v="11"/>
    <x:s v="Gaziantep"/>
  </x:r>
  <x:r>
    <x:m/>
    <x:x v="2"/>
    <x:x v="21"/>
    <x:x v="1"/>
    <x:n v="5300"/>
    <x:n v="15900"/>
    <x:n v="3900"/>
    <x:x v="11"/>
    <x:s v="Hatay"/>
  </x:r>
  <x:r>
    <x:m/>
    <x:x v="11"/>
    <x:x v="21"/>
    <x:x v="0"/>
    <x:n v="5300"/>
    <x:n v="10600"/>
    <x:n v="2600"/>
    <x:x v="11"/>
    <x:s v="Gaziantep"/>
  </x:r>
  <x:r>
    <x:m/>
    <x:x v="5"/>
    <x:x v="6"/>
    <x:x v="0"/>
    <x:n v="7250"/>
    <x:n v="14500"/>
    <x:n v="4500"/>
    <x:x v="11"/>
    <x:s v="Kocaeli"/>
  </x:r>
  <x:r>
    <x:m/>
    <x:x v="5"/>
    <x:x v="19"/>
    <x:x v="1"/>
    <x:n v="1200"/>
    <x:n v="3600"/>
    <x:n v="1200"/>
    <x:x v="11"/>
    <x:s v="Şanlıurfa"/>
  </x:r>
  <x:r>
    <x:m/>
    <x:x v="3"/>
    <x:x v="0"/>
    <x:x v="2"/>
    <x:n v="6000"/>
    <x:n v="6000"/>
    <x:n v="2000"/>
    <x:x v="11"/>
    <x:s v="Bursa"/>
  </x:r>
  <x:r>
    <x:m/>
    <x:x v="2"/>
    <x:x v="2"/>
    <x:x v="1"/>
    <x:n v="8450"/>
    <x:n v="25350"/>
    <x:n v="7350"/>
    <x:x v="11"/>
    <x:s v="Hatay"/>
  </x:r>
  <x:r>
    <x:m/>
    <x:x v="6"/>
    <x:x v="15"/>
    <x:x v="2"/>
    <x:n v="4200"/>
    <x:n v="4200"/>
    <x:n v="1200"/>
    <x:x v="11"/>
    <x:s v="Şanlıurfa"/>
  </x:r>
  <x:r>
    <x:m/>
    <x:x v="6"/>
    <x:x v="13"/>
    <x:x v="1"/>
    <x:n v="10590"/>
    <x:n v="31770"/>
    <x:n v="13770"/>
    <x:x v="11"/>
    <x:s v="Mersin"/>
  </x:r>
  <x:r>
    <x:m/>
    <x:x v="5"/>
    <x:x v="19"/>
    <x:x v="2"/>
    <x:n v="1200"/>
    <x:n v="1200"/>
    <x:n v="400"/>
    <x:x v="11"/>
    <x:s v="Şanlıurfa"/>
  </x:r>
  <x:r>
    <x:m/>
    <x:x v="10"/>
    <x:x v="7"/>
    <x:x v="0"/>
    <x:n v="1100"/>
    <x:n v="2200"/>
    <x:n v="600"/>
    <x:x v="11"/>
    <x:s v="Antalya"/>
  </x:r>
  <x:r>
    <x:m/>
    <x:x v="9"/>
    <x:x v="23"/>
    <x:x v="0"/>
    <x:n v="3700"/>
    <x:n v="7400"/>
    <x:n v="1400"/>
    <x:x v="11"/>
    <x:s v="Mersin"/>
  </x:r>
  <x:r>
    <x:m/>
    <x:x v="1"/>
    <x:x v="23"/>
    <x:x v="2"/>
    <x:n v="3700"/>
    <x:n v="3700"/>
    <x:n v="700"/>
    <x:x v="11"/>
    <x:s v="Antalya"/>
  </x:r>
  <x:r>
    <x:m/>
    <x:x v="6"/>
    <x:x v="7"/>
    <x:x v="1"/>
    <x:n v="1100"/>
    <x:n v="3300"/>
    <x:n v="900"/>
    <x:x v="11"/>
    <x:s v="Adana"/>
  </x:r>
  <x:r>
    <x:m/>
    <x:x v="5"/>
    <x:x v="23"/>
    <x:x v="2"/>
    <x:n v="3700"/>
    <x:n v="3700"/>
    <x:n v="700"/>
    <x:x v="11"/>
    <x:s v="İstanbul"/>
  </x:r>
  <x:r>
    <x:m/>
    <x:x v="10"/>
    <x:x v="14"/>
    <x:x v="2"/>
    <x:n v="1490"/>
    <x:n v="1490"/>
    <x:n v="690"/>
    <x:x v="11"/>
    <x:s v="Konya"/>
  </x:r>
  <x:r>
    <x:m/>
    <x:x v="9"/>
    <x:x v="22"/>
    <x:x v="2"/>
    <x:n v="1500"/>
    <x:n v="1500"/>
    <x:n v="700"/>
    <x:x v="11"/>
    <x:s v="Konya"/>
  </x:r>
  <x:r>
    <x:m/>
    <x:x v="8"/>
    <x:x v="11"/>
    <x:x v="0"/>
    <x:n v="1090"/>
    <x:n v="2180"/>
    <x:n v="580"/>
    <x:x v="11"/>
    <x:s v="İzmir"/>
  </x:r>
  <x:r>
    <x:m/>
    <x:x v="10"/>
    <x:x v="10"/>
    <x:x v="1"/>
    <x:n v="1800"/>
    <x:n v="5400"/>
    <x:n v="3000"/>
    <x:x v="11"/>
    <x:s v="Gaziantep"/>
  </x:r>
  <x:r>
    <x:m/>
    <x:x v="7"/>
    <x:x v="20"/>
    <x:x v="0"/>
    <x:n v="7530"/>
    <x:n v="15060"/>
    <x:n v="3060"/>
    <x:x v="11"/>
    <x:s v="Konya"/>
  </x:r>
  <x:r>
    <x:m/>
    <x:x v="6"/>
    <x:x v="7"/>
    <x:x v="1"/>
    <x:n v="1100"/>
    <x:n v="3300"/>
    <x:n v="900"/>
    <x:x v="11"/>
    <x:s v="Adana"/>
  </x:r>
  <x:r>
    <x:m/>
    <x:x v="9"/>
    <x:x v="3"/>
    <x:x v="1"/>
    <x:n v="1350"/>
    <x:n v="4050"/>
    <x:n v="1650"/>
    <x:x v="11"/>
    <x:s v="Ankara"/>
  </x:r>
  <x:r>
    <x:m/>
    <x:x v="8"/>
    <x:x v="3"/>
    <x:x v="2"/>
    <x:n v="1350"/>
    <x:n v="1350"/>
    <x:n v="550"/>
    <x:x v="11"/>
    <x:s v="Gaziantep"/>
  </x:r>
  <x:r>
    <x:m/>
    <x:x v="7"/>
    <x:x v="11"/>
    <x:x v="0"/>
    <x:n v="1090"/>
    <x:n v="2180"/>
    <x:n v="580"/>
    <x:x v="11"/>
    <x:s v="Ankara"/>
  </x:r>
  <x:r>
    <x:m/>
    <x:x v="7"/>
    <x:x v="15"/>
    <x:x v="2"/>
    <x:n v="4200"/>
    <x:n v="4200"/>
    <x:n v="1200"/>
    <x:x v="11"/>
    <x:s v="Şanlıurfa"/>
  </x:r>
  <x:r>
    <x:m/>
    <x:x v="9"/>
    <x:x v="10"/>
    <x:x v="0"/>
    <x:n v="1800"/>
    <x:n v="3600"/>
    <x:n v="2000"/>
    <x:x v="11"/>
    <x:s v="Bursa"/>
  </x:r>
  <x:r>
    <x:m/>
    <x:x v="11"/>
    <x:x v="11"/>
    <x:x v="2"/>
    <x:n v="1090"/>
    <x:n v="1090"/>
    <x:n v="290"/>
    <x:x v="11"/>
    <x:s v="Şanlıurfa"/>
  </x:r>
  <x:r>
    <x:m/>
    <x:x v="0"/>
    <x:x v="5"/>
    <x:x v="2"/>
    <x:n v="7600"/>
    <x:n v="7600"/>
    <x:n v="1600"/>
    <x:x v="11"/>
    <x:s v="Adana"/>
  </x:r>
  <x:r>
    <x:m/>
    <x:x v="8"/>
    <x:x v="5"/>
    <x:x v="1"/>
    <x:n v="7600"/>
    <x:n v="22800"/>
    <x:n v="4800"/>
    <x:x v="11"/>
    <x:s v="Ankara"/>
  </x:r>
  <x:r>
    <x:m/>
    <x:x v="2"/>
    <x:x v="23"/>
    <x:x v="2"/>
    <x:n v="3700"/>
    <x:n v="3700"/>
    <x:n v="700"/>
    <x:x v="11"/>
    <x:s v="Diyarbakır"/>
  </x:r>
  <x:r>
    <x:m/>
    <x:x v="4"/>
    <x:x v="6"/>
    <x:x v="1"/>
    <x:n v="7250"/>
    <x:n v="21750"/>
    <x:n v="6750"/>
    <x:x v="11"/>
    <x:s v="Bursa"/>
  </x:r>
  <x:r>
    <x:m/>
    <x:x v="1"/>
    <x:x v="5"/>
    <x:x v="1"/>
    <x:n v="7600"/>
    <x:n v="22800"/>
    <x:n v="4800"/>
    <x:x v="11"/>
    <x:s v="Ankara"/>
  </x:r>
  <x:r>
    <x:m/>
    <x:x v="10"/>
    <x:x v="15"/>
    <x:x v="2"/>
    <x:n v="4200"/>
    <x:n v="4200"/>
    <x:n v="1200"/>
    <x:x v="11"/>
    <x:s v="Konya"/>
  </x:r>
  <x:r>
    <x:m/>
    <x:x v="6"/>
    <x:x v="18"/>
    <x:x v="1"/>
    <x:n v="1250"/>
    <x:n v="3750"/>
    <x:n v="1350"/>
    <x:x v="11"/>
    <x:s v="İzmir"/>
  </x:r>
  <x:r>
    <x:m/>
    <x:x v="8"/>
    <x:x v="11"/>
    <x:x v="2"/>
    <x:n v="1090"/>
    <x:n v="1090"/>
    <x:n v="290"/>
    <x:x v="11"/>
    <x:s v="Ankara"/>
  </x:r>
  <x:r>
    <x:m/>
    <x:x v="3"/>
    <x:x v="4"/>
    <x:x v="2"/>
    <x:n v="2180"/>
    <x:n v="2180"/>
    <x:n v="680"/>
    <x:x v="11"/>
    <x:s v="Gaziantep"/>
  </x:r>
  <x:r>
    <x:m/>
    <x:x v="11"/>
    <x:x v="23"/>
    <x:x v="0"/>
    <x:n v="3700"/>
    <x:n v="7400"/>
    <x:n v="1400"/>
    <x:x v="11"/>
    <x:s v="Ankara"/>
  </x:r>
  <x:r>
    <x:m/>
    <x:x v="9"/>
    <x:x v="0"/>
    <x:x v="0"/>
    <x:n v="6000"/>
    <x:n v="12000"/>
    <x:n v="4000"/>
    <x:x v="11"/>
    <x:s v="Adana"/>
  </x:r>
  <x:r>
    <x:m/>
    <x:x v="10"/>
    <x:x v="18"/>
    <x:x v="0"/>
    <x:n v="1250"/>
    <x:n v="2500"/>
    <x:n v="900"/>
    <x:x v="11"/>
    <x:s v="İzmir"/>
  </x:r>
  <x:r>
    <x:m/>
    <x:x v="11"/>
    <x:x v="5"/>
    <x:x v="2"/>
    <x:n v="7600"/>
    <x:n v="7600"/>
    <x:n v="1600"/>
    <x:x v="11"/>
    <x:s v="Hatay"/>
  </x:r>
  <x:r>
    <x:m/>
    <x:x v="0"/>
    <x:x v="1"/>
    <x:x v="0"/>
    <x:n v="1400"/>
    <x:n v="2800"/>
    <x:n v="1200"/>
    <x:x v="11"/>
    <x:s v="Ankara"/>
  </x:r>
  <x:r>
    <x:m/>
    <x:x v="4"/>
    <x:x v="4"/>
    <x:x v="0"/>
    <x:n v="2180"/>
    <x:n v="4360"/>
    <x:n v="1360"/>
    <x:x v="11"/>
    <x:s v="İstanbul"/>
  </x:r>
  <x:r>
    <x:m/>
    <x:x v="0"/>
    <x:x v="10"/>
    <x:x v="1"/>
    <x:n v="1800"/>
    <x:n v="5400"/>
    <x:n v="3000"/>
    <x:x v="11"/>
    <x:s v="İzmir"/>
  </x:r>
  <x:r>
    <x:m/>
    <x:x v="2"/>
    <x:x v="22"/>
    <x:x v="2"/>
    <x:n v="1500"/>
    <x:n v="1500"/>
    <x:n v="700"/>
    <x:x v="11"/>
    <x:s v="Kocaeli"/>
  </x:r>
  <x:r>
    <x:m/>
    <x:x v="6"/>
    <x:x v="2"/>
    <x:x v="1"/>
    <x:n v="8450"/>
    <x:n v="25350"/>
    <x:n v="7350"/>
    <x:x v="11"/>
    <x:s v="İzmir"/>
  </x:r>
  <x:r>
    <x:m/>
    <x:x v="9"/>
    <x:x v="22"/>
    <x:x v="1"/>
    <x:n v="1500"/>
    <x:n v="4500"/>
    <x:n v="2100"/>
    <x:x v="11"/>
    <x:s v="İzmir"/>
  </x:r>
  <x:r>
    <x:m/>
    <x:x v="5"/>
    <x:x v="0"/>
    <x:x v="1"/>
    <x:n v="6000"/>
    <x:n v="18000"/>
    <x:n v="6000"/>
    <x:x v="11"/>
    <x:s v="İzmir"/>
  </x:r>
  <x:r>
    <x:m/>
    <x:x v="11"/>
    <x:x v="19"/>
    <x:x v="2"/>
    <x:n v="1200"/>
    <x:n v="1200"/>
    <x:n v="400"/>
    <x:x v="11"/>
    <x:s v="İstanbul"/>
  </x:r>
  <x:r>
    <x:m/>
    <x:x v="0"/>
    <x:x v="15"/>
    <x:x v="1"/>
    <x:n v="4200"/>
    <x:n v="12600"/>
    <x:n v="3600"/>
    <x:x v="11"/>
    <x:s v="Antalya"/>
  </x:r>
  <x:r>
    <x:m/>
    <x:x v="10"/>
    <x:x v="5"/>
    <x:x v="1"/>
    <x:n v="7600"/>
    <x:n v="22800"/>
    <x:n v="4800"/>
    <x:x v="11"/>
    <x:s v="Kocaeli"/>
  </x:r>
  <x:r>
    <x:n v="1415"/>
    <x:x v="0"/>
    <x:x v="0"/>
    <x:x v="1"/>
    <x:n v="6000"/>
    <x:n v="18000"/>
    <x:n v="6000"/>
    <x:x v="0"/>
    <x:s v="Hatay"/>
  </x:r>
  <x:r>
    <x:n v="1416"/>
    <x:x v="1"/>
    <x:x v="1"/>
    <x:x v="3"/>
    <x:n v="1400"/>
    <x:n v="7000"/>
    <x:n v="3000"/>
    <x:x v="0"/>
    <x:s v="Şanlıurfa"/>
  </x:r>
  <x:r>
    <x:n v="1417"/>
    <x:x v="2"/>
    <x:x v="2"/>
    <x:x v="4"/>
    <x:n v="8450"/>
    <x:n v="33800"/>
    <x:n v="9800"/>
    <x:x v="0"/>
    <x:s v="Gaziantep"/>
  </x:r>
  <x:r>
    <x:n v="1418"/>
    <x:x v="3"/>
    <x:x v="3"/>
    <x:x v="4"/>
    <x:n v="1350"/>
    <x:n v="5400"/>
    <x:n v="2200"/>
    <x:x v="0"/>
    <x:s v="Bursa"/>
  </x:r>
  <x:r>
    <x:n v="1419"/>
    <x:x v="0"/>
    <x:x v="4"/>
    <x:x v="3"/>
    <x:n v="2180"/>
    <x:n v="10900"/>
    <x:n v="3400"/>
    <x:x v="0"/>
    <x:s v="Şanlıurfa"/>
  </x:r>
  <x:r>
    <x:n v="1420"/>
    <x:x v="4"/>
    <x:x v="5"/>
    <x:x v="1"/>
    <x:n v="7600"/>
    <x:n v="22800"/>
    <x:n v="4800"/>
    <x:x v="0"/>
    <x:s v="Mersin"/>
  </x:r>
  <x:r>
    <x:n v="1421"/>
    <x:x v="1"/>
    <x:x v="6"/>
    <x:x v="3"/>
    <x:n v="7250"/>
    <x:n v="36250"/>
    <x:n v="11250"/>
    <x:x v="0"/>
    <x:s v="Diyarbakır"/>
  </x:r>
  <x:r>
    <x:n v="1422"/>
    <x:x v="3"/>
    <x:x v="7"/>
    <x:x v="4"/>
    <x:n v="1100"/>
    <x:n v="4400"/>
    <x:n v="1200"/>
    <x:x v="0"/>
    <x:s v="Gaziantep"/>
  </x:r>
  <x:r>
    <x:n v="1423"/>
    <x:x v="5"/>
    <x:x v="0"/>
    <x:x v="1"/>
    <x:n v="6000"/>
    <x:n v="18000"/>
    <x:n v="6000"/>
    <x:x v="0"/>
    <x:s v="Mersin"/>
  </x:r>
  <x:r>
    <x:n v="1424"/>
    <x:x v="0"/>
    <x:x v="9"/>
    <x:x v="0"/>
    <x:n v="1200"/>
    <x:n v="2400"/>
    <x:n v="800"/>
    <x:x v="0"/>
    <x:s v="İstanbul"/>
  </x:r>
  <x:r>
    <x:n v="1425"/>
    <x:x v="6"/>
    <x:x v="10"/>
    <x:x v="1"/>
    <x:n v="1800"/>
    <x:n v="5400"/>
    <x:n v="3000"/>
    <x:x v="0"/>
    <x:s v="İstanbul"/>
  </x:r>
  <x:r>
    <x:n v="1426"/>
    <x:x v="6"/>
    <x:x v="11"/>
    <x:x v="4"/>
    <x:n v="1090"/>
    <x:n v="4360"/>
    <x:n v="1160"/>
    <x:x v="0"/>
    <x:s v="Adana"/>
  </x:r>
  <x:r>
    <x:n v="1427"/>
    <x:x v="5"/>
    <x:x v="4"/>
    <x:x v="4"/>
    <x:n v="2180"/>
    <x:n v="8720"/>
    <x:n v="2720"/>
    <x:x v="0"/>
    <x:s v="Şanlıurfa"/>
  </x:r>
  <x:r>
    <x:n v="1428"/>
    <x:x v="7"/>
    <x:x v="10"/>
    <x:x v="1"/>
    <x:n v="1800"/>
    <x:n v="5400"/>
    <x:n v="3000"/>
    <x:x v="0"/>
    <x:s v="Ankara"/>
  </x:r>
  <x:r>
    <x:n v="1429"/>
    <x:x v="4"/>
    <x:x v="12"/>
    <x:x v="3"/>
    <x:n v="8000"/>
    <x:n v="40000"/>
    <x:n v="10000"/>
    <x:x v="0"/>
    <x:s v="Hatay"/>
  </x:r>
  <x:r>
    <x:n v="1430"/>
    <x:x v="5"/>
    <x:x v="1"/>
    <x:x v="3"/>
    <x:n v="1400"/>
    <x:n v="7000"/>
    <x:n v="3000"/>
    <x:x v="0"/>
    <x:s v="Gaziantep"/>
  </x:r>
  <x:r>
    <x:n v="1431"/>
    <x:x v="8"/>
    <x:x v="13"/>
    <x:x v="3"/>
    <x:n v="10590"/>
    <x:n v="52950"/>
    <x:n v="22950"/>
    <x:x v="0"/>
    <x:s v="İstanbul"/>
  </x:r>
  <x:r>
    <x:n v="1432"/>
    <x:x v="9"/>
    <x:x v="3"/>
    <x:x v="0"/>
    <x:n v="1350"/>
    <x:n v="2700"/>
    <x:n v="1100"/>
    <x:x v="0"/>
    <x:s v="Diyarbakır"/>
  </x:r>
  <x:r>
    <x:n v="1433"/>
    <x:x v="6"/>
    <x:x v="1"/>
    <x:x v="1"/>
    <x:n v="1400"/>
    <x:n v="4200"/>
    <x:n v="1800"/>
    <x:x v="0"/>
    <x:s v="Ankara"/>
  </x:r>
  <x:r>
    <x:n v="1434"/>
    <x:x v="3"/>
    <x:x v="0"/>
    <x:x v="4"/>
    <x:n v="6000"/>
    <x:n v="24000"/>
    <x:n v="8000"/>
    <x:x v="0"/>
    <x:s v="İstanbul"/>
  </x:r>
  <x:r>
    <x:n v="1435"/>
    <x:x v="8"/>
    <x:x v="7"/>
    <x:x v="0"/>
    <x:n v="1100"/>
    <x:n v="2200"/>
    <x:n v="600"/>
    <x:x v="0"/>
    <x:s v="Antalya"/>
  </x:r>
  <x:r>
    <x:n v="1436"/>
    <x:x v="2"/>
    <x:x v="0"/>
    <x:x v="4"/>
    <x:n v="6000"/>
    <x:n v="24000"/>
    <x:n v="8000"/>
    <x:x v="0"/>
    <x:s v="Antalya"/>
  </x:r>
  <x:r>
    <x:n v="1437"/>
    <x:x v="9"/>
    <x:x v="14"/>
    <x:x v="0"/>
    <x:n v="1490"/>
    <x:n v="2980"/>
    <x:n v="1380"/>
    <x:x v="0"/>
    <x:s v="Gaziantep"/>
  </x:r>
  <x:r>
    <x:n v="1438"/>
    <x:x v="8"/>
    <x:x v="13"/>
    <x:x v="0"/>
    <x:n v="10590"/>
    <x:n v="21180"/>
    <x:n v="9180"/>
    <x:x v="0"/>
    <x:s v="Adana"/>
  </x:r>
  <x:r>
    <x:n v="1439"/>
    <x:x v="2"/>
    <x:x v="12"/>
    <x:x v="1"/>
    <x:n v="8000"/>
    <x:n v="24000"/>
    <x:n v="6000"/>
    <x:x v="0"/>
    <x:s v="Adana"/>
  </x:r>
  <x:r>
    <x:n v="1440"/>
    <x:x v="6"/>
    <x:x v="7"/>
    <x:x v="3"/>
    <x:n v="1100"/>
    <x:n v="5500"/>
    <x:n v="1500"/>
    <x:x v="0"/>
    <x:s v="Antalya"/>
  </x:r>
  <x:r>
    <x:n v="1441"/>
    <x:x v="9"/>
    <x:x v="9"/>
    <x:x v="3"/>
    <x:n v="1200"/>
    <x:n v="6000"/>
    <x:n v="2000"/>
    <x:x v="0"/>
    <x:s v="Mersin"/>
  </x:r>
  <x:r>
    <x:n v="1442"/>
    <x:x v="4"/>
    <x:x v="15"/>
    <x:x v="3"/>
    <x:n v="4200"/>
    <x:n v="21000"/>
    <x:n v="6000"/>
    <x:x v="0"/>
    <x:s v="Diyarbakır"/>
  </x:r>
  <x:r>
    <x:n v="1443"/>
    <x:x v="1"/>
    <x:x v="16"/>
    <x:x v="1"/>
    <x:n v="5775"/>
    <x:n v="17325"/>
    <x:n v="5325"/>
    <x:x v="0"/>
    <x:s v="Hatay"/>
  </x:r>
  <x:r>
    <x:n v="1444"/>
    <x:x v="10"/>
    <x:x v="5"/>
    <x:x v="1"/>
    <x:n v="7600"/>
    <x:n v="22800"/>
    <x:n v="4800"/>
    <x:x v="0"/>
    <x:s v="Gaziantep"/>
  </x:r>
  <x:r>
    <x:n v="1445"/>
    <x:x v="1"/>
    <x:x v="6"/>
    <x:x v="0"/>
    <x:n v="7250"/>
    <x:n v="14500"/>
    <x:n v="4500"/>
    <x:x v="0"/>
    <x:s v="Antalya"/>
  </x:r>
  <x:r>
    <x:n v="1446"/>
    <x:x v="0"/>
    <x:x v="6"/>
    <x:x v="3"/>
    <x:n v="7250"/>
    <x:n v="36250"/>
    <x:n v="11250"/>
    <x:x v="0"/>
    <x:s v="Ankara"/>
  </x:r>
  <x:r>
    <x:n v="1447"/>
    <x:x v="8"/>
    <x:x v="6"/>
    <x:x v="3"/>
    <x:n v="7250"/>
    <x:n v="36250"/>
    <x:n v="11250"/>
    <x:x v="0"/>
    <x:s v="Şanlıurfa"/>
  </x:r>
  <x:r>
    <x:m/>
    <x:x v="5"/>
    <x:x v="3"/>
    <x:x v="1"/>
    <x:n v="1350"/>
    <x:n v="4050"/>
    <x:n v="1650"/>
    <x:x v="1"/>
    <x:s v="Antalya"/>
  </x:r>
  <x:r>
    <x:m/>
    <x:x v="1"/>
    <x:x v="6"/>
    <x:x v="3"/>
    <x:n v="7250"/>
    <x:n v="36250"/>
    <x:n v="11250"/>
    <x:x v="1"/>
    <x:s v="Adana"/>
  </x:r>
  <x:r>
    <x:m/>
    <x:x v="6"/>
    <x:x v="5"/>
    <x:x v="1"/>
    <x:n v="7600"/>
    <x:n v="22800"/>
    <x:n v="4800"/>
    <x:x v="1"/>
    <x:s v="İzmir"/>
  </x:r>
  <x:r>
    <x:m/>
    <x:x v="11"/>
    <x:x v="5"/>
    <x:x v="4"/>
    <x:n v="7600"/>
    <x:n v="30400"/>
    <x:n v="6400"/>
    <x:x v="1"/>
    <x:s v="Adana"/>
  </x:r>
  <x:r>
    <x:m/>
    <x:x v="1"/>
    <x:x v="14"/>
    <x:x v="1"/>
    <x:n v="1490"/>
    <x:n v="4470"/>
    <x:n v="2070"/>
    <x:x v="1"/>
    <x:s v="Kocaeli"/>
  </x:r>
  <x:r>
    <x:m/>
    <x:x v="5"/>
    <x:x v="17"/>
    <x:x v="4"/>
    <x:n v="2900"/>
    <x:n v="11600"/>
    <x:n v="3600"/>
    <x:x v="1"/>
    <x:s v="Diyarbakır"/>
  </x:r>
  <x:r>
    <x:m/>
    <x:x v="9"/>
    <x:x v="14"/>
    <x:x v="4"/>
    <x:n v="1490"/>
    <x:n v="5960"/>
    <x:n v="2760"/>
    <x:x v="1"/>
    <x:s v="Diyarbakır"/>
  </x:r>
  <x:r>
    <x:m/>
    <x:x v="9"/>
    <x:x v="11"/>
    <x:x v="3"/>
    <x:n v="1090"/>
    <x:n v="5450"/>
    <x:n v="1450"/>
    <x:x v="1"/>
    <x:s v="Kocaeli"/>
  </x:r>
  <x:r>
    <x:m/>
    <x:x v="5"/>
    <x:x v="9"/>
    <x:x v="0"/>
    <x:n v="1200"/>
    <x:n v="2400"/>
    <x:n v="800"/>
    <x:x v="1"/>
    <x:s v="Antalya"/>
  </x:r>
  <x:r>
    <x:m/>
    <x:x v="8"/>
    <x:x v="13"/>
    <x:x v="3"/>
    <x:n v="10590"/>
    <x:n v="52950"/>
    <x:n v="22950"/>
    <x:x v="1"/>
    <x:s v="Ankara"/>
  </x:r>
  <x:r>
    <x:m/>
    <x:x v="6"/>
    <x:x v="15"/>
    <x:x v="4"/>
    <x:n v="4200"/>
    <x:n v="16800"/>
    <x:n v="4800"/>
    <x:x v="1"/>
    <x:s v="Adana"/>
  </x:r>
  <x:r>
    <x:m/>
    <x:x v="3"/>
    <x:x v="15"/>
    <x:x v="4"/>
    <x:n v="4200"/>
    <x:n v="16800"/>
    <x:n v="4800"/>
    <x:x v="1"/>
    <x:s v="Antalya"/>
  </x:r>
  <x:r>
    <x:m/>
    <x:x v="7"/>
    <x:x v="13"/>
    <x:x v="0"/>
    <x:n v="10590"/>
    <x:n v="21180"/>
    <x:n v="9180"/>
    <x:x v="1"/>
    <x:s v="Konya"/>
  </x:r>
  <x:r>
    <x:m/>
    <x:x v="11"/>
    <x:x v="18"/>
    <x:x v="4"/>
    <x:n v="1250"/>
    <x:n v="5000"/>
    <x:n v="1800"/>
    <x:x v="1"/>
    <x:s v="Şanlıurfa"/>
  </x:r>
  <x:r>
    <x:m/>
    <x:x v="0"/>
    <x:x v="14"/>
    <x:x v="4"/>
    <x:n v="1490"/>
    <x:n v="5960"/>
    <x:n v="2760"/>
    <x:x v="1"/>
    <x:s v="İstanbul"/>
  </x:r>
  <x:r>
    <x:m/>
    <x:x v="6"/>
    <x:x v="9"/>
    <x:x v="3"/>
    <x:n v="1200"/>
    <x:n v="6000"/>
    <x:n v="2000"/>
    <x:x v="1"/>
    <x:s v="Hatay"/>
  </x:r>
  <x:r>
    <x:m/>
    <x:x v="2"/>
    <x:x v="4"/>
    <x:x v="4"/>
    <x:n v="2180"/>
    <x:n v="8720"/>
    <x:n v="2720"/>
    <x:x v="1"/>
    <x:s v="Ankara"/>
  </x:r>
  <x:r>
    <x:m/>
    <x:x v="9"/>
    <x:x v="19"/>
    <x:x v="4"/>
    <x:n v="1200"/>
    <x:n v="4800"/>
    <x:n v="1600"/>
    <x:x v="1"/>
    <x:s v="Ankara"/>
  </x:r>
  <x:r>
    <x:m/>
    <x:x v="0"/>
    <x:x v="10"/>
    <x:x v="0"/>
    <x:n v="1800"/>
    <x:n v="3600"/>
    <x:n v="2000"/>
    <x:x v="1"/>
    <x:s v="Antalya"/>
  </x:r>
  <x:r>
    <x:m/>
    <x:x v="2"/>
    <x:x v="5"/>
    <x:x v="3"/>
    <x:n v="7600"/>
    <x:n v="38000"/>
    <x:n v="8000"/>
    <x:x v="1"/>
    <x:s v="Konya"/>
  </x:r>
  <x:r>
    <x:m/>
    <x:x v="7"/>
    <x:x v="20"/>
    <x:x v="3"/>
    <x:n v="7530"/>
    <x:n v="37650"/>
    <x:n v="7650"/>
    <x:x v="1"/>
    <x:s v="Bursa"/>
  </x:r>
  <x:r>
    <x:m/>
    <x:x v="11"/>
    <x:x v="14"/>
    <x:x v="3"/>
    <x:n v="1490"/>
    <x:n v="7450"/>
    <x:n v="3450"/>
    <x:x v="1"/>
    <x:s v="Hatay"/>
  </x:r>
  <x:r>
    <x:m/>
    <x:x v="0"/>
    <x:x v="21"/>
    <x:x v="4"/>
    <x:n v="5300"/>
    <x:n v="21200"/>
    <x:n v="5200"/>
    <x:x v="1"/>
    <x:s v="Hatay"/>
  </x:r>
  <x:r>
    <x:m/>
    <x:x v="4"/>
    <x:x v="9"/>
    <x:x v="4"/>
    <x:n v="1200"/>
    <x:n v="4800"/>
    <x:n v="1600"/>
    <x:x v="1"/>
    <x:s v="Ankara"/>
  </x:r>
  <x:r>
    <x:m/>
    <x:x v="9"/>
    <x:x v="11"/>
    <x:x v="1"/>
    <x:n v="1090"/>
    <x:n v="3270"/>
    <x:n v="870"/>
    <x:x v="1"/>
    <x:s v="İstanbul"/>
  </x:r>
  <x:r>
    <x:m/>
    <x:x v="4"/>
    <x:x v="6"/>
    <x:x v="4"/>
    <x:n v="7250"/>
    <x:n v="29000"/>
    <x:n v="9000"/>
    <x:x v="1"/>
    <x:s v="Kocaeli"/>
  </x:r>
  <x:r>
    <x:m/>
    <x:x v="10"/>
    <x:x v="1"/>
    <x:x v="0"/>
    <x:n v="1400"/>
    <x:n v="2800"/>
    <x:n v="1200"/>
    <x:x v="1"/>
    <x:s v="Antalya"/>
  </x:r>
  <x:r>
    <x:m/>
    <x:x v="2"/>
    <x:x v="22"/>
    <x:x v="4"/>
    <x:n v="1500"/>
    <x:n v="6000"/>
    <x:n v="2800"/>
    <x:x v="1"/>
    <x:s v="Adana"/>
  </x:r>
  <x:r>
    <x:m/>
    <x:x v="7"/>
    <x:x v="3"/>
    <x:x v="1"/>
    <x:n v="1350"/>
    <x:n v="4050"/>
    <x:n v="1650"/>
    <x:x v="1"/>
    <x:s v="Antalya"/>
  </x:r>
  <x:r>
    <x:m/>
    <x:x v="7"/>
    <x:x v="9"/>
    <x:x v="3"/>
    <x:n v="1200"/>
    <x:n v="6000"/>
    <x:n v="2000"/>
    <x:x v="1"/>
    <x:s v="Kocaeli"/>
  </x:r>
  <x:r>
    <x:m/>
    <x:x v="1"/>
    <x:x v="20"/>
    <x:x v="1"/>
    <x:n v="7530"/>
    <x:n v="22590"/>
    <x:n v="4590"/>
    <x:x v="1"/>
    <x:s v="Antalya"/>
  </x:r>
  <x:r>
    <x:m/>
    <x:x v="10"/>
    <x:x v="9"/>
    <x:x v="1"/>
    <x:n v="1200"/>
    <x:n v="3600"/>
    <x:n v="1200"/>
    <x:x v="1"/>
    <x:s v="Konya"/>
  </x:r>
  <x:r>
    <x:m/>
    <x:x v="8"/>
    <x:x v="10"/>
    <x:x v="0"/>
    <x:n v="1800"/>
    <x:n v="3600"/>
    <x:n v="2000"/>
    <x:x v="1"/>
    <x:s v="Adana"/>
  </x:r>
  <x:r>
    <x:m/>
    <x:x v="0"/>
    <x:x v="6"/>
    <x:x v="1"/>
    <x:n v="7250"/>
    <x:n v="21750"/>
    <x:n v="6750"/>
    <x:x v="1"/>
    <x:s v="Mersin"/>
  </x:r>
  <x:r>
    <x:m/>
    <x:x v="9"/>
    <x:x v="14"/>
    <x:x v="4"/>
    <x:n v="1490"/>
    <x:n v="5960"/>
    <x:n v="2760"/>
    <x:x v="1"/>
    <x:s v="Ankara"/>
  </x:r>
  <x:r>
    <x:m/>
    <x:x v="9"/>
    <x:x v="19"/>
    <x:x v="0"/>
    <x:n v="1200"/>
    <x:n v="2400"/>
    <x:n v="800"/>
    <x:x v="1"/>
    <x:s v="Ankara"/>
  </x:r>
  <x:r>
    <x:m/>
    <x:x v="1"/>
    <x:x v="12"/>
    <x:x v="0"/>
    <x:n v="8000"/>
    <x:n v="16000"/>
    <x:n v="4000"/>
    <x:x v="1"/>
    <x:s v="Bursa"/>
  </x:r>
  <x:r>
    <x:m/>
    <x:x v="6"/>
    <x:x v="1"/>
    <x:x v="3"/>
    <x:n v="1400"/>
    <x:n v="7000"/>
    <x:n v="3000"/>
    <x:x v="1"/>
    <x:s v="Bursa"/>
  </x:r>
  <x:r>
    <x:m/>
    <x:x v="5"/>
    <x:x v="3"/>
    <x:x v="1"/>
    <x:n v="1350"/>
    <x:n v="4050"/>
    <x:n v="1650"/>
    <x:x v="1"/>
    <x:s v="Antalya"/>
  </x:r>
  <x:r>
    <x:m/>
    <x:x v="8"/>
    <x:x v="19"/>
    <x:x v="1"/>
    <x:n v="1200"/>
    <x:n v="3600"/>
    <x:n v="1200"/>
    <x:x v="1"/>
    <x:s v="İstanbul"/>
  </x:r>
  <x:r>
    <x:m/>
    <x:x v="6"/>
    <x:x v="21"/>
    <x:x v="3"/>
    <x:n v="5300"/>
    <x:n v="26500"/>
    <x:n v="6500"/>
    <x:x v="1"/>
    <x:s v="İstanbul"/>
  </x:r>
  <x:r>
    <x:m/>
    <x:x v="9"/>
    <x:x v="13"/>
    <x:x v="4"/>
    <x:n v="10590"/>
    <x:n v="42360"/>
    <x:n v="18360"/>
    <x:x v="1"/>
    <x:s v="İzmir"/>
  </x:r>
  <x:r>
    <x:m/>
    <x:x v="4"/>
    <x:x v="18"/>
    <x:x v="4"/>
    <x:n v="1250"/>
    <x:n v="5000"/>
    <x:n v="1800"/>
    <x:x v="1"/>
    <x:s v="Şanlıurfa"/>
  </x:r>
  <x:r>
    <x:m/>
    <x:x v="11"/>
    <x:x v="19"/>
    <x:x v="1"/>
    <x:n v="1200"/>
    <x:n v="3600"/>
    <x:n v="1200"/>
    <x:x v="1"/>
    <x:s v="Diyarbakır"/>
  </x:r>
  <x:r>
    <x:m/>
    <x:x v="4"/>
    <x:x v="1"/>
    <x:x v="0"/>
    <x:n v="1400"/>
    <x:n v="2800"/>
    <x:n v="1200"/>
    <x:x v="1"/>
    <x:s v="Ankara"/>
  </x:r>
  <x:r>
    <x:m/>
    <x:x v="11"/>
    <x:x v="20"/>
    <x:x v="4"/>
    <x:n v="7530"/>
    <x:n v="30120"/>
    <x:n v="6120"/>
    <x:x v="1"/>
    <x:s v="Antalya"/>
  </x:r>
  <x:r>
    <x:m/>
    <x:x v="6"/>
    <x:x v="5"/>
    <x:x v="3"/>
    <x:n v="7600"/>
    <x:n v="38000"/>
    <x:n v="8000"/>
    <x:x v="1"/>
    <x:s v="Adana"/>
  </x:r>
  <x:r>
    <x:m/>
    <x:x v="11"/>
    <x:x v="22"/>
    <x:x v="1"/>
    <x:n v="1500"/>
    <x:n v="4500"/>
    <x:n v="2100"/>
    <x:x v="1"/>
    <x:s v="Şanlıurfa"/>
  </x:r>
  <x:r>
    <x:m/>
    <x:x v="9"/>
    <x:x v="4"/>
    <x:x v="3"/>
    <x:n v="2180"/>
    <x:n v="10900"/>
    <x:n v="3400"/>
    <x:x v="1"/>
    <x:s v="Adana"/>
  </x:r>
  <x:r>
    <x:m/>
    <x:x v="3"/>
    <x:x v="4"/>
    <x:x v="0"/>
    <x:n v="2180"/>
    <x:n v="4360"/>
    <x:n v="1360"/>
    <x:x v="1"/>
    <x:s v="Şanlıurfa"/>
  </x:r>
  <x:r>
    <x:m/>
    <x:x v="9"/>
    <x:x v="16"/>
    <x:x v="3"/>
    <x:n v="5775"/>
    <x:n v="28875"/>
    <x:n v="8875"/>
    <x:x v="1"/>
    <x:s v="İstanbul"/>
  </x:r>
  <x:r>
    <x:m/>
    <x:x v="9"/>
    <x:x v="7"/>
    <x:x v="3"/>
    <x:n v="1100"/>
    <x:n v="5500"/>
    <x:n v="1500"/>
    <x:x v="1"/>
    <x:s v="Adana"/>
  </x:r>
  <x:r>
    <x:m/>
    <x:x v="10"/>
    <x:x v="16"/>
    <x:x v="3"/>
    <x:n v="5775"/>
    <x:n v="28875"/>
    <x:n v="8875"/>
    <x:x v="1"/>
    <x:s v="Mersin"/>
  </x:r>
  <x:r>
    <x:m/>
    <x:x v="7"/>
    <x:x v="3"/>
    <x:x v="1"/>
    <x:n v="1350"/>
    <x:n v="4050"/>
    <x:n v="1650"/>
    <x:x v="1"/>
    <x:s v="Konya"/>
  </x:r>
  <x:r>
    <x:m/>
    <x:x v="0"/>
    <x:x v="5"/>
    <x:x v="0"/>
    <x:n v="7600"/>
    <x:n v="15200"/>
    <x:n v="3200"/>
    <x:x v="1"/>
    <x:s v="Kocaeli"/>
  </x:r>
  <x:r>
    <x:m/>
    <x:x v="2"/>
    <x:x v="6"/>
    <x:x v="3"/>
    <x:n v="7250"/>
    <x:n v="36250"/>
    <x:n v="11250"/>
    <x:x v="1"/>
    <x:s v="Mersin"/>
  </x:r>
  <x:r>
    <x:m/>
    <x:x v="11"/>
    <x:x v="14"/>
    <x:x v="1"/>
    <x:n v="1490"/>
    <x:n v="4470"/>
    <x:n v="2070"/>
    <x:x v="1"/>
    <x:s v="Bursa"/>
  </x:r>
  <x:r>
    <x:m/>
    <x:x v="3"/>
    <x:x v="14"/>
    <x:x v="0"/>
    <x:n v="1490"/>
    <x:n v="2980"/>
    <x:n v="1380"/>
    <x:x v="1"/>
    <x:s v="İzmir"/>
  </x:r>
  <x:r>
    <x:m/>
    <x:x v="8"/>
    <x:x v="11"/>
    <x:x v="0"/>
    <x:n v="1090"/>
    <x:n v="2180"/>
    <x:n v="580"/>
    <x:x v="1"/>
    <x:s v="İzmir"/>
  </x:r>
  <x:r>
    <x:m/>
    <x:x v="8"/>
    <x:x v="9"/>
    <x:x v="1"/>
    <x:n v="1200"/>
    <x:n v="3600"/>
    <x:n v="1200"/>
    <x:x v="1"/>
    <x:s v="Şanlıurfa"/>
  </x:r>
  <x:r>
    <x:m/>
    <x:x v="11"/>
    <x:x v="11"/>
    <x:x v="0"/>
    <x:n v="1090"/>
    <x:n v="2180"/>
    <x:n v="580"/>
    <x:x v="1"/>
    <x:s v="Kocaeli"/>
  </x:r>
  <x:r>
    <x:m/>
    <x:x v="11"/>
    <x:x v="4"/>
    <x:x v="0"/>
    <x:n v="2180"/>
    <x:n v="4360"/>
    <x:n v="1360"/>
    <x:x v="1"/>
    <x:s v="Adana"/>
  </x:r>
  <x:r>
    <x:m/>
    <x:x v="2"/>
    <x:x v="21"/>
    <x:x v="4"/>
    <x:n v="5300"/>
    <x:n v="21200"/>
    <x:n v="5200"/>
    <x:x v="1"/>
    <x:s v="Gaziantep"/>
  </x:r>
  <x:r>
    <x:m/>
    <x:x v="11"/>
    <x:x v="21"/>
    <x:x v="4"/>
    <x:n v="5300"/>
    <x:n v="21200"/>
    <x:n v="5200"/>
    <x:x v="1"/>
    <x:s v="Şanlıurfa"/>
  </x:r>
  <x:r>
    <x:m/>
    <x:x v="5"/>
    <x:x v="6"/>
    <x:x v="4"/>
    <x:n v="7250"/>
    <x:n v="29000"/>
    <x:n v="9000"/>
    <x:x v="1"/>
    <x:s v="Adana"/>
  </x:r>
  <x:r>
    <x:m/>
    <x:x v="5"/>
    <x:x v="19"/>
    <x:x v="0"/>
    <x:n v="1200"/>
    <x:n v="2400"/>
    <x:n v="800"/>
    <x:x v="1"/>
    <x:s v="Bursa"/>
  </x:r>
  <x:r>
    <x:m/>
    <x:x v="3"/>
    <x:x v="0"/>
    <x:x v="3"/>
    <x:n v="6000"/>
    <x:n v="30000"/>
    <x:n v="10000"/>
    <x:x v="1"/>
    <x:s v="İzmir"/>
  </x:r>
  <x:r>
    <x:m/>
    <x:x v="2"/>
    <x:x v="2"/>
    <x:x v="4"/>
    <x:n v="8450"/>
    <x:n v="33800"/>
    <x:n v="9800"/>
    <x:x v="1"/>
    <x:s v="Antalya"/>
  </x:r>
  <x:r>
    <x:m/>
    <x:x v="6"/>
    <x:x v="15"/>
    <x:x v="3"/>
    <x:n v="4200"/>
    <x:n v="21000"/>
    <x:n v="6000"/>
    <x:x v="1"/>
    <x:s v="Hatay"/>
  </x:r>
  <x:r>
    <x:m/>
    <x:x v="6"/>
    <x:x v="13"/>
    <x:x v="1"/>
    <x:n v="10590"/>
    <x:n v="31770"/>
    <x:n v="13770"/>
    <x:x v="1"/>
    <x:s v="Kocaeli"/>
  </x:r>
  <x:r>
    <x:m/>
    <x:x v="5"/>
    <x:x v="19"/>
    <x:x v="1"/>
    <x:n v="1200"/>
    <x:n v="3600"/>
    <x:n v="1200"/>
    <x:x v="1"/>
    <x:s v="Mersin"/>
  </x:r>
  <x:r>
    <x:m/>
    <x:x v="10"/>
    <x:x v="7"/>
    <x:x v="3"/>
    <x:n v="1100"/>
    <x:n v="5500"/>
    <x:n v="1500"/>
    <x:x v="1"/>
    <x:s v="Hatay"/>
  </x:r>
  <x:r>
    <x:m/>
    <x:x v="9"/>
    <x:x v="23"/>
    <x:x v="1"/>
    <x:n v="3700"/>
    <x:n v="11100"/>
    <x:n v="2100"/>
    <x:x v="1"/>
    <x:s v="Konya"/>
  </x:r>
  <x:r>
    <x:m/>
    <x:x v="1"/>
    <x:x v="23"/>
    <x:x v="1"/>
    <x:n v="3700"/>
    <x:n v="11100"/>
    <x:n v="2100"/>
    <x:x v="1"/>
    <x:s v="Kocaeli"/>
  </x:r>
  <x:r>
    <x:m/>
    <x:x v="6"/>
    <x:x v="7"/>
    <x:x v="1"/>
    <x:n v="1100"/>
    <x:n v="3300"/>
    <x:n v="900"/>
    <x:x v="1"/>
    <x:s v="Adana"/>
  </x:r>
  <x:r>
    <x:m/>
    <x:x v="5"/>
    <x:x v="23"/>
    <x:x v="0"/>
    <x:n v="3700"/>
    <x:n v="7400"/>
    <x:n v="1400"/>
    <x:x v="2"/>
    <x:s v="Bursa"/>
  </x:r>
  <x:r>
    <x:m/>
    <x:x v="10"/>
    <x:x v="14"/>
    <x:x v="0"/>
    <x:n v="1490"/>
    <x:n v="2980"/>
    <x:n v="1380"/>
    <x:x v="2"/>
    <x:s v="Şanlıurfa"/>
  </x:r>
  <x:r>
    <x:m/>
    <x:x v="9"/>
    <x:x v="22"/>
    <x:x v="3"/>
    <x:n v="1500"/>
    <x:n v="7500"/>
    <x:n v="3500"/>
    <x:x v="2"/>
    <x:s v="Adana"/>
  </x:r>
  <x:r>
    <x:m/>
    <x:x v="8"/>
    <x:x v="11"/>
    <x:x v="3"/>
    <x:n v="1090"/>
    <x:n v="5450"/>
    <x:n v="1450"/>
    <x:x v="2"/>
    <x:s v="Kocaeli"/>
  </x:r>
  <x:r>
    <x:m/>
    <x:x v="10"/>
    <x:x v="10"/>
    <x:x v="4"/>
    <x:n v="1800"/>
    <x:n v="7200"/>
    <x:n v="4000"/>
    <x:x v="2"/>
    <x:s v="Kocaeli"/>
  </x:r>
  <x:r>
    <x:m/>
    <x:x v="7"/>
    <x:x v="20"/>
    <x:x v="0"/>
    <x:n v="7530"/>
    <x:n v="15060"/>
    <x:n v="3060"/>
    <x:x v="2"/>
    <x:s v="Ankara"/>
  </x:r>
  <x:r>
    <x:m/>
    <x:x v="6"/>
    <x:x v="7"/>
    <x:x v="0"/>
    <x:n v="1100"/>
    <x:n v="2200"/>
    <x:n v="600"/>
    <x:x v="2"/>
    <x:s v="İstanbul"/>
  </x:r>
  <x:r>
    <x:m/>
    <x:x v="9"/>
    <x:x v="3"/>
    <x:x v="0"/>
    <x:n v="1350"/>
    <x:n v="2700"/>
    <x:n v="1100"/>
    <x:x v="2"/>
    <x:s v="Adana"/>
  </x:r>
  <x:r>
    <x:m/>
    <x:x v="8"/>
    <x:x v="3"/>
    <x:x v="1"/>
    <x:n v="1350"/>
    <x:n v="4050"/>
    <x:n v="1650"/>
    <x:x v="2"/>
    <x:s v="Bursa"/>
  </x:r>
  <x:r>
    <x:m/>
    <x:x v="7"/>
    <x:x v="11"/>
    <x:x v="1"/>
    <x:n v="1090"/>
    <x:n v="3270"/>
    <x:n v="870"/>
    <x:x v="2"/>
    <x:s v="Mersin"/>
  </x:r>
  <x:r>
    <x:m/>
    <x:x v="7"/>
    <x:x v="15"/>
    <x:x v="3"/>
    <x:n v="4200"/>
    <x:n v="21000"/>
    <x:n v="6000"/>
    <x:x v="2"/>
    <x:s v="Adana"/>
  </x:r>
  <x:r>
    <x:m/>
    <x:x v="9"/>
    <x:x v="10"/>
    <x:x v="4"/>
    <x:n v="1800"/>
    <x:n v="7200"/>
    <x:n v="4000"/>
    <x:x v="2"/>
    <x:s v="Bursa"/>
  </x:r>
  <x:r>
    <x:m/>
    <x:x v="11"/>
    <x:x v="11"/>
    <x:x v="4"/>
    <x:n v="1090"/>
    <x:n v="4360"/>
    <x:n v="1160"/>
    <x:x v="2"/>
    <x:s v="Bursa"/>
  </x:r>
  <x:r>
    <x:m/>
    <x:x v="0"/>
    <x:x v="5"/>
    <x:x v="0"/>
    <x:n v="7600"/>
    <x:n v="15200"/>
    <x:n v="3200"/>
    <x:x v="2"/>
    <x:s v="Bursa"/>
  </x:r>
  <x:r>
    <x:m/>
    <x:x v="8"/>
    <x:x v="5"/>
    <x:x v="0"/>
    <x:n v="7600"/>
    <x:n v="15200"/>
    <x:n v="3200"/>
    <x:x v="2"/>
    <x:s v="Mersin"/>
  </x:r>
  <x:r>
    <x:m/>
    <x:x v="2"/>
    <x:x v="23"/>
    <x:x v="1"/>
    <x:n v="3700"/>
    <x:n v="11100"/>
    <x:n v="2100"/>
    <x:x v="2"/>
    <x:s v="Kocaeli"/>
  </x:r>
  <x:r>
    <x:m/>
    <x:x v="4"/>
    <x:x v="6"/>
    <x:x v="1"/>
    <x:n v="7250"/>
    <x:n v="21750"/>
    <x:n v="6750"/>
    <x:x v="2"/>
    <x:s v="Adana"/>
  </x:r>
  <x:r>
    <x:m/>
    <x:x v="1"/>
    <x:x v="5"/>
    <x:x v="4"/>
    <x:n v="7600"/>
    <x:n v="30400"/>
    <x:n v="6400"/>
    <x:x v="2"/>
    <x:s v="Diyarbakır"/>
  </x:r>
  <x:r>
    <x:m/>
    <x:x v="10"/>
    <x:x v="15"/>
    <x:x v="0"/>
    <x:n v="4200"/>
    <x:n v="8400"/>
    <x:n v="2400"/>
    <x:x v="2"/>
    <x:s v="Antalya"/>
  </x:r>
  <x:r>
    <x:m/>
    <x:x v="6"/>
    <x:x v="18"/>
    <x:x v="4"/>
    <x:n v="1250"/>
    <x:n v="5000"/>
    <x:n v="1800"/>
    <x:x v="2"/>
    <x:s v="Bursa"/>
  </x:r>
  <x:r>
    <x:m/>
    <x:x v="8"/>
    <x:x v="11"/>
    <x:x v="0"/>
    <x:n v="1090"/>
    <x:n v="2180"/>
    <x:n v="580"/>
    <x:x v="2"/>
    <x:s v="Konya"/>
  </x:r>
  <x:r>
    <x:m/>
    <x:x v="3"/>
    <x:x v="4"/>
    <x:x v="4"/>
    <x:n v="2180"/>
    <x:n v="8720"/>
    <x:n v="2720"/>
    <x:x v="2"/>
    <x:s v="Mersin"/>
  </x:r>
  <x:r>
    <x:m/>
    <x:x v="11"/>
    <x:x v="23"/>
    <x:x v="1"/>
    <x:n v="3700"/>
    <x:n v="11100"/>
    <x:n v="2100"/>
    <x:x v="2"/>
    <x:s v="İstanbul"/>
  </x:r>
  <x:r>
    <x:m/>
    <x:x v="9"/>
    <x:x v="0"/>
    <x:x v="4"/>
    <x:n v="6000"/>
    <x:n v="24000"/>
    <x:n v="8000"/>
    <x:x v="2"/>
    <x:s v="Antalya"/>
  </x:r>
  <x:r>
    <x:m/>
    <x:x v="10"/>
    <x:x v="18"/>
    <x:x v="0"/>
    <x:n v="1250"/>
    <x:n v="2500"/>
    <x:n v="900"/>
    <x:x v="2"/>
    <x:s v="İstanbul"/>
  </x:r>
  <x:r>
    <x:m/>
    <x:x v="11"/>
    <x:x v="5"/>
    <x:x v="3"/>
    <x:n v="7600"/>
    <x:n v="38000"/>
    <x:n v="8000"/>
    <x:x v="2"/>
    <x:s v="Gaziantep"/>
  </x:r>
  <x:r>
    <x:m/>
    <x:x v="0"/>
    <x:x v="1"/>
    <x:x v="1"/>
    <x:n v="1400"/>
    <x:n v="4200"/>
    <x:n v="1800"/>
    <x:x v="2"/>
    <x:s v="Gaziantep"/>
  </x:r>
  <x:r>
    <x:m/>
    <x:x v="4"/>
    <x:x v="4"/>
    <x:x v="0"/>
    <x:n v="2180"/>
    <x:n v="4360"/>
    <x:n v="1360"/>
    <x:x v="2"/>
    <x:s v="Hatay"/>
  </x:r>
  <x:r>
    <x:m/>
    <x:x v="0"/>
    <x:x v="10"/>
    <x:x v="1"/>
    <x:n v="1800"/>
    <x:n v="5400"/>
    <x:n v="3000"/>
    <x:x v="2"/>
    <x:s v="Ankara"/>
  </x:r>
  <x:r>
    <x:m/>
    <x:x v="2"/>
    <x:x v="22"/>
    <x:x v="0"/>
    <x:n v="1500"/>
    <x:n v="3000"/>
    <x:n v="1400"/>
    <x:x v="2"/>
    <x:s v="Şanlıurfa"/>
  </x:r>
  <x:r>
    <x:m/>
    <x:x v="6"/>
    <x:x v="2"/>
    <x:x v="1"/>
    <x:n v="8450"/>
    <x:n v="25350"/>
    <x:n v="7350"/>
    <x:x v="2"/>
    <x:s v="Hatay"/>
  </x:r>
  <x:r>
    <x:m/>
    <x:x v="9"/>
    <x:x v="22"/>
    <x:x v="4"/>
    <x:n v="1500"/>
    <x:n v="6000"/>
    <x:n v="2800"/>
    <x:x v="2"/>
    <x:s v="Mersin"/>
  </x:r>
  <x:r>
    <x:m/>
    <x:x v="5"/>
    <x:x v="0"/>
    <x:x v="1"/>
    <x:n v="6000"/>
    <x:n v="18000"/>
    <x:n v="6000"/>
    <x:x v="2"/>
    <x:s v="Hatay"/>
  </x:r>
  <x:r>
    <x:m/>
    <x:x v="11"/>
    <x:x v="19"/>
    <x:x v="4"/>
    <x:n v="1200"/>
    <x:n v="4800"/>
    <x:n v="1600"/>
    <x:x v="2"/>
    <x:s v="Antalya"/>
  </x:r>
  <x:r>
    <x:m/>
    <x:x v="0"/>
    <x:x v="15"/>
    <x:x v="0"/>
    <x:n v="4200"/>
    <x:n v="8400"/>
    <x:n v="2400"/>
    <x:x v="2"/>
    <x:s v="Ankara"/>
  </x:r>
  <x:r>
    <x:m/>
    <x:x v="10"/>
    <x:x v="5"/>
    <x:x v="3"/>
    <x:n v="7600"/>
    <x:n v="38000"/>
    <x:n v="8000"/>
    <x:x v="2"/>
    <x:s v="Ankara"/>
  </x:r>
  <x:r>
    <x:m/>
    <x:x v="5"/>
    <x:x v="6"/>
    <x:x v="1"/>
    <x:n v="7250"/>
    <x:n v="21750"/>
    <x:n v="6750"/>
    <x:x v="3"/>
    <x:s v="Bursa"/>
  </x:r>
  <x:r>
    <x:m/>
    <x:x v="1"/>
    <x:x v="20"/>
    <x:x v="0"/>
    <x:n v="7530"/>
    <x:n v="15060"/>
    <x:n v="3060"/>
    <x:x v="3"/>
    <x:s v="Adana"/>
  </x:r>
  <x:r>
    <x:m/>
    <x:x v="2"/>
    <x:x v="6"/>
    <x:x v="1"/>
    <x:n v="7250"/>
    <x:n v="21750"/>
    <x:n v="6750"/>
    <x:x v="3"/>
    <x:s v="Diyarbakır"/>
  </x:r>
  <x:r>
    <x:m/>
    <x:x v="1"/>
    <x:x v="0"/>
    <x:x v="3"/>
    <x:n v="6000"/>
    <x:n v="30000"/>
    <x:n v="10000"/>
    <x:x v="3"/>
    <x:s v="Kocaeli"/>
  </x:r>
  <x:r>
    <x:m/>
    <x:x v="5"/>
    <x:x v="19"/>
    <x:x v="0"/>
    <x:n v="1200"/>
    <x:n v="2400"/>
    <x:n v="800"/>
    <x:x v="3"/>
    <x:s v="Adana"/>
  </x:r>
  <x:r>
    <x:m/>
    <x:x v="11"/>
    <x:x v="21"/>
    <x:x v="4"/>
    <x:n v="5300"/>
    <x:n v="21200"/>
    <x:n v="5200"/>
    <x:x v="3"/>
    <x:s v="Kocaeli"/>
  </x:r>
  <x:r>
    <x:m/>
    <x:x v="8"/>
    <x:x v="2"/>
    <x:x v="1"/>
    <x:n v="8450"/>
    <x:n v="25350"/>
    <x:n v="7350"/>
    <x:x v="3"/>
    <x:s v="Diyarbakır"/>
  </x:r>
  <x:r>
    <x:m/>
    <x:x v="4"/>
    <x:x v="3"/>
    <x:x v="0"/>
    <x:n v="1350"/>
    <x:n v="2700"/>
    <x:n v="1100"/>
    <x:x v="3"/>
    <x:s v="Diyarbakır"/>
  </x:r>
  <x:r>
    <x:m/>
    <x:x v="6"/>
    <x:x v="11"/>
    <x:x v="0"/>
    <x:n v="1090"/>
    <x:n v="2180"/>
    <x:n v="580"/>
    <x:x v="3"/>
    <x:s v="Antalya"/>
  </x:r>
  <x:r>
    <x:m/>
    <x:x v="4"/>
    <x:x v="4"/>
    <x:x v="4"/>
    <x:n v="2180"/>
    <x:n v="8720"/>
    <x:n v="2720"/>
    <x:x v="3"/>
    <x:s v="İzmir"/>
  </x:r>
  <x:r>
    <x:m/>
    <x:x v="0"/>
    <x:x v="0"/>
    <x:x v="3"/>
    <x:n v="6000"/>
    <x:n v="30000"/>
    <x:n v="10000"/>
    <x:x v="3"/>
    <x:s v="Hatay"/>
  </x:r>
  <x:r>
    <x:m/>
    <x:x v="1"/>
    <x:x v="1"/>
    <x:x v="4"/>
    <x:n v="1400"/>
    <x:n v="5600"/>
    <x:n v="2400"/>
    <x:x v="3"/>
    <x:s v="Diyarbakır"/>
  </x:r>
  <x:r>
    <x:m/>
    <x:x v="2"/>
    <x:x v="2"/>
    <x:x v="1"/>
    <x:n v="8450"/>
    <x:n v="25350"/>
    <x:n v="7350"/>
    <x:x v="3"/>
    <x:s v="Diyarbakır"/>
  </x:r>
  <x:r>
    <x:m/>
    <x:x v="3"/>
    <x:x v="3"/>
    <x:x v="0"/>
    <x:n v="1350"/>
    <x:n v="2700"/>
    <x:n v="1100"/>
    <x:x v="3"/>
    <x:s v="Mersin"/>
  </x:r>
  <x:r>
    <x:m/>
    <x:x v="0"/>
    <x:x v="4"/>
    <x:x v="3"/>
    <x:n v="2180"/>
    <x:n v="10900"/>
    <x:n v="3400"/>
    <x:x v="3"/>
    <x:s v="Antalya"/>
  </x:r>
  <x:r>
    <x:m/>
    <x:x v="4"/>
    <x:x v="5"/>
    <x:x v="1"/>
    <x:n v="7600"/>
    <x:n v="22800"/>
    <x:n v="4800"/>
    <x:x v="3"/>
    <x:s v="Gaziantep"/>
  </x:r>
  <x:r>
    <x:m/>
    <x:x v="1"/>
    <x:x v="6"/>
    <x:x v="3"/>
    <x:n v="7250"/>
    <x:n v="36250"/>
    <x:n v="11250"/>
    <x:x v="3"/>
    <x:s v="İstanbul"/>
  </x:r>
  <x:r>
    <x:m/>
    <x:x v="3"/>
    <x:x v="7"/>
    <x:x v="3"/>
    <x:n v="1100"/>
    <x:n v="5500"/>
    <x:n v="1500"/>
    <x:x v="3"/>
    <x:s v="Kocaeli"/>
  </x:r>
  <x:r>
    <x:m/>
    <x:x v="5"/>
    <x:x v="0"/>
    <x:x v="0"/>
    <x:n v="6000"/>
    <x:n v="12000"/>
    <x:n v="4000"/>
    <x:x v="3"/>
    <x:s v="İzmir"/>
  </x:r>
  <x:r>
    <x:m/>
    <x:x v="0"/>
    <x:x v="9"/>
    <x:x v="0"/>
    <x:n v="1200"/>
    <x:n v="2400"/>
    <x:n v="800"/>
    <x:x v="3"/>
    <x:s v="Mersin"/>
  </x:r>
  <x:r>
    <x:m/>
    <x:x v="6"/>
    <x:x v="10"/>
    <x:x v="3"/>
    <x:n v="1800"/>
    <x:n v="9000"/>
    <x:n v="5000"/>
    <x:x v="3"/>
    <x:s v="Hatay"/>
  </x:r>
  <x:r>
    <x:m/>
    <x:x v="6"/>
    <x:x v="11"/>
    <x:x v="4"/>
    <x:n v="1090"/>
    <x:n v="4360"/>
    <x:n v="1160"/>
    <x:x v="3"/>
    <x:s v="Gaziantep"/>
  </x:r>
  <x:r>
    <x:m/>
    <x:x v="5"/>
    <x:x v="4"/>
    <x:x v="3"/>
    <x:n v="2180"/>
    <x:n v="10900"/>
    <x:n v="3400"/>
    <x:x v="3"/>
    <x:s v="Adana"/>
  </x:r>
  <x:r>
    <x:m/>
    <x:x v="7"/>
    <x:x v="10"/>
    <x:x v="3"/>
    <x:n v="1800"/>
    <x:n v="9000"/>
    <x:n v="5000"/>
    <x:x v="3"/>
    <x:s v="İstanbul"/>
  </x:r>
  <x:r>
    <x:m/>
    <x:x v="4"/>
    <x:x v="12"/>
    <x:x v="4"/>
    <x:n v="8000"/>
    <x:n v="32000"/>
    <x:n v="8000"/>
    <x:x v="3"/>
    <x:s v="Bursa"/>
  </x:r>
  <x:r>
    <x:m/>
    <x:x v="5"/>
    <x:x v="1"/>
    <x:x v="3"/>
    <x:n v="1400"/>
    <x:n v="7000"/>
    <x:n v="3000"/>
    <x:x v="3"/>
    <x:s v="Hatay"/>
  </x:r>
  <x:r>
    <x:m/>
    <x:x v="8"/>
    <x:x v="13"/>
    <x:x v="4"/>
    <x:n v="10590"/>
    <x:n v="42360"/>
    <x:n v="18360"/>
    <x:x v="3"/>
    <x:s v="İzmir"/>
  </x:r>
  <x:r>
    <x:m/>
    <x:x v="9"/>
    <x:x v="3"/>
    <x:x v="1"/>
    <x:n v="1350"/>
    <x:n v="4050"/>
    <x:n v="1650"/>
    <x:x v="3"/>
    <x:s v="Konya"/>
  </x:r>
  <x:r>
    <x:m/>
    <x:x v="6"/>
    <x:x v="1"/>
    <x:x v="1"/>
    <x:n v="1400"/>
    <x:n v="4200"/>
    <x:n v="1800"/>
    <x:x v="3"/>
    <x:s v="İstanbul"/>
  </x:r>
  <x:r>
    <x:m/>
    <x:x v="3"/>
    <x:x v="0"/>
    <x:x v="0"/>
    <x:n v="6000"/>
    <x:n v="12000"/>
    <x:n v="4000"/>
    <x:x v="3"/>
    <x:s v="Adana"/>
  </x:r>
  <x:r>
    <x:m/>
    <x:x v="8"/>
    <x:x v="7"/>
    <x:x v="3"/>
    <x:n v="1100"/>
    <x:n v="5500"/>
    <x:n v="1500"/>
    <x:x v="3"/>
    <x:s v="Diyarbakır"/>
  </x:r>
  <x:r>
    <x:m/>
    <x:x v="2"/>
    <x:x v="0"/>
    <x:x v="1"/>
    <x:n v="6000"/>
    <x:n v="18000"/>
    <x:n v="6000"/>
    <x:x v="3"/>
    <x:s v="Adana"/>
  </x:r>
  <x:r>
    <x:m/>
    <x:x v="9"/>
    <x:x v="14"/>
    <x:x v="0"/>
    <x:n v="1490"/>
    <x:n v="2980"/>
    <x:n v="1380"/>
    <x:x v="3"/>
    <x:s v="Mersin"/>
  </x:r>
  <x:r>
    <x:m/>
    <x:x v="8"/>
    <x:x v="13"/>
    <x:x v="0"/>
    <x:n v="10590"/>
    <x:n v="21180"/>
    <x:n v="9180"/>
    <x:x v="3"/>
    <x:s v="Konya"/>
  </x:r>
  <x:r>
    <x:m/>
    <x:x v="2"/>
    <x:x v="12"/>
    <x:x v="4"/>
    <x:n v="8000"/>
    <x:n v="32000"/>
    <x:n v="8000"/>
    <x:x v="3"/>
    <x:s v="Diyarbakır"/>
  </x:r>
  <x:r>
    <x:m/>
    <x:x v="6"/>
    <x:x v="7"/>
    <x:x v="1"/>
    <x:n v="1100"/>
    <x:n v="3300"/>
    <x:n v="900"/>
    <x:x v="3"/>
    <x:s v="Kocaeli"/>
  </x:r>
  <x:r>
    <x:m/>
    <x:x v="9"/>
    <x:x v="9"/>
    <x:x v="0"/>
    <x:n v="1200"/>
    <x:n v="2400"/>
    <x:n v="800"/>
    <x:x v="3"/>
    <x:s v="Şanlıurfa"/>
  </x:r>
  <x:r>
    <x:m/>
    <x:x v="4"/>
    <x:x v="15"/>
    <x:x v="1"/>
    <x:n v="4200"/>
    <x:n v="12600"/>
    <x:n v="3600"/>
    <x:x v="3"/>
    <x:s v="Hatay"/>
  </x:r>
  <x:r>
    <x:m/>
    <x:x v="1"/>
    <x:x v="16"/>
    <x:x v="0"/>
    <x:n v="5775"/>
    <x:n v="11550"/>
    <x:n v="3550"/>
    <x:x v="3"/>
    <x:s v="Adana"/>
  </x:r>
  <x:r>
    <x:m/>
    <x:x v="10"/>
    <x:x v="5"/>
    <x:x v="4"/>
    <x:n v="7600"/>
    <x:n v="30400"/>
    <x:n v="6400"/>
    <x:x v="3"/>
    <x:s v="Diyarbakır"/>
  </x:r>
  <x:r>
    <x:m/>
    <x:x v="1"/>
    <x:x v="6"/>
    <x:x v="0"/>
    <x:n v="7250"/>
    <x:n v="14500"/>
    <x:n v="4500"/>
    <x:x v="3"/>
    <x:s v="İzmir"/>
  </x:r>
  <x:r>
    <x:m/>
    <x:x v="0"/>
    <x:x v="6"/>
    <x:x v="1"/>
    <x:n v="7250"/>
    <x:n v="21750"/>
    <x:n v="6750"/>
    <x:x v="3"/>
    <x:s v="Antalya"/>
  </x:r>
  <x:r>
    <x:m/>
    <x:x v="8"/>
    <x:x v="6"/>
    <x:x v="1"/>
    <x:n v="7250"/>
    <x:n v="21750"/>
    <x:n v="6750"/>
    <x:x v="3"/>
    <x:s v="Şanlıurfa"/>
  </x:r>
  <x:r>
    <x:m/>
    <x:x v="5"/>
    <x:x v="3"/>
    <x:x v="3"/>
    <x:n v="1350"/>
    <x:n v="6750"/>
    <x:n v="2750"/>
    <x:x v="3"/>
    <x:s v="Adana"/>
  </x:r>
  <x:r>
    <x:m/>
    <x:x v="1"/>
    <x:x v="6"/>
    <x:x v="3"/>
    <x:n v="7250"/>
    <x:n v="36250"/>
    <x:n v="11250"/>
    <x:x v="3"/>
    <x:s v="İstanbul"/>
  </x:r>
  <x:r>
    <x:m/>
    <x:x v="6"/>
    <x:x v="5"/>
    <x:x v="3"/>
    <x:n v="7600"/>
    <x:n v="38000"/>
    <x:n v="8000"/>
    <x:x v="3"/>
    <x:s v="Gaziantep"/>
  </x:r>
  <x:r>
    <x:m/>
    <x:x v="11"/>
    <x:x v="5"/>
    <x:x v="4"/>
    <x:n v="7600"/>
    <x:n v="30400"/>
    <x:n v="6400"/>
    <x:x v="3"/>
    <x:s v="Konya"/>
  </x:r>
  <x:r>
    <x:m/>
    <x:x v="1"/>
    <x:x v="14"/>
    <x:x v="4"/>
    <x:n v="1490"/>
    <x:n v="5960"/>
    <x:n v="2760"/>
    <x:x v="3"/>
    <x:s v="Ankara"/>
  </x:r>
  <x:r>
    <x:m/>
    <x:x v="5"/>
    <x:x v="17"/>
    <x:x v="3"/>
    <x:n v="2900"/>
    <x:n v="14500"/>
    <x:n v="4500"/>
    <x:x v="3"/>
    <x:s v="Mersin"/>
  </x:r>
  <x:r>
    <x:m/>
    <x:x v="9"/>
    <x:x v="14"/>
    <x:x v="4"/>
    <x:n v="1490"/>
    <x:n v="5960"/>
    <x:n v="2760"/>
    <x:x v="3"/>
    <x:s v="Gaziantep"/>
  </x:r>
  <x:r>
    <x:m/>
    <x:x v="9"/>
    <x:x v="11"/>
    <x:x v="0"/>
    <x:n v="1090"/>
    <x:n v="2180"/>
    <x:n v="580"/>
    <x:x v="3"/>
    <x:s v="Antalya"/>
  </x:r>
  <x:r>
    <x:m/>
    <x:x v="5"/>
    <x:x v="9"/>
    <x:x v="1"/>
    <x:n v="1200"/>
    <x:n v="3600"/>
    <x:n v="1200"/>
    <x:x v="3"/>
    <x:s v="İstanbul"/>
  </x:r>
  <x:r>
    <x:m/>
    <x:x v="8"/>
    <x:x v="13"/>
    <x:x v="4"/>
    <x:n v="10590"/>
    <x:n v="42360"/>
    <x:n v="18360"/>
    <x:x v="3"/>
    <x:s v="Adana"/>
  </x:r>
  <x:r>
    <x:m/>
    <x:x v="6"/>
    <x:x v="15"/>
    <x:x v="0"/>
    <x:n v="4200"/>
    <x:n v="8400"/>
    <x:n v="2400"/>
    <x:x v="3"/>
    <x:s v="Şanlıurfa"/>
  </x:r>
  <x:r>
    <x:m/>
    <x:x v="3"/>
    <x:x v="15"/>
    <x:x v="3"/>
    <x:n v="4200"/>
    <x:n v="21000"/>
    <x:n v="6000"/>
    <x:x v="3"/>
    <x:s v="Ankara"/>
  </x:r>
  <x:r>
    <x:m/>
    <x:x v="7"/>
    <x:x v="13"/>
    <x:x v="0"/>
    <x:n v="10590"/>
    <x:n v="21180"/>
    <x:n v="9180"/>
    <x:x v="3"/>
    <x:s v="Ankara"/>
  </x:r>
  <x:r>
    <x:m/>
    <x:x v="11"/>
    <x:x v="18"/>
    <x:x v="4"/>
    <x:n v="1250"/>
    <x:n v="5000"/>
    <x:n v="1800"/>
    <x:x v="3"/>
    <x:s v="Konya"/>
  </x:r>
  <x:r>
    <x:m/>
    <x:x v="0"/>
    <x:x v="14"/>
    <x:x v="4"/>
    <x:n v="1490"/>
    <x:n v="5960"/>
    <x:n v="2760"/>
    <x:x v="3"/>
    <x:s v="Diyarbakır"/>
  </x:r>
  <x:r>
    <x:m/>
    <x:x v="6"/>
    <x:x v="9"/>
    <x:x v="4"/>
    <x:n v="1200"/>
    <x:n v="4800"/>
    <x:n v="1600"/>
    <x:x v="3"/>
    <x:s v="Diyarbakır"/>
  </x:r>
  <x:r>
    <x:m/>
    <x:x v="2"/>
    <x:x v="4"/>
    <x:x v="1"/>
    <x:n v="2180"/>
    <x:n v="6540"/>
    <x:n v="2040"/>
    <x:x v="3"/>
    <x:s v="İstanbul"/>
  </x:r>
  <x:r>
    <x:m/>
    <x:x v="9"/>
    <x:x v="19"/>
    <x:x v="0"/>
    <x:n v="1200"/>
    <x:n v="2400"/>
    <x:n v="800"/>
    <x:x v="3"/>
    <x:s v="İstanbul"/>
  </x:r>
  <x:r>
    <x:m/>
    <x:x v="0"/>
    <x:x v="10"/>
    <x:x v="4"/>
    <x:n v="1800"/>
    <x:n v="7200"/>
    <x:n v="4000"/>
    <x:x v="3"/>
    <x:s v="Gaziantep"/>
  </x:r>
  <x:r>
    <x:m/>
    <x:x v="2"/>
    <x:x v="5"/>
    <x:x v="0"/>
    <x:n v="7600"/>
    <x:n v="15200"/>
    <x:n v="3200"/>
    <x:x v="3"/>
    <x:s v="Kocaeli"/>
  </x:r>
  <x:r>
    <x:m/>
    <x:x v="7"/>
    <x:x v="20"/>
    <x:x v="4"/>
    <x:n v="7530"/>
    <x:n v="30120"/>
    <x:n v="6120"/>
    <x:x v="3"/>
    <x:s v="İstanbul"/>
  </x:r>
  <x:r>
    <x:m/>
    <x:x v="11"/>
    <x:x v="14"/>
    <x:x v="0"/>
    <x:n v="1490"/>
    <x:n v="2980"/>
    <x:n v="1380"/>
    <x:x v="3"/>
    <x:s v="Adana"/>
  </x:r>
  <x:r>
    <x:m/>
    <x:x v="0"/>
    <x:x v="21"/>
    <x:x v="1"/>
    <x:n v="5300"/>
    <x:n v="15900"/>
    <x:n v="3900"/>
    <x:x v="3"/>
    <x:s v="Gaziantep"/>
  </x:r>
  <x:r>
    <x:m/>
    <x:x v="4"/>
    <x:x v="9"/>
    <x:x v="1"/>
    <x:n v="1200"/>
    <x:n v="3600"/>
    <x:n v="1200"/>
    <x:x v="3"/>
    <x:s v="Adana"/>
  </x:r>
  <x:r>
    <x:m/>
    <x:x v="9"/>
    <x:x v="11"/>
    <x:x v="0"/>
    <x:n v="1090"/>
    <x:n v="2180"/>
    <x:n v="580"/>
    <x:x v="3"/>
    <x:s v="Şanlıurfa"/>
  </x:r>
  <x:r>
    <x:m/>
    <x:x v="4"/>
    <x:x v="6"/>
    <x:x v="3"/>
    <x:n v="7250"/>
    <x:n v="36250"/>
    <x:n v="11250"/>
    <x:x v="3"/>
    <x:s v="Adana"/>
  </x:r>
  <x:r>
    <x:m/>
    <x:x v="10"/>
    <x:x v="1"/>
    <x:x v="0"/>
    <x:n v="1400"/>
    <x:n v="2800"/>
    <x:n v="1200"/>
    <x:x v="3"/>
    <x:s v="Diyarbakır"/>
  </x:r>
  <x:r>
    <x:m/>
    <x:x v="2"/>
    <x:x v="22"/>
    <x:x v="0"/>
    <x:n v="1500"/>
    <x:n v="3000"/>
    <x:n v="1400"/>
    <x:x v="3"/>
    <x:s v="Konya"/>
  </x:r>
  <x:r>
    <x:m/>
    <x:x v="7"/>
    <x:x v="3"/>
    <x:x v="1"/>
    <x:n v="1350"/>
    <x:n v="4050"/>
    <x:n v="1650"/>
    <x:x v="3"/>
    <x:s v="Konya"/>
  </x:r>
  <x:r>
    <x:m/>
    <x:x v="7"/>
    <x:x v="9"/>
    <x:x v="0"/>
    <x:n v="1200"/>
    <x:n v="2400"/>
    <x:n v="800"/>
    <x:x v="3"/>
    <x:s v="İstanbul"/>
  </x:r>
  <x:r>
    <x:m/>
    <x:x v="1"/>
    <x:x v="20"/>
    <x:x v="3"/>
    <x:n v="7530"/>
    <x:n v="37650"/>
    <x:n v="7650"/>
    <x:x v="3"/>
    <x:s v="Gaziantep"/>
  </x:r>
  <x:r>
    <x:m/>
    <x:x v="10"/>
    <x:x v="9"/>
    <x:x v="3"/>
    <x:n v="1200"/>
    <x:n v="6000"/>
    <x:n v="2000"/>
    <x:x v="3"/>
    <x:s v="Hatay"/>
  </x:r>
  <x:r>
    <x:m/>
    <x:x v="8"/>
    <x:x v="10"/>
    <x:x v="1"/>
    <x:n v="1800"/>
    <x:n v="5400"/>
    <x:n v="3000"/>
    <x:x v="3"/>
    <x:s v="Diyarbakır"/>
  </x:r>
  <x:r>
    <x:m/>
    <x:x v="0"/>
    <x:x v="6"/>
    <x:x v="1"/>
    <x:n v="7250"/>
    <x:n v="21750"/>
    <x:n v="6750"/>
    <x:x v="3"/>
    <x:s v="İstanbul"/>
  </x:r>
  <x:r>
    <x:m/>
    <x:x v="9"/>
    <x:x v="14"/>
    <x:x v="0"/>
    <x:n v="1490"/>
    <x:n v="2980"/>
    <x:n v="1380"/>
    <x:x v="3"/>
    <x:s v="Bursa"/>
  </x:r>
  <x:r>
    <x:m/>
    <x:x v="9"/>
    <x:x v="19"/>
    <x:x v="1"/>
    <x:n v="1200"/>
    <x:n v="3600"/>
    <x:n v="1200"/>
    <x:x v="3"/>
    <x:s v="Adana"/>
  </x:r>
  <x:r>
    <x:m/>
    <x:x v="1"/>
    <x:x v="12"/>
    <x:x v="3"/>
    <x:n v="8000"/>
    <x:n v="40000"/>
    <x:n v="10000"/>
    <x:x v="3"/>
    <x:s v="Ankara"/>
  </x:r>
  <x:r>
    <x:m/>
    <x:x v="6"/>
    <x:x v="1"/>
    <x:x v="1"/>
    <x:n v="1400"/>
    <x:n v="4200"/>
    <x:n v="1800"/>
    <x:x v="3"/>
    <x:s v="İstanbul"/>
  </x:r>
  <x:r>
    <x:m/>
    <x:x v="5"/>
    <x:x v="3"/>
    <x:x v="0"/>
    <x:n v="1350"/>
    <x:n v="2700"/>
    <x:n v="1100"/>
    <x:x v="3"/>
    <x:s v="Antalya"/>
  </x:r>
  <x:r>
    <x:m/>
    <x:x v="8"/>
    <x:x v="19"/>
    <x:x v="0"/>
    <x:n v="1200"/>
    <x:n v="2400"/>
    <x:n v="800"/>
    <x:x v="3"/>
    <x:s v="Bursa"/>
  </x:r>
  <x:r>
    <x:m/>
    <x:x v="6"/>
    <x:x v="21"/>
    <x:x v="1"/>
    <x:n v="5300"/>
    <x:n v="15900"/>
    <x:n v="3900"/>
    <x:x v="3"/>
    <x:s v="İstanbul"/>
  </x:r>
  <x:r>
    <x:m/>
    <x:x v="9"/>
    <x:x v="13"/>
    <x:x v="0"/>
    <x:n v="10590"/>
    <x:n v="21180"/>
    <x:n v="9180"/>
    <x:x v="3"/>
    <x:s v="İstanbul"/>
  </x:r>
  <x:r>
    <x:m/>
    <x:x v="4"/>
    <x:x v="18"/>
    <x:x v="3"/>
    <x:n v="1250"/>
    <x:n v="6250"/>
    <x:n v="2250"/>
    <x:x v="3"/>
    <x:s v="Bursa"/>
  </x:r>
  <x:r>
    <x:m/>
    <x:x v="11"/>
    <x:x v="19"/>
    <x:x v="0"/>
    <x:n v="1200"/>
    <x:n v="2400"/>
    <x:n v="800"/>
    <x:x v="3"/>
    <x:s v="Ankara"/>
  </x:r>
  <x:r>
    <x:m/>
    <x:x v="4"/>
    <x:x v="1"/>
    <x:x v="0"/>
    <x:n v="1400"/>
    <x:n v="2800"/>
    <x:n v="1200"/>
    <x:x v="3"/>
    <x:s v="Kocaeli"/>
  </x:r>
  <x:r>
    <x:m/>
    <x:x v="11"/>
    <x:x v="20"/>
    <x:x v="1"/>
    <x:n v="7530"/>
    <x:n v="22590"/>
    <x:n v="4590"/>
    <x:x v="3"/>
    <x:s v="Gaziantep"/>
  </x:r>
  <x:r>
    <x:m/>
    <x:x v="6"/>
    <x:x v="5"/>
    <x:x v="1"/>
    <x:n v="7600"/>
    <x:n v="22800"/>
    <x:n v="4800"/>
    <x:x v="3"/>
    <x:s v="Mersin"/>
  </x:r>
  <x:r>
    <x:m/>
    <x:x v="11"/>
    <x:x v="22"/>
    <x:x v="0"/>
    <x:n v="1500"/>
    <x:n v="3000"/>
    <x:n v="1400"/>
    <x:x v="3"/>
    <x:s v="Adana"/>
  </x:r>
  <x:r>
    <x:m/>
    <x:x v="9"/>
    <x:x v="4"/>
    <x:x v="3"/>
    <x:n v="2180"/>
    <x:n v="10900"/>
    <x:n v="3400"/>
    <x:x v="3"/>
    <x:s v="Adana"/>
  </x:r>
  <x:r>
    <x:m/>
    <x:x v="3"/>
    <x:x v="4"/>
    <x:x v="0"/>
    <x:n v="2180"/>
    <x:n v="4360"/>
    <x:n v="1360"/>
    <x:x v="3"/>
    <x:s v="İzmir"/>
  </x:r>
  <x:r>
    <x:m/>
    <x:x v="9"/>
    <x:x v="16"/>
    <x:x v="0"/>
    <x:n v="5775"/>
    <x:n v="11550"/>
    <x:n v="3550"/>
    <x:x v="3"/>
    <x:s v="Diyarbakır"/>
  </x:r>
  <x:r>
    <x:m/>
    <x:x v="9"/>
    <x:x v="7"/>
    <x:x v="1"/>
    <x:n v="1100"/>
    <x:n v="3300"/>
    <x:n v="900"/>
    <x:x v="3"/>
    <x:s v="İzmir"/>
  </x:r>
  <x:r>
    <x:m/>
    <x:x v="10"/>
    <x:x v="16"/>
    <x:x v="0"/>
    <x:n v="5775"/>
    <x:n v="11550"/>
    <x:n v="3550"/>
    <x:x v="3"/>
    <x:s v="İzmir"/>
  </x:r>
  <x:r>
    <x:m/>
    <x:x v="7"/>
    <x:x v="3"/>
    <x:x v="1"/>
    <x:n v="1350"/>
    <x:n v="4050"/>
    <x:n v="1650"/>
    <x:x v="3"/>
    <x:s v="İstanbul"/>
  </x:r>
  <x:r>
    <x:m/>
    <x:x v="0"/>
    <x:x v="5"/>
    <x:x v="3"/>
    <x:n v="7600"/>
    <x:n v="38000"/>
    <x:n v="8000"/>
    <x:x v="3"/>
    <x:s v="Konya"/>
  </x:r>
  <x:r>
    <x:m/>
    <x:x v="2"/>
    <x:x v="6"/>
    <x:x v="4"/>
    <x:n v="7250"/>
    <x:n v="29000"/>
    <x:n v="9000"/>
    <x:x v="3"/>
    <x:s v="İstanbul"/>
  </x:r>
  <x:r>
    <x:m/>
    <x:x v="11"/>
    <x:x v="14"/>
    <x:x v="4"/>
    <x:n v="1490"/>
    <x:n v="5960"/>
    <x:n v="2760"/>
    <x:x v="3"/>
    <x:s v="Diyarbakır"/>
  </x:r>
  <x:r>
    <x:m/>
    <x:x v="3"/>
    <x:x v="14"/>
    <x:x v="3"/>
    <x:n v="1490"/>
    <x:n v="7450"/>
    <x:n v="3450"/>
    <x:x v="3"/>
    <x:s v="Kocaeli"/>
  </x:r>
  <x:r>
    <x:m/>
    <x:x v="8"/>
    <x:x v="11"/>
    <x:x v="1"/>
    <x:n v="1090"/>
    <x:n v="3270"/>
    <x:n v="870"/>
    <x:x v="3"/>
    <x:s v="Şanlıurfa"/>
  </x:r>
  <x:r>
    <x:m/>
    <x:x v="8"/>
    <x:x v="9"/>
    <x:x v="1"/>
    <x:n v="1200"/>
    <x:n v="3600"/>
    <x:n v="1200"/>
    <x:x v="3"/>
    <x:s v="Şanlıurfa"/>
  </x:r>
  <x:r>
    <x:m/>
    <x:x v="11"/>
    <x:x v="11"/>
    <x:x v="4"/>
    <x:n v="1090"/>
    <x:n v="4360"/>
    <x:n v="1160"/>
    <x:x v="3"/>
    <x:s v="İstanbul"/>
  </x:r>
  <x:r>
    <x:m/>
    <x:x v="11"/>
    <x:x v="4"/>
    <x:x v="4"/>
    <x:n v="2180"/>
    <x:n v="8720"/>
    <x:n v="2720"/>
    <x:x v="3"/>
    <x:s v="Gaziantep"/>
  </x:r>
  <x:r>
    <x:m/>
    <x:x v="2"/>
    <x:x v="21"/>
    <x:x v="4"/>
    <x:n v="5300"/>
    <x:n v="21200"/>
    <x:n v="5200"/>
    <x:x v="3"/>
    <x:s v="Hatay"/>
  </x:r>
  <x:r>
    <x:m/>
    <x:x v="11"/>
    <x:x v="21"/>
    <x:x v="1"/>
    <x:n v="5300"/>
    <x:n v="15900"/>
    <x:n v="3900"/>
    <x:x v="3"/>
    <x:s v="Kocaeli"/>
  </x:r>
  <x:r>
    <x:m/>
    <x:x v="5"/>
    <x:x v="6"/>
    <x:x v="1"/>
    <x:n v="7250"/>
    <x:n v="21750"/>
    <x:n v="6750"/>
    <x:x v="3"/>
    <x:s v="Gaziantep"/>
  </x:r>
  <x:r>
    <x:m/>
    <x:x v="5"/>
    <x:x v="19"/>
    <x:x v="0"/>
    <x:n v="1200"/>
    <x:n v="2400"/>
    <x:n v="800"/>
    <x:x v="3"/>
    <x:s v="Şanlıurfa"/>
  </x:r>
  <x:r>
    <x:m/>
    <x:x v="3"/>
    <x:x v="0"/>
    <x:x v="3"/>
    <x:n v="6000"/>
    <x:n v="30000"/>
    <x:n v="10000"/>
    <x:x v="3"/>
    <x:s v="Antalya"/>
  </x:r>
  <x:r>
    <x:m/>
    <x:x v="2"/>
    <x:x v="2"/>
    <x:x v="1"/>
    <x:n v="8450"/>
    <x:n v="25350"/>
    <x:n v="7350"/>
    <x:x v="3"/>
    <x:s v="Ankara"/>
  </x:r>
  <x:r>
    <x:m/>
    <x:x v="6"/>
    <x:x v="15"/>
    <x:x v="3"/>
    <x:n v="4200"/>
    <x:n v="21000"/>
    <x:n v="6000"/>
    <x:x v="4"/>
    <x:s v="Bursa"/>
  </x:r>
  <x:r>
    <x:m/>
    <x:x v="6"/>
    <x:x v="13"/>
    <x:x v="3"/>
    <x:n v="10590"/>
    <x:n v="52950"/>
    <x:n v="22950"/>
    <x:x v="4"/>
    <x:s v="Bursa"/>
  </x:r>
  <x:r>
    <x:m/>
    <x:x v="5"/>
    <x:x v="19"/>
    <x:x v="1"/>
    <x:n v="1200"/>
    <x:n v="3600"/>
    <x:n v="1200"/>
    <x:x v="4"/>
    <x:s v="İzmir"/>
  </x:r>
  <x:r>
    <x:m/>
    <x:x v="10"/>
    <x:x v="7"/>
    <x:x v="4"/>
    <x:n v="1100"/>
    <x:n v="4400"/>
    <x:n v="1200"/>
    <x:x v="4"/>
    <x:s v="Diyarbakır"/>
  </x:r>
  <x:r>
    <x:m/>
    <x:x v="9"/>
    <x:x v="23"/>
    <x:x v="0"/>
    <x:n v="3700"/>
    <x:n v="7400"/>
    <x:n v="1400"/>
    <x:x v="4"/>
    <x:s v="Adana"/>
  </x:r>
  <x:r>
    <x:m/>
    <x:x v="1"/>
    <x:x v="23"/>
    <x:x v="0"/>
    <x:n v="3700"/>
    <x:n v="7400"/>
    <x:n v="1400"/>
    <x:x v="4"/>
    <x:s v="Adana"/>
  </x:r>
  <x:r>
    <x:m/>
    <x:x v="6"/>
    <x:x v="7"/>
    <x:x v="1"/>
    <x:n v="1100"/>
    <x:n v="3300"/>
    <x:n v="900"/>
    <x:x v="4"/>
    <x:s v="Gaziantep"/>
  </x:r>
  <x:r>
    <x:m/>
    <x:x v="5"/>
    <x:x v="23"/>
    <x:x v="0"/>
    <x:n v="3700"/>
    <x:n v="7400"/>
    <x:n v="1400"/>
    <x:x v="4"/>
    <x:s v="Adana"/>
  </x:r>
  <x:r>
    <x:m/>
    <x:x v="10"/>
    <x:x v="14"/>
    <x:x v="0"/>
    <x:n v="1490"/>
    <x:n v="2980"/>
    <x:n v="1380"/>
    <x:x v="4"/>
    <x:s v="Mersin"/>
  </x:r>
  <x:r>
    <x:m/>
    <x:x v="9"/>
    <x:x v="22"/>
    <x:x v="1"/>
    <x:n v="1500"/>
    <x:n v="4500"/>
    <x:n v="2100"/>
    <x:x v="4"/>
    <x:s v="Gaziantep"/>
  </x:r>
  <x:r>
    <x:m/>
    <x:x v="8"/>
    <x:x v="11"/>
    <x:x v="1"/>
    <x:n v="1090"/>
    <x:n v="3270"/>
    <x:n v="870"/>
    <x:x v="4"/>
    <x:s v="Şanlıurfa"/>
  </x:r>
  <x:r>
    <x:m/>
    <x:x v="10"/>
    <x:x v="10"/>
    <x:x v="3"/>
    <x:n v="1800"/>
    <x:n v="9000"/>
    <x:n v="5000"/>
    <x:x v="4"/>
    <x:s v="Mersin"/>
  </x:r>
  <x:r>
    <x:m/>
    <x:x v="7"/>
    <x:x v="20"/>
    <x:x v="3"/>
    <x:n v="7530"/>
    <x:n v="37650"/>
    <x:n v="7650"/>
    <x:x v="4"/>
    <x:s v="Hatay"/>
  </x:r>
  <x:r>
    <x:m/>
    <x:x v="6"/>
    <x:x v="7"/>
    <x:x v="3"/>
    <x:n v="1100"/>
    <x:n v="5500"/>
    <x:n v="1500"/>
    <x:x v="4"/>
    <x:s v="Konya"/>
  </x:r>
  <x:r>
    <x:m/>
    <x:x v="9"/>
    <x:x v="3"/>
    <x:x v="4"/>
    <x:n v="1350"/>
    <x:n v="5400"/>
    <x:n v="2200"/>
    <x:x v="4"/>
    <x:s v="Gaziantep"/>
  </x:r>
  <x:r>
    <x:m/>
    <x:x v="8"/>
    <x:x v="3"/>
    <x:x v="4"/>
    <x:n v="1350"/>
    <x:n v="5400"/>
    <x:n v="2200"/>
    <x:x v="4"/>
    <x:s v="İzmir"/>
  </x:r>
  <x:r>
    <x:m/>
    <x:x v="7"/>
    <x:x v="11"/>
    <x:x v="3"/>
    <x:n v="1090"/>
    <x:n v="5450"/>
    <x:n v="1450"/>
    <x:x v="4"/>
    <x:s v="Kocaeli"/>
  </x:r>
  <x:r>
    <x:m/>
    <x:x v="7"/>
    <x:x v="15"/>
    <x:x v="3"/>
    <x:n v="4200"/>
    <x:n v="21000"/>
    <x:n v="6000"/>
    <x:x v="4"/>
    <x:s v="Gaziantep"/>
  </x:r>
  <x:r>
    <x:m/>
    <x:x v="9"/>
    <x:x v="10"/>
    <x:x v="1"/>
    <x:n v="1800"/>
    <x:n v="5400"/>
    <x:n v="3000"/>
    <x:x v="4"/>
    <x:s v="Konya"/>
  </x:r>
  <x:r>
    <x:m/>
    <x:x v="11"/>
    <x:x v="11"/>
    <x:x v="4"/>
    <x:n v="1090"/>
    <x:n v="4360"/>
    <x:n v="1160"/>
    <x:x v="4"/>
    <x:s v="Kocaeli"/>
  </x:r>
  <x:r>
    <x:m/>
    <x:x v="0"/>
    <x:x v="5"/>
    <x:x v="3"/>
    <x:n v="7600"/>
    <x:n v="38000"/>
    <x:n v="8000"/>
    <x:x v="4"/>
    <x:s v="Konya"/>
  </x:r>
  <x:r>
    <x:m/>
    <x:x v="8"/>
    <x:x v="5"/>
    <x:x v="4"/>
    <x:n v="7600"/>
    <x:n v="30400"/>
    <x:n v="6400"/>
    <x:x v="4"/>
    <x:s v="Ankara"/>
  </x:r>
  <x:r>
    <x:m/>
    <x:x v="2"/>
    <x:x v="23"/>
    <x:x v="3"/>
    <x:n v="3700"/>
    <x:n v="18500"/>
    <x:n v="3500"/>
    <x:x v="4"/>
    <x:s v="Hatay"/>
  </x:r>
  <x:r>
    <x:m/>
    <x:x v="4"/>
    <x:x v="6"/>
    <x:x v="0"/>
    <x:n v="7250"/>
    <x:n v="14500"/>
    <x:n v="4500"/>
    <x:x v="4"/>
    <x:s v="Ankara"/>
  </x:r>
  <x:r>
    <x:m/>
    <x:x v="1"/>
    <x:x v="5"/>
    <x:x v="4"/>
    <x:n v="7600"/>
    <x:n v="30400"/>
    <x:n v="6400"/>
    <x:x v="4"/>
    <x:s v="Bursa"/>
  </x:r>
  <x:r>
    <x:m/>
    <x:x v="10"/>
    <x:x v="15"/>
    <x:x v="0"/>
    <x:n v="4200"/>
    <x:n v="8400"/>
    <x:n v="2400"/>
    <x:x v="4"/>
    <x:s v="İzmir"/>
  </x:r>
  <x:r>
    <x:m/>
    <x:x v="6"/>
    <x:x v="18"/>
    <x:x v="3"/>
    <x:n v="1250"/>
    <x:n v="6250"/>
    <x:n v="2250"/>
    <x:x v="4"/>
    <x:s v="Bursa"/>
  </x:r>
  <x:r>
    <x:m/>
    <x:x v="8"/>
    <x:x v="11"/>
    <x:x v="3"/>
    <x:n v="1090"/>
    <x:n v="5450"/>
    <x:n v="1450"/>
    <x:x v="4"/>
    <x:s v="Konya"/>
  </x:r>
  <x:r>
    <x:m/>
    <x:x v="3"/>
    <x:x v="4"/>
    <x:x v="0"/>
    <x:n v="2180"/>
    <x:n v="4360"/>
    <x:n v="1360"/>
    <x:x v="4"/>
    <x:s v="Antalya"/>
  </x:r>
  <x:r>
    <x:m/>
    <x:x v="11"/>
    <x:x v="23"/>
    <x:x v="0"/>
    <x:n v="3700"/>
    <x:n v="7400"/>
    <x:n v="1400"/>
    <x:x v="4"/>
    <x:s v="Şanlıurfa"/>
  </x:r>
  <x:r>
    <x:m/>
    <x:x v="9"/>
    <x:x v="0"/>
    <x:x v="4"/>
    <x:n v="6000"/>
    <x:n v="24000"/>
    <x:n v="8000"/>
    <x:x v="4"/>
    <x:s v="Antalya"/>
  </x:r>
  <x:r>
    <x:m/>
    <x:x v="10"/>
    <x:x v="18"/>
    <x:x v="0"/>
    <x:n v="1250"/>
    <x:n v="2500"/>
    <x:n v="900"/>
    <x:x v="4"/>
    <x:s v="Şanlıurfa"/>
  </x:r>
  <x:r>
    <x:m/>
    <x:x v="11"/>
    <x:x v="5"/>
    <x:x v="0"/>
    <x:n v="7600"/>
    <x:n v="15200"/>
    <x:n v="3200"/>
    <x:x v="4"/>
    <x:s v="Bursa"/>
  </x:r>
  <x:r>
    <x:m/>
    <x:x v="0"/>
    <x:x v="1"/>
    <x:x v="4"/>
    <x:n v="1400"/>
    <x:n v="5600"/>
    <x:n v="2400"/>
    <x:x v="4"/>
    <x:s v="Hatay"/>
  </x:r>
  <x:r>
    <x:m/>
    <x:x v="4"/>
    <x:x v="4"/>
    <x:x v="4"/>
    <x:n v="2180"/>
    <x:n v="8720"/>
    <x:n v="2720"/>
    <x:x v="4"/>
    <x:s v="Mersin"/>
  </x:r>
  <x:r>
    <x:m/>
    <x:x v="0"/>
    <x:x v="10"/>
    <x:x v="0"/>
    <x:n v="1800"/>
    <x:n v="3600"/>
    <x:n v="2000"/>
    <x:x v="4"/>
    <x:s v="Konya"/>
  </x:r>
  <x:r>
    <x:m/>
    <x:x v="2"/>
    <x:x v="22"/>
    <x:x v="0"/>
    <x:n v="1500"/>
    <x:n v="3000"/>
    <x:n v="1400"/>
    <x:x v="4"/>
    <x:s v="Kocaeli"/>
  </x:r>
  <x:r>
    <x:m/>
    <x:x v="6"/>
    <x:x v="2"/>
    <x:x v="0"/>
    <x:n v="8450"/>
    <x:n v="16900"/>
    <x:n v="4900"/>
    <x:x v="4"/>
    <x:s v="Antalya"/>
  </x:r>
  <x:r>
    <x:m/>
    <x:x v="9"/>
    <x:x v="22"/>
    <x:x v="4"/>
    <x:n v="1500"/>
    <x:n v="6000"/>
    <x:n v="2800"/>
    <x:x v="4"/>
    <x:s v="Hatay"/>
  </x:r>
  <x:r>
    <x:m/>
    <x:x v="5"/>
    <x:x v="0"/>
    <x:x v="3"/>
    <x:n v="6000"/>
    <x:n v="30000"/>
    <x:n v="10000"/>
    <x:x v="4"/>
    <x:s v="Diyarbakır"/>
  </x:r>
  <x:r>
    <x:m/>
    <x:x v="11"/>
    <x:x v="19"/>
    <x:x v="3"/>
    <x:n v="1200"/>
    <x:n v="6000"/>
    <x:n v="2000"/>
    <x:x v="4"/>
    <x:s v="Ankara"/>
  </x:r>
  <x:r>
    <x:m/>
    <x:x v="0"/>
    <x:x v="15"/>
    <x:x v="1"/>
    <x:n v="4200"/>
    <x:n v="12600"/>
    <x:n v="3600"/>
    <x:x v="4"/>
    <x:s v="Kocaeli"/>
  </x:r>
  <x:r>
    <x:m/>
    <x:x v="10"/>
    <x:x v="5"/>
    <x:x v="4"/>
    <x:n v="7600"/>
    <x:n v="30400"/>
    <x:n v="6400"/>
    <x:x v="4"/>
    <x:s v="Antalya"/>
  </x:r>
  <x:r>
    <x:m/>
    <x:x v="5"/>
    <x:x v="6"/>
    <x:x v="3"/>
    <x:n v="7250"/>
    <x:n v="36250"/>
    <x:n v="11250"/>
    <x:x v="4"/>
    <x:s v="Şanlıurfa"/>
  </x:r>
  <x:r>
    <x:m/>
    <x:x v="1"/>
    <x:x v="20"/>
    <x:x v="3"/>
    <x:n v="7530"/>
    <x:n v="37650"/>
    <x:n v="7650"/>
    <x:x v="4"/>
    <x:s v="Adana"/>
  </x:r>
  <x:r>
    <x:m/>
    <x:x v="2"/>
    <x:x v="6"/>
    <x:x v="1"/>
    <x:n v="7250"/>
    <x:n v="21750"/>
    <x:n v="6750"/>
    <x:x v="4"/>
    <x:s v="İstanbul"/>
  </x:r>
  <x:r>
    <x:m/>
    <x:x v="1"/>
    <x:x v="0"/>
    <x:x v="4"/>
    <x:n v="6000"/>
    <x:n v="24000"/>
    <x:n v="8000"/>
    <x:x v="4"/>
    <x:s v="Antalya"/>
  </x:r>
  <x:r>
    <x:m/>
    <x:x v="5"/>
    <x:x v="19"/>
    <x:x v="1"/>
    <x:n v="1200"/>
    <x:n v="3600"/>
    <x:n v="1200"/>
    <x:x v="4"/>
    <x:s v="Hatay"/>
  </x:r>
  <x:r>
    <x:m/>
    <x:x v="11"/>
    <x:x v="21"/>
    <x:x v="0"/>
    <x:n v="5300"/>
    <x:n v="10600"/>
    <x:n v="2600"/>
    <x:x v="4"/>
    <x:s v="Hatay"/>
  </x:r>
  <x:r>
    <x:m/>
    <x:x v="8"/>
    <x:x v="2"/>
    <x:x v="3"/>
    <x:n v="8450"/>
    <x:n v="42250"/>
    <x:n v="12250"/>
    <x:x v="4"/>
    <x:s v="Konya"/>
  </x:r>
  <x:r>
    <x:m/>
    <x:x v="4"/>
    <x:x v="3"/>
    <x:x v="4"/>
    <x:n v="1350"/>
    <x:n v="5400"/>
    <x:n v="2200"/>
    <x:x v="4"/>
    <x:s v="Diyarbakır"/>
  </x:r>
  <x:r>
    <x:m/>
    <x:x v="6"/>
    <x:x v="11"/>
    <x:x v="0"/>
    <x:n v="1090"/>
    <x:n v="2180"/>
    <x:n v="580"/>
    <x:x v="4"/>
    <x:s v="Şanlıurfa"/>
  </x:r>
  <x:r>
    <x:m/>
    <x:x v="4"/>
    <x:x v="4"/>
    <x:x v="4"/>
    <x:n v="2180"/>
    <x:n v="8720"/>
    <x:n v="2720"/>
    <x:x v="4"/>
    <x:s v="Ankara"/>
  </x:r>
  <x:r>
    <x:m/>
    <x:x v="1"/>
    <x:x v="23"/>
    <x:x v="4"/>
    <x:n v="3700"/>
    <x:n v="14800"/>
    <x:n v="2800"/>
    <x:x v="4"/>
    <x:s v="Gaziantep"/>
  </x:r>
  <x:r>
    <x:m/>
    <x:x v="6"/>
    <x:x v="7"/>
    <x:x v="3"/>
    <x:n v="1100"/>
    <x:n v="5500"/>
    <x:n v="1500"/>
    <x:x v="4"/>
    <x:s v="Diyarbakır"/>
  </x:r>
  <x:r>
    <x:m/>
    <x:x v="5"/>
    <x:x v="23"/>
    <x:x v="3"/>
    <x:n v="3700"/>
    <x:n v="18500"/>
    <x:n v="3500"/>
    <x:x v="4"/>
    <x:s v="Hatay"/>
  </x:r>
  <x:r>
    <x:m/>
    <x:x v="10"/>
    <x:x v="14"/>
    <x:x v="1"/>
    <x:n v="1490"/>
    <x:n v="4470"/>
    <x:n v="2070"/>
    <x:x v="4"/>
    <x:s v="Bursa"/>
  </x:r>
  <x:r>
    <x:m/>
    <x:x v="9"/>
    <x:x v="22"/>
    <x:x v="3"/>
    <x:n v="1500"/>
    <x:n v="7500"/>
    <x:n v="3500"/>
    <x:x v="4"/>
    <x:s v="Hatay"/>
  </x:r>
  <x:r>
    <x:m/>
    <x:x v="8"/>
    <x:x v="11"/>
    <x:x v="3"/>
    <x:n v="1090"/>
    <x:n v="5450"/>
    <x:n v="1450"/>
    <x:x v="4"/>
    <x:s v="İstanbul"/>
  </x:r>
  <x:r>
    <x:m/>
    <x:x v="10"/>
    <x:x v="10"/>
    <x:x v="0"/>
    <x:n v="1800"/>
    <x:n v="3600"/>
    <x:n v="2000"/>
    <x:x v="4"/>
    <x:s v="Hatay"/>
  </x:r>
  <x:r>
    <x:m/>
    <x:x v="7"/>
    <x:x v="20"/>
    <x:x v="3"/>
    <x:n v="7530"/>
    <x:n v="37650"/>
    <x:n v="7650"/>
    <x:x v="4"/>
    <x:s v="Diyarbakır"/>
  </x:r>
  <x:r>
    <x:m/>
    <x:x v="6"/>
    <x:x v="7"/>
    <x:x v="4"/>
    <x:n v="1100"/>
    <x:n v="4400"/>
    <x:n v="1200"/>
    <x:x v="4"/>
    <x:s v="Ankara"/>
  </x:r>
  <x:r>
    <x:m/>
    <x:x v="9"/>
    <x:x v="3"/>
    <x:x v="3"/>
    <x:n v="1350"/>
    <x:n v="6750"/>
    <x:n v="2750"/>
    <x:x v="4"/>
    <x:s v="Diyarbakır"/>
  </x:r>
  <x:r>
    <x:m/>
    <x:x v="8"/>
    <x:x v="3"/>
    <x:x v="4"/>
    <x:n v="1350"/>
    <x:n v="5400"/>
    <x:n v="2200"/>
    <x:x v="4"/>
    <x:s v="Şanlıurfa"/>
  </x:r>
  <x:r>
    <x:m/>
    <x:x v="7"/>
    <x:x v="11"/>
    <x:x v="3"/>
    <x:n v="1090"/>
    <x:n v="5450"/>
    <x:n v="1450"/>
    <x:x v="4"/>
    <x:s v="Antalya"/>
  </x:r>
  <x:r>
    <x:m/>
    <x:x v="7"/>
    <x:x v="15"/>
    <x:x v="3"/>
    <x:n v="4200"/>
    <x:n v="21000"/>
    <x:n v="6000"/>
    <x:x v="4"/>
    <x:s v="Hatay"/>
  </x:r>
  <x:r>
    <x:m/>
    <x:x v="9"/>
    <x:x v="10"/>
    <x:x v="3"/>
    <x:n v="1800"/>
    <x:n v="9000"/>
    <x:n v="5000"/>
    <x:x v="4"/>
    <x:s v="Hatay"/>
  </x:r>
  <x:r>
    <x:m/>
    <x:x v="11"/>
    <x:x v="11"/>
    <x:x v="0"/>
    <x:n v="1090"/>
    <x:n v="2180"/>
    <x:n v="580"/>
    <x:x v="4"/>
    <x:s v="Konya"/>
  </x:r>
  <x:r>
    <x:m/>
    <x:x v="0"/>
    <x:x v="5"/>
    <x:x v="3"/>
    <x:n v="7600"/>
    <x:n v="38000"/>
    <x:n v="8000"/>
    <x:x v="4"/>
    <x:s v="Bursa"/>
  </x:r>
  <x:r>
    <x:m/>
    <x:x v="8"/>
    <x:x v="5"/>
    <x:x v="0"/>
    <x:n v="7600"/>
    <x:n v="15200"/>
    <x:n v="3200"/>
    <x:x v="4"/>
    <x:s v="İzmir"/>
  </x:r>
  <x:r>
    <x:m/>
    <x:x v="2"/>
    <x:x v="23"/>
    <x:x v="3"/>
    <x:n v="3700"/>
    <x:n v="18500"/>
    <x:n v="3500"/>
    <x:x v="4"/>
    <x:s v="Mersin"/>
  </x:r>
  <x:r>
    <x:m/>
    <x:x v="4"/>
    <x:x v="6"/>
    <x:x v="0"/>
    <x:n v="7250"/>
    <x:n v="14500"/>
    <x:n v="4500"/>
    <x:x v="4"/>
    <x:s v="Mersin"/>
  </x:r>
  <x:r>
    <x:m/>
    <x:x v="1"/>
    <x:x v="5"/>
    <x:x v="4"/>
    <x:n v="7600"/>
    <x:n v="30400"/>
    <x:n v="6400"/>
    <x:x v="4"/>
    <x:s v="Bursa"/>
  </x:r>
  <x:r>
    <x:m/>
    <x:x v="10"/>
    <x:x v="15"/>
    <x:x v="1"/>
    <x:n v="4200"/>
    <x:n v="12600"/>
    <x:n v="3600"/>
    <x:x v="4"/>
    <x:s v="Antalya"/>
  </x:r>
  <x:r>
    <x:m/>
    <x:x v="6"/>
    <x:x v="18"/>
    <x:x v="3"/>
    <x:n v="1250"/>
    <x:n v="6250"/>
    <x:n v="2250"/>
    <x:x v="4"/>
    <x:s v="Mersin"/>
  </x:r>
  <x:r>
    <x:m/>
    <x:x v="8"/>
    <x:x v="11"/>
    <x:x v="0"/>
    <x:n v="1090"/>
    <x:n v="2180"/>
    <x:n v="580"/>
    <x:x v="4"/>
    <x:s v="Gaziantep"/>
  </x:r>
  <x:r>
    <x:m/>
    <x:x v="3"/>
    <x:x v="4"/>
    <x:x v="1"/>
    <x:n v="2180"/>
    <x:n v="6540"/>
    <x:n v="2040"/>
    <x:x v="4"/>
    <x:s v="Mersin"/>
  </x:r>
  <x:r>
    <x:m/>
    <x:x v="11"/>
    <x:x v="23"/>
    <x:x v="0"/>
    <x:n v="3700"/>
    <x:n v="7400"/>
    <x:n v="1400"/>
    <x:x v="4"/>
    <x:s v="Gaziantep"/>
  </x:r>
  <x:r>
    <x:m/>
    <x:x v="9"/>
    <x:x v="0"/>
    <x:x v="0"/>
    <x:n v="6000"/>
    <x:n v="12000"/>
    <x:n v="4000"/>
    <x:x v="4"/>
    <x:s v="Ankara"/>
  </x:r>
  <x:r>
    <x:m/>
    <x:x v="10"/>
    <x:x v="18"/>
    <x:x v="1"/>
    <x:n v="1250"/>
    <x:n v="3750"/>
    <x:n v="1350"/>
    <x:x v="4"/>
    <x:s v="Mersin"/>
  </x:r>
  <x:r>
    <x:m/>
    <x:x v="11"/>
    <x:x v="5"/>
    <x:x v="1"/>
    <x:n v="7600"/>
    <x:n v="22800"/>
    <x:n v="4800"/>
    <x:x v="4"/>
    <x:s v="İstanbul"/>
  </x:r>
  <x:r>
    <x:m/>
    <x:x v="0"/>
    <x:x v="1"/>
    <x:x v="3"/>
    <x:n v="1400"/>
    <x:n v="7000"/>
    <x:n v="3000"/>
    <x:x v="4"/>
    <x:s v="Şanlıurfa"/>
  </x:r>
  <x:r>
    <x:m/>
    <x:x v="4"/>
    <x:x v="4"/>
    <x:x v="0"/>
    <x:n v="2180"/>
    <x:n v="4360"/>
    <x:n v="1360"/>
    <x:x v="4"/>
    <x:s v="Bursa"/>
  </x:r>
  <x:r>
    <x:m/>
    <x:x v="0"/>
    <x:x v="10"/>
    <x:x v="1"/>
    <x:n v="1800"/>
    <x:n v="5400"/>
    <x:n v="3000"/>
    <x:x v="4"/>
    <x:s v="Konya"/>
  </x:r>
  <x:r>
    <x:m/>
    <x:x v="2"/>
    <x:x v="22"/>
    <x:x v="3"/>
    <x:n v="1500"/>
    <x:n v="7500"/>
    <x:n v="3500"/>
    <x:x v="4"/>
    <x:s v="İstanbul"/>
  </x:r>
  <x:r>
    <x:m/>
    <x:x v="6"/>
    <x:x v="2"/>
    <x:x v="1"/>
    <x:n v="8450"/>
    <x:n v="25350"/>
    <x:n v="7350"/>
    <x:x v="4"/>
    <x:s v="Konya"/>
  </x:r>
  <x:r>
    <x:m/>
    <x:x v="9"/>
    <x:x v="22"/>
    <x:x v="4"/>
    <x:n v="1500"/>
    <x:n v="6000"/>
    <x:n v="2800"/>
    <x:x v="4"/>
    <x:s v="Konya"/>
  </x:r>
  <x:r>
    <x:m/>
    <x:x v="5"/>
    <x:x v="0"/>
    <x:x v="4"/>
    <x:n v="6000"/>
    <x:n v="24000"/>
    <x:n v="8000"/>
    <x:x v="4"/>
    <x:s v="Hatay"/>
  </x:r>
  <x:r>
    <x:m/>
    <x:x v="11"/>
    <x:x v="19"/>
    <x:x v="3"/>
    <x:n v="1200"/>
    <x:n v="6000"/>
    <x:n v="2000"/>
    <x:x v="4"/>
    <x:s v="Mersin"/>
  </x:r>
  <x:r>
    <x:m/>
    <x:x v="0"/>
    <x:x v="15"/>
    <x:x v="0"/>
    <x:n v="4200"/>
    <x:n v="8400"/>
    <x:n v="2400"/>
    <x:x v="4"/>
    <x:s v="İstanbul"/>
  </x:r>
  <x:r>
    <x:m/>
    <x:x v="10"/>
    <x:x v="5"/>
    <x:x v="4"/>
    <x:n v="7600"/>
    <x:n v="30400"/>
    <x:n v="6400"/>
    <x:x v="4"/>
    <x:s v="Gaziantep"/>
  </x:r>
  <x:r>
    <x:m/>
    <x:x v="5"/>
    <x:x v="6"/>
    <x:x v="4"/>
    <x:n v="7250"/>
    <x:n v="29000"/>
    <x:n v="9000"/>
    <x:x v="4"/>
    <x:s v="Hatay"/>
  </x:r>
  <x:r>
    <x:m/>
    <x:x v="1"/>
    <x:x v="20"/>
    <x:x v="1"/>
    <x:n v="7530"/>
    <x:n v="22590"/>
    <x:n v="4590"/>
    <x:x v="4"/>
    <x:s v="Antalya"/>
  </x:r>
  <x:r>
    <x:m/>
    <x:x v="2"/>
    <x:x v="6"/>
    <x:x v="4"/>
    <x:n v="7250"/>
    <x:n v="29000"/>
    <x:n v="9000"/>
    <x:x v="4"/>
    <x:s v="Mersin"/>
  </x:r>
  <x:r>
    <x:m/>
    <x:x v="1"/>
    <x:x v="0"/>
    <x:x v="3"/>
    <x:n v="6000"/>
    <x:n v="30000"/>
    <x:n v="10000"/>
    <x:x v="4"/>
    <x:s v="Adana"/>
  </x:r>
  <x:r>
    <x:m/>
    <x:x v="5"/>
    <x:x v="19"/>
    <x:x v="1"/>
    <x:n v="1200"/>
    <x:n v="3600"/>
    <x:n v="1200"/>
    <x:x v="4"/>
    <x:s v="İstanbul"/>
  </x:r>
  <x:r>
    <x:m/>
    <x:x v="11"/>
    <x:x v="21"/>
    <x:x v="4"/>
    <x:n v="5300"/>
    <x:n v="21200"/>
    <x:n v="5200"/>
    <x:x v="4"/>
    <x:s v="Ankara"/>
  </x:r>
  <x:r>
    <x:m/>
    <x:x v="8"/>
    <x:x v="2"/>
    <x:x v="3"/>
    <x:n v="8450"/>
    <x:n v="42250"/>
    <x:n v="12250"/>
    <x:x v="4"/>
    <x:s v="Antalya"/>
  </x:r>
  <x:r>
    <x:m/>
    <x:x v="4"/>
    <x:x v="3"/>
    <x:x v="0"/>
    <x:n v="1350"/>
    <x:n v="2700"/>
    <x:n v="1100"/>
    <x:x v="4"/>
    <x:s v="Bursa"/>
  </x:r>
  <x:r>
    <x:m/>
    <x:x v="6"/>
    <x:x v="11"/>
    <x:x v="4"/>
    <x:n v="1090"/>
    <x:n v="4360"/>
    <x:n v="1160"/>
    <x:x v="4"/>
    <x:s v="İstanbul"/>
  </x:r>
  <x:r>
    <x:m/>
    <x:x v="4"/>
    <x:x v="4"/>
    <x:x v="0"/>
    <x:n v="2180"/>
    <x:n v="4360"/>
    <x:n v="1360"/>
    <x:x v="4"/>
    <x:s v="Hatay"/>
  </x:r>
  <x:r>
    <x:m/>
    <x:x v="0"/>
    <x:x v="0"/>
    <x:x v="3"/>
    <x:n v="6000"/>
    <x:n v="30000"/>
    <x:n v="10000"/>
    <x:x v="4"/>
    <x:s v="Diyarbakır"/>
  </x:r>
  <x:r>
    <x:m/>
    <x:x v="1"/>
    <x:x v="1"/>
    <x:x v="3"/>
    <x:n v="1400"/>
    <x:n v="7000"/>
    <x:n v="3000"/>
    <x:x v="4"/>
    <x:s v="Konya"/>
  </x:r>
  <x:r>
    <x:m/>
    <x:x v="2"/>
    <x:x v="2"/>
    <x:x v="0"/>
    <x:n v="8450"/>
    <x:n v="16900"/>
    <x:n v="4900"/>
    <x:x v="4"/>
    <x:s v="Hatay"/>
  </x:r>
  <x:r>
    <x:m/>
    <x:x v="3"/>
    <x:x v="3"/>
    <x:x v="4"/>
    <x:n v="1350"/>
    <x:n v="5400"/>
    <x:n v="2200"/>
    <x:x v="4"/>
    <x:s v="Diyarbakır"/>
  </x:r>
  <x:r>
    <x:m/>
    <x:x v="0"/>
    <x:x v="4"/>
    <x:x v="0"/>
    <x:n v="2180"/>
    <x:n v="4360"/>
    <x:n v="1360"/>
    <x:x v="4"/>
    <x:s v="Diyarbakır"/>
  </x:r>
  <x:r>
    <x:m/>
    <x:x v="4"/>
    <x:x v="5"/>
    <x:x v="4"/>
    <x:n v="7600"/>
    <x:n v="30400"/>
    <x:n v="6400"/>
    <x:x v="4"/>
    <x:s v="Ankara"/>
  </x:r>
  <x:r>
    <x:m/>
    <x:x v="1"/>
    <x:x v="6"/>
    <x:x v="0"/>
    <x:n v="7250"/>
    <x:n v="14500"/>
    <x:n v="4500"/>
    <x:x v="4"/>
    <x:s v="Şanlıurfa"/>
  </x:r>
  <x:r>
    <x:m/>
    <x:x v="3"/>
    <x:x v="7"/>
    <x:x v="1"/>
    <x:n v="1100"/>
    <x:n v="3300"/>
    <x:n v="900"/>
    <x:x v="4"/>
    <x:s v="Bursa"/>
  </x:r>
  <x:r>
    <x:m/>
    <x:x v="5"/>
    <x:x v="0"/>
    <x:x v="1"/>
    <x:n v="6000"/>
    <x:n v="18000"/>
    <x:n v="6000"/>
    <x:x v="4"/>
    <x:s v="Kocaeli"/>
  </x:r>
  <x:r>
    <x:m/>
    <x:x v="0"/>
    <x:x v="9"/>
    <x:x v="1"/>
    <x:n v="1200"/>
    <x:n v="3600"/>
    <x:n v="1200"/>
    <x:x v="4"/>
    <x:s v="Antalya"/>
  </x:r>
  <x:r>
    <x:m/>
    <x:x v="6"/>
    <x:x v="10"/>
    <x:x v="0"/>
    <x:n v="1800"/>
    <x:n v="3600"/>
    <x:n v="2000"/>
    <x:x v="4"/>
    <x:s v="İstanbul"/>
  </x:r>
  <x:r>
    <x:m/>
    <x:x v="6"/>
    <x:x v="11"/>
    <x:x v="1"/>
    <x:n v="1090"/>
    <x:n v="3270"/>
    <x:n v="870"/>
    <x:x v="4"/>
    <x:s v="Gaziantep"/>
  </x:r>
  <x:r>
    <x:m/>
    <x:x v="5"/>
    <x:x v="4"/>
    <x:x v="0"/>
    <x:n v="2180"/>
    <x:n v="4360"/>
    <x:n v="1360"/>
    <x:x v="4"/>
    <x:s v="Diyarbakır"/>
  </x:r>
  <x:r>
    <x:m/>
    <x:x v="7"/>
    <x:x v="10"/>
    <x:x v="4"/>
    <x:n v="1800"/>
    <x:n v="7200"/>
    <x:n v="4000"/>
    <x:x v="4"/>
    <x:s v="İzmir"/>
  </x:r>
  <x:r>
    <x:m/>
    <x:x v="4"/>
    <x:x v="12"/>
    <x:x v="3"/>
    <x:n v="8000"/>
    <x:n v="40000"/>
    <x:n v="10000"/>
    <x:x v="4"/>
    <x:s v="Diyarbakır"/>
  </x:r>
  <x:r>
    <x:m/>
    <x:x v="5"/>
    <x:x v="1"/>
    <x:x v="3"/>
    <x:n v="1400"/>
    <x:n v="7000"/>
    <x:n v="3000"/>
    <x:x v="4"/>
    <x:s v="Gaziantep"/>
  </x:r>
  <x:r>
    <x:m/>
    <x:x v="8"/>
    <x:x v="13"/>
    <x:x v="0"/>
    <x:n v="10590"/>
    <x:n v="21180"/>
    <x:n v="9180"/>
    <x:x v="4"/>
    <x:s v="Antalya"/>
  </x:r>
  <x:r>
    <x:m/>
    <x:x v="9"/>
    <x:x v="3"/>
    <x:x v="4"/>
    <x:n v="1350"/>
    <x:n v="5400"/>
    <x:n v="2200"/>
    <x:x v="4"/>
    <x:s v="Gaziantep"/>
  </x:r>
  <x:r>
    <x:m/>
    <x:x v="6"/>
    <x:x v="1"/>
    <x:x v="1"/>
    <x:n v="1400"/>
    <x:n v="4200"/>
    <x:n v="1800"/>
    <x:x v="4"/>
    <x:s v="Şanlıurfa"/>
  </x:r>
  <x:r>
    <x:m/>
    <x:x v="3"/>
    <x:x v="0"/>
    <x:x v="4"/>
    <x:n v="6000"/>
    <x:n v="24000"/>
    <x:n v="8000"/>
    <x:x v="4"/>
    <x:s v="Kocaeli"/>
  </x:r>
  <x:r>
    <x:m/>
    <x:x v="8"/>
    <x:x v="7"/>
    <x:x v="0"/>
    <x:n v="1100"/>
    <x:n v="2200"/>
    <x:n v="600"/>
    <x:x v="4"/>
    <x:s v="İstanbul"/>
  </x:r>
  <x:r>
    <x:m/>
    <x:x v="2"/>
    <x:x v="0"/>
    <x:x v="0"/>
    <x:n v="6000"/>
    <x:n v="12000"/>
    <x:n v="4000"/>
    <x:x v="4"/>
    <x:s v="Adana"/>
  </x:r>
  <x:r>
    <x:m/>
    <x:x v="9"/>
    <x:x v="14"/>
    <x:x v="4"/>
    <x:n v="1490"/>
    <x:n v="5960"/>
    <x:n v="2760"/>
    <x:x v="4"/>
    <x:s v="Adana"/>
  </x:r>
  <x:r>
    <x:m/>
    <x:x v="8"/>
    <x:x v="13"/>
    <x:x v="4"/>
    <x:n v="10590"/>
    <x:n v="42360"/>
    <x:n v="18360"/>
    <x:x v="4"/>
    <x:s v="Antalya"/>
  </x:r>
  <x:r>
    <x:m/>
    <x:x v="2"/>
    <x:x v="12"/>
    <x:x v="0"/>
    <x:n v="8000"/>
    <x:n v="16000"/>
    <x:n v="4000"/>
    <x:x v="4"/>
    <x:s v="Bursa"/>
  </x:r>
  <x:r>
    <x:m/>
    <x:x v="6"/>
    <x:x v="7"/>
    <x:x v="1"/>
    <x:n v="1100"/>
    <x:n v="3300"/>
    <x:n v="900"/>
    <x:x v="4"/>
    <x:s v="Gaziantep"/>
  </x:r>
  <x:r>
    <x:m/>
    <x:x v="9"/>
    <x:x v="9"/>
    <x:x v="1"/>
    <x:n v="1200"/>
    <x:n v="3600"/>
    <x:n v="1200"/>
    <x:x v="4"/>
    <x:s v="Şanlıurfa"/>
  </x:r>
  <x:r>
    <x:m/>
    <x:x v="4"/>
    <x:x v="15"/>
    <x:x v="1"/>
    <x:n v="4200"/>
    <x:n v="12600"/>
    <x:n v="3600"/>
    <x:x v="4"/>
    <x:s v="Diyarbakır"/>
  </x:r>
  <x:r>
    <x:m/>
    <x:x v="1"/>
    <x:x v="16"/>
    <x:x v="3"/>
    <x:n v="5775"/>
    <x:n v="28875"/>
    <x:n v="8875"/>
    <x:x v="4"/>
    <x:s v="Bursa"/>
  </x:r>
  <x:r>
    <x:m/>
    <x:x v="10"/>
    <x:x v="5"/>
    <x:x v="4"/>
    <x:n v="7600"/>
    <x:n v="30400"/>
    <x:n v="6400"/>
    <x:x v="4"/>
    <x:s v="Hatay"/>
  </x:r>
  <x:r>
    <x:m/>
    <x:x v="1"/>
    <x:x v="6"/>
    <x:x v="0"/>
    <x:n v="7250"/>
    <x:n v="14500"/>
    <x:n v="4500"/>
    <x:x v="4"/>
    <x:s v="Gaziantep"/>
  </x:r>
  <x:r>
    <x:m/>
    <x:x v="0"/>
    <x:x v="6"/>
    <x:x v="0"/>
    <x:n v="7250"/>
    <x:n v="14500"/>
    <x:n v="4500"/>
    <x:x v="4"/>
    <x:s v="Ankara"/>
  </x:r>
  <x:r>
    <x:m/>
    <x:x v="8"/>
    <x:x v="6"/>
    <x:x v="0"/>
    <x:n v="7250"/>
    <x:n v="14500"/>
    <x:n v="4500"/>
    <x:x v="4"/>
    <x:s v="İzmir"/>
  </x:r>
  <x:r>
    <x:m/>
    <x:x v="5"/>
    <x:x v="3"/>
    <x:x v="3"/>
    <x:n v="1350"/>
    <x:n v="6750"/>
    <x:n v="2750"/>
    <x:x v="4"/>
    <x:s v="Konya"/>
  </x:r>
  <x:r>
    <x:m/>
    <x:x v="1"/>
    <x:x v="6"/>
    <x:x v="4"/>
    <x:n v="7250"/>
    <x:n v="29000"/>
    <x:n v="9000"/>
    <x:x v="4"/>
    <x:s v="Diyarbakır"/>
  </x:r>
  <x:r>
    <x:m/>
    <x:x v="6"/>
    <x:x v="5"/>
    <x:x v="1"/>
    <x:n v="7600"/>
    <x:n v="22800"/>
    <x:n v="4800"/>
    <x:x v="4"/>
    <x:s v="Diyarbakır"/>
  </x:r>
  <x:r>
    <x:m/>
    <x:x v="11"/>
    <x:x v="5"/>
    <x:x v="0"/>
    <x:n v="7600"/>
    <x:n v="15200"/>
    <x:n v="3200"/>
    <x:x v="4"/>
    <x:s v="Adana"/>
  </x:r>
  <x:r>
    <x:m/>
    <x:x v="1"/>
    <x:x v="14"/>
    <x:x v="4"/>
    <x:n v="1490"/>
    <x:n v="5960"/>
    <x:n v="2760"/>
    <x:x v="4"/>
    <x:s v="Antalya"/>
  </x:r>
  <x:r>
    <x:m/>
    <x:x v="5"/>
    <x:x v="17"/>
    <x:x v="1"/>
    <x:n v="2900"/>
    <x:n v="8700"/>
    <x:n v="2700"/>
    <x:x v="4"/>
    <x:s v="Konya"/>
  </x:r>
  <x:r>
    <x:m/>
    <x:x v="9"/>
    <x:x v="14"/>
    <x:x v="0"/>
    <x:n v="1490"/>
    <x:n v="2980"/>
    <x:n v="1380"/>
    <x:x v="4"/>
    <x:s v="Adana"/>
  </x:r>
  <x:r>
    <x:m/>
    <x:x v="9"/>
    <x:x v="11"/>
    <x:x v="0"/>
    <x:n v="1090"/>
    <x:n v="2180"/>
    <x:n v="580"/>
    <x:x v="4"/>
    <x:s v="İstanbul"/>
  </x:r>
  <x:r>
    <x:m/>
    <x:x v="5"/>
    <x:x v="9"/>
    <x:x v="4"/>
    <x:n v="1200"/>
    <x:n v="4800"/>
    <x:n v="1600"/>
    <x:x v="4"/>
    <x:s v="Hatay"/>
  </x:r>
  <x:r>
    <x:m/>
    <x:x v="8"/>
    <x:x v="13"/>
    <x:x v="0"/>
    <x:n v="10590"/>
    <x:n v="21180"/>
    <x:n v="9180"/>
    <x:x v="4"/>
    <x:s v="Mersin"/>
  </x:r>
  <x:r>
    <x:m/>
    <x:x v="6"/>
    <x:x v="15"/>
    <x:x v="3"/>
    <x:n v="4200"/>
    <x:n v="21000"/>
    <x:n v="6000"/>
    <x:x v="4"/>
    <x:s v="Diyarbakır"/>
  </x:r>
  <x:r>
    <x:m/>
    <x:x v="3"/>
    <x:x v="15"/>
    <x:x v="0"/>
    <x:n v="4200"/>
    <x:n v="8400"/>
    <x:n v="2400"/>
    <x:x v="4"/>
    <x:s v="Bursa"/>
  </x:r>
  <x:r>
    <x:m/>
    <x:x v="7"/>
    <x:x v="13"/>
    <x:x v="1"/>
    <x:n v="10590"/>
    <x:n v="31770"/>
    <x:n v="13770"/>
    <x:x v="4"/>
    <x:s v="Ankara"/>
  </x:r>
  <x:r>
    <x:m/>
    <x:x v="11"/>
    <x:x v="18"/>
    <x:x v="3"/>
    <x:n v="1250"/>
    <x:n v="6250"/>
    <x:n v="2250"/>
    <x:x v="4"/>
    <x:s v="Antalya"/>
  </x:r>
  <x:r>
    <x:m/>
    <x:x v="0"/>
    <x:x v="14"/>
    <x:x v="1"/>
    <x:n v="1490"/>
    <x:n v="4470"/>
    <x:n v="2070"/>
    <x:x v="4"/>
    <x:s v="Adana"/>
  </x:r>
  <x:r>
    <x:m/>
    <x:x v="6"/>
    <x:x v="9"/>
    <x:x v="3"/>
    <x:n v="1200"/>
    <x:n v="6000"/>
    <x:n v="2000"/>
    <x:x v="4"/>
    <x:s v="Antalya"/>
  </x:r>
  <x:r>
    <x:m/>
    <x:x v="2"/>
    <x:x v="4"/>
    <x:x v="4"/>
    <x:n v="2180"/>
    <x:n v="8720"/>
    <x:n v="2720"/>
    <x:x v="4"/>
    <x:s v="Ankara"/>
  </x:r>
  <x:r>
    <x:m/>
    <x:x v="9"/>
    <x:x v="19"/>
    <x:x v="1"/>
    <x:n v="1200"/>
    <x:n v="3600"/>
    <x:n v="1200"/>
    <x:x v="4"/>
    <x:s v="İstanbul"/>
  </x:r>
  <x:r>
    <x:m/>
    <x:x v="0"/>
    <x:x v="10"/>
    <x:x v="0"/>
    <x:n v="1800"/>
    <x:n v="3600"/>
    <x:n v="2000"/>
    <x:x v="4"/>
    <x:s v="Ankara"/>
  </x:r>
  <x:r>
    <x:m/>
    <x:x v="2"/>
    <x:x v="5"/>
    <x:x v="0"/>
    <x:n v="7600"/>
    <x:n v="15200"/>
    <x:n v="3200"/>
    <x:x v="4"/>
    <x:s v="Konya"/>
  </x:r>
  <x:r>
    <x:m/>
    <x:x v="7"/>
    <x:x v="20"/>
    <x:x v="3"/>
    <x:n v="7530"/>
    <x:n v="37650"/>
    <x:n v="7650"/>
    <x:x v="4"/>
    <x:s v="İstanbul"/>
  </x:r>
  <x:r>
    <x:m/>
    <x:x v="11"/>
    <x:x v="14"/>
    <x:x v="4"/>
    <x:n v="1490"/>
    <x:n v="5960"/>
    <x:n v="2760"/>
    <x:x v="4"/>
    <x:s v="Şanlıurfa"/>
  </x:r>
  <x:r>
    <x:m/>
    <x:x v="0"/>
    <x:x v="21"/>
    <x:x v="4"/>
    <x:n v="5300"/>
    <x:n v="21200"/>
    <x:n v="5200"/>
    <x:x v="4"/>
    <x:s v="Konya"/>
  </x:r>
  <x:r>
    <x:m/>
    <x:x v="4"/>
    <x:x v="9"/>
    <x:x v="4"/>
    <x:n v="1200"/>
    <x:n v="4800"/>
    <x:n v="1600"/>
    <x:x v="4"/>
    <x:s v="Mersin"/>
  </x:r>
  <x:r>
    <x:m/>
    <x:x v="9"/>
    <x:x v="11"/>
    <x:x v="4"/>
    <x:n v="1090"/>
    <x:n v="4360"/>
    <x:n v="1160"/>
    <x:x v="4"/>
    <x:s v="İzmir"/>
  </x:r>
  <x:r>
    <x:m/>
    <x:x v="4"/>
    <x:x v="6"/>
    <x:x v="1"/>
    <x:n v="7250"/>
    <x:n v="21750"/>
    <x:n v="6750"/>
    <x:x v="4"/>
    <x:s v="Antalya"/>
  </x:r>
  <x:r>
    <x:m/>
    <x:x v="10"/>
    <x:x v="1"/>
    <x:x v="4"/>
    <x:n v="1400"/>
    <x:n v="5600"/>
    <x:n v="2400"/>
    <x:x v="4"/>
    <x:s v="Konya"/>
  </x:r>
  <x:r>
    <x:m/>
    <x:x v="2"/>
    <x:x v="22"/>
    <x:x v="0"/>
    <x:n v="1500"/>
    <x:n v="3000"/>
    <x:n v="1400"/>
    <x:x v="4"/>
    <x:s v="Şanlıurfa"/>
  </x:r>
  <x:r>
    <x:m/>
    <x:x v="7"/>
    <x:x v="3"/>
    <x:x v="1"/>
    <x:n v="1350"/>
    <x:n v="4050"/>
    <x:n v="1650"/>
    <x:x v="4"/>
    <x:s v="Kocaeli"/>
  </x:r>
  <x:r>
    <x:m/>
    <x:x v="7"/>
    <x:x v="9"/>
    <x:x v="4"/>
    <x:n v="1200"/>
    <x:n v="4800"/>
    <x:n v="1600"/>
    <x:x v="4"/>
    <x:s v="Kocaeli"/>
  </x:r>
  <x:r>
    <x:m/>
    <x:x v="1"/>
    <x:x v="20"/>
    <x:x v="4"/>
    <x:n v="7530"/>
    <x:n v="30120"/>
    <x:n v="6120"/>
    <x:x v="4"/>
    <x:s v="Gaziantep"/>
  </x:r>
  <x:r>
    <x:m/>
    <x:x v="10"/>
    <x:x v="9"/>
    <x:x v="0"/>
    <x:n v="1200"/>
    <x:n v="2400"/>
    <x:n v="800"/>
    <x:x v="4"/>
    <x:s v="Kocaeli"/>
  </x:r>
  <x:r>
    <x:m/>
    <x:x v="8"/>
    <x:x v="10"/>
    <x:x v="4"/>
    <x:n v="1800"/>
    <x:n v="7200"/>
    <x:n v="4000"/>
    <x:x v="4"/>
    <x:s v="Gaziantep"/>
  </x:r>
  <x:r>
    <x:m/>
    <x:x v="0"/>
    <x:x v="6"/>
    <x:x v="4"/>
    <x:n v="7250"/>
    <x:n v="29000"/>
    <x:n v="9000"/>
    <x:x v="4"/>
    <x:s v="Ankara"/>
  </x:r>
  <x:r>
    <x:m/>
    <x:x v="9"/>
    <x:x v="14"/>
    <x:x v="1"/>
    <x:n v="1490"/>
    <x:n v="4470"/>
    <x:n v="2070"/>
    <x:x v="4"/>
    <x:s v="Adana"/>
  </x:r>
  <x:r>
    <x:m/>
    <x:x v="9"/>
    <x:x v="19"/>
    <x:x v="4"/>
    <x:n v="1200"/>
    <x:n v="4800"/>
    <x:n v="1600"/>
    <x:x v="4"/>
    <x:s v="Hatay"/>
  </x:r>
  <x:r>
    <x:m/>
    <x:x v="1"/>
    <x:x v="12"/>
    <x:x v="1"/>
    <x:n v="8000"/>
    <x:n v="24000"/>
    <x:n v="6000"/>
    <x:x v="4"/>
    <x:s v="Mersin"/>
  </x:r>
  <x:r>
    <x:m/>
    <x:x v="6"/>
    <x:x v="1"/>
    <x:x v="4"/>
    <x:n v="1400"/>
    <x:n v="5600"/>
    <x:n v="2400"/>
    <x:x v="4"/>
    <x:s v="Hatay"/>
  </x:r>
  <x:r>
    <x:m/>
    <x:x v="5"/>
    <x:x v="3"/>
    <x:x v="3"/>
    <x:n v="1350"/>
    <x:n v="6750"/>
    <x:n v="2750"/>
    <x:x v="4"/>
    <x:s v="İstanbul"/>
  </x:r>
  <x:r>
    <x:m/>
    <x:x v="8"/>
    <x:x v="19"/>
    <x:x v="3"/>
    <x:n v="1200"/>
    <x:n v="6000"/>
    <x:n v="2000"/>
    <x:x v="4"/>
    <x:s v="İstanbul"/>
  </x:r>
  <x:r>
    <x:m/>
    <x:x v="6"/>
    <x:x v="21"/>
    <x:x v="1"/>
    <x:n v="5300"/>
    <x:n v="15900"/>
    <x:n v="3900"/>
    <x:x v="4"/>
    <x:s v="Diyarbakır"/>
  </x:r>
  <x:r>
    <x:m/>
    <x:x v="9"/>
    <x:x v="13"/>
    <x:x v="4"/>
    <x:n v="10590"/>
    <x:n v="42360"/>
    <x:n v="18360"/>
    <x:x v="4"/>
    <x:s v="Ankara"/>
  </x:r>
  <x:r>
    <x:m/>
    <x:x v="4"/>
    <x:x v="18"/>
    <x:x v="3"/>
    <x:n v="1250"/>
    <x:n v="6250"/>
    <x:n v="2250"/>
    <x:x v="4"/>
    <x:s v="Ankara"/>
  </x:r>
  <x:r>
    <x:m/>
    <x:x v="11"/>
    <x:x v="19"/>
    <x:x v="1"/>
    <x:n v="1200"/>
    <x:n v="3600"/>
    <x:n v="1200"/>
    <x:x v="5"/>
    <x:s v="Adana"/>
  </x:r>
  <x:r>
    <x:m/>
    <x:x v="4"/>
    <x:x v="1"/>
    <x:x v="0"/>
    <x:n v="1400"/>
    <x:n v="2800"/>
    <x:n v="1200"/>
    <x:x v="5"/>
    <x:s v="Hatay"/>
  </x:r>
  <x:r>
    <x:m/>
    <x:x v="11"/>
    <x:x v="20"/>
    <x:x v="4"/>
    <x:n v="7530"/>
    <x:n v="30120"/>
    <x:n v="6120"/>
    <x:x v="5"/>
    <x:s v="Adana"/>
  </x:r>
  <x:r>
    <x:m/>
    <x:x v="6"/>
    <x:x v="5"/>
    <x:x v="3"/>
    <x:n v="7600"/>
    <x:n v="38000"/>
    <x:n v="8000"/>
    <x:x v="5"/>
    <x:s v="Adana"/>
  </x:r>
  <x:r>
    <x:m/>
    <x:x v="11"/>
    <x:x v="22"/>
    <x:x v="0"/>
    <x:n v="1500"/>
    <x:n v="3000"/>
    <x:n v="1400"/>
    <x:x v="5"/>
    <x:s v="Kocaeli"/>
  </x:r>
  <x:r>
    <x:m/>
    <x:x v="9"/>
    <x:x v="4"/>
    <x:x v="4"/>
    <x:n v="2180"/>
    <x:n v="8720"/>
    <x:n v="2720"/>
    <x:x v="5"/>
    <x:s v="İzmir"/>
  </x:r>
  <x:r>
    <x:m/>
    <x:x v="3"/>
    <x:x v="4"/>
    <x:x v="1"/>
    <x:n v="2180"/>
    <x:n v="6540"/>
    <x:n v="2040"/>
    <x:x v="5"/>
    <x:s v="İstanbul"/>
  </x:r>
  <x:r>
    <x:m/>
    <x:x v="9"/>
    <x:x v="16"/>
    <x:x v="4"/>
    <x:n v="5775"/>
    <x:n v="23100"/>
    <x:n v="7100"/>
    <x:x v="5"/>
    <x:s v="Antalya"/>
  </x:r>
  <x:r>
    <x:m/>
    <x:x v="9"/>
    <x:x v="7"/>
    <x:x v="4"/>
    <x:n v="1100"/>
    <x:n v="4400"/>
    <x:n v="1200"/>
    <x:x v="5"/>
    <x:s v="İstanbul"/>
  </x:r>
  <x:r>
    <x:m/>
    <x:x v="10"/>
    <x:x v="16"/>
    <x:x v="3"/>
    <x:n v="5775"/>
    <x:n v="28875"/>
    <x:n v="8875"/>
    <x:x v="5"/>
    <x:s v="Diyarbakır"/>
  </x:r>
  <x:r>
    <x:m/>
    <x:x v="7"/>
    <x:x v="3"/>
    <x:x v="1"/>
    <x:n v="1350"/>
    <x:n v="4050"/>
    <x:n v="1650"/>
    <x:x v="5"/>
    <x:s v="Bursa"/>
  </x:r>
  <x:r>
    <x:m/>
    <x:x v="0"/>
    <x:x v="5"/>
    <x:x v="1"/>
    <x:n v="7600"/>
    <x:n v="22800"/>
    <x:n v="4800"/>
    <x:x v="5"/>
    <x:s v="Şanlıurfa"/>
  </x:r>
  <x:r>
    <x:m/>
    <x:x v="2"/>
    <x:x v="6"/>
    <x:x v="3"/>
    <x:n v="7250"/>
    <x:n v="36250"/>
    <x:n v="11250"/>
    <x:x v="5"/>
    <x:s v="Mersin"/>
  </x:r>
  <x:r>
    <x:m/>
    <x:x v="11"/>
    <x:x v="14"/>
    <x:x v="0"/>
    <x:n v="1490"/>
    <x:n v="2980"/>
    <x:n v="1380"/>
    <x:x v="5"/>
    <x:s v="İzmir"/>
  </x:r>
  <x:r>
    <x:m/>
    <x:x v="3"/>
    <x:x v="14"/>
    <x:x v="0"/>
    <x:n v="1490"/>
    <x:n v="2980"/>
    <x:n v="1380"/>
    <x:x v="5"/>
    <x:s v="Adana"/>
  </x:r>
  <x:r>
    <x:m/>
    <x:x v="8"/>
    <x:x v="11"/>
    <x:x v="4"/>
    <x:n v="1090"/>
    <x:n v="4360"/>
    <x:n v="1160"/>
    <x:x v="5"/>
    <x:s v="Adana"/>
  </x:r>
  <x:r>
    <x:m/>
    <x:x v="8"/>
    <x:x v="9"/>
    <x:x v="1"/>
    <x:n v="1200"/>
    <x:n v="3600"/>
    <x:n v="1200"/>
    <x:x v="5"/>
    <x:s v="Ankara"/>
  </x:r>
  <x:r>
    <x:m/>
    <x:x v="11"/>
    <x:x v="11"/>
    <x:x v="0"/>
    <x:n v="1090"/>
    <x:n v="2180"/>
    <x:n v="580"/>
    <x:x v="5"/>
    <x:s v="Antalya"/>
  </x:r>
  <x:r>
    <x:m/>
    <x:x v="11"/>
    <x:x v="4"/>
    <x:x v="1"/>
    <x:n v="2180"/>
    <x:n v="6540"/>
    <x:n v="2040"/>
    <x:x v="5"/>
    <x:s v="Antalya"/>
  </x:r>
  <x:r>
    <x:m/>
    <x:x v="2"/>
    <x:x v="21"/>
    <x:x v="0"/>
    <x:n v="5300"/>
    <x:n v="10600"/>
    <x:n v="2600"/>
    <x:x v="5"/>
    <x:s v="Şanlıurfa"/>
  </x:r>
  <x:r>
    <x:m/>
    <x:x v="11"/>
    <x:x v="21"/>
    <x:x v="3"/>
    <x:n v="5300"/>
    <x:n v="26500"/>
    <x:n v="6500"/>
    <x:x v="5"/>
    <x:s v="Bursa"/>
  </x:r>
  <x:r>
    <x:m/>
    <x:x v="5"/>
    <x:x v="6"/>
    <x:x v="1"/>
    <x:n v="7250"/>
    <x:n v="21750"/>
    <x:n v="6750"/>
    <x:x v="5"/>
    <x:s v="Diyarbakır"/>
  </x:r>
  <x:r>
    <x:m/>
    <x:x v="5"/>
    <x:x v="19"/>
    <x:x v="4"/>
    <x:n v="1200"/>
    <x:n v="4800"/>
    <x:n v="1600"/>
    <x:x v="5"/>
    <x:s v="Bursa"/>
  </x:r>
  <x:r>
    <x:m/>
    <x:x v="3"/>
    <x:x v="0"/>
    <x:x v="3"/>
    <x:n v="6000"/>
    <x:n v="30000"/>
    <x:n v="10000"/>
    <x:x v="5"/>
    <x:s v="Kocaeli"/>
  </x:r>
  <x:r>
    <x:m/>
    <x:x v="2"/>
    <x:x v="2"/>
    <x:x v="1"/>
    <x:n v="8450"/>
    <x:n v="25350"/>
    <x:n v="7350"/>
    <x:x v="5"/>
    <x:s v="Hatay"/>
  </x:r>
  <x:r>
    <x:m/>
    <x:x v="6"/>
    <x:x v="15"/>
    <x:x v="4"/>
    <x:n v="4200"/>
    <x:n v="16800"/>
    <x:n v="4800"/>
    <x:x v="5"/>
    <x:s v="Bursa"/>
  </x:r>
  <x:r>
    <x:m/>
    <x:x v="6"/>
    <x:x v="13"/>
    <x:x v="1"/>
    <x:n v="10590"/>
    <x:n v="31770"/>
    <x:n v="13770"/>
    <x:x v="5"/>
    <x:s v="Şanlıurfa"/>
  </x:r>
  <x:r>
    <x:m/>
    <x:x v="5"/>
    <x:x v="19"/>
    <x:x v="4"/>
    <x:n v="1200"/>
    <x:n v="4800"/>
    <x:n v="1600"/>
    <x:x v="5"/>
    <x:s v="Kocaeli"/>
  </x:r>
  <x:r>
    <x:m/>
    <x:x v="10"/>
    <x:x v="7"/>
    <x:x v="3"/>
    <x:n v="1100"/>
    <x:n v="5500"/>
    <x:n v="1500"/>
    <x:x v="5"/>
    <x:s v="Bursa"/>
  </x:r>
  <x:r>
    <x:m/>
    <x:x v="9"/>
    <x:x v="23"/>
    <x:x v="1"/>
    <x:n v="3700"/>
    <x:n v="11100"/>
    <x:n v="2100"/>
    <x:x v="5"/>
    <x:s v="Mersin"/>
  </x:r>
  <x:r>
    <x:m/>
    <x:x v="1"/>
    <x:x v="23"/>
    <x:x v="3"/>
    <x:n v="3700"/>
    <x:n v="18500"/>
    <x:n v="3500"/>
    <x:x v="5"/>
    <x:s v="Bursa"/>
  </x:r>
  <x:r>
    <x:m/>
    <x:x v="6"/>
    <x:x v="7"/>
    <x:x v="1"/>
    <x:n v="1100"/>
    <x:n v="3300"/>
    <x:n v="900"/>
    <x:x v="5"/>
    <x:s v="Mersin"/>
  </x:r>
  <x:r>
    <x:m/>
    <x:x v="5"/>
    <x:x v="23"/>
    <x:x v="4"/>
    <x:n v="3700"/>
    <x:n v="14800"/>
    <x:n v="2800"/>
    <x:x v="5"/>
    <x:s v="İstanbul"/>
  </x:r>
  <x:r>
    <x:m/>
    <x:x v="10"/>
    <x:x v="14"/>
    <x:x v="0"/>
    <x:n v="1490"/>
    <x:n v="2980"/>
    <x:n v="1380"/>
    <x:x v="5"/>
    <x:s v="Bursa"/>
  </x:r>
  <x:r>
    <x:m/>
    <x:x v="9"/>
    <x:x v="22"/>
    <x:x v="3"/>
    <x:n v="1500"/>
    <x:n v="7500"/>
    <x:n v="3500"/>
    <x:x v="5"/>
    <x:s v="İstanbul"/>
  </x:r>
  <x:r>
    <x:m/>
    <x:x v="8"/>
    <x:x v="11"/>
    <x:x v="0"/>
    <x:n v="1090"/>
    <x:n v="2180"/>
    <x:n v="580"/>
    <x:x v="5"/>
    <x:s v="Diyarbakır"/>
  </x:r>
  <x:r>
    <x:m/>
    <x:x v="10"/>
    <x:x v="10"/>
    <x:x v="1"/>
    <x:n v="1800"/>
    <x:n v="5400"/>
    <x:n v="3000"/>
    <x:x v="5"/>
    <x:s v="Antalya"/>
  </x:r>
  <x:r>
    <x:m/>
    <x:x v="7"/>
    <x:x v="20"/>
    <x:x v="3"/>
    <x:n v="7530"/>
    <x:n v="37650"/>
    <x:n v="7650"/>
    <x:x v="5"/>
    <x:s v="Gaziantep"/>
  </x:r>
  <x:r>
    <x:m/>
    <x:x v="6"/>
    <x:x v="7"/>
    <x:x v="1"/>
    <x:n v="1100"/>
    <x:n v="3300"/>
    <x:n v="900"/>
    <x:x v="5"/>
    <x:s v="Bursa"/>
  </x:r>
  <x:r>
    <x:m/>
    <x:x v="9"/>
    <x:x v="3"/>
    <x:x v="0"/>
    <x:n v="1350"/>
    <x:n v="2700"/>
    <x:n v="1100"/>
    <x:x v="5"/>
    <x:s v="İzmir"/>
  </x:r>
  <x:r>
    <x:m/>
    <x:x v="8"/>
    <x:x v="3"/>
    <x:x v="3"/>
    <x:n v="1350"/>
    <x:n v="6750"/>
    <x:n v="2750"/>
    <x:x v="5"/>
    <x:s v="Diyarbakır"/>
  </x:r>
  <x:r>
    <x:m/>
    <x:x v="7"/>
    <x:x v="11"/>
    <x:x v="0"/>
    <x:n v="1090"/>
    <x:n v="2180"/>
    <x:n v="580"/>
    <x:x v="5"/>
    <x:s v="Ankara"/>
  </x:r>
  <x:r>
    <x:m/>
    <x:x v="7"/>
    <x:x v="15"/>
    <x:x v="4"/>
    <x:n v="4200"/>
    <x:n v="16800"/>
    <x:n v="4800"/>
    <x:x v="5"/>
    <x:s v="Gaziantep"/>
  </x:r>
  <x:r>
    <x:m/>
    <x:x v="9"/>
    <x:x v="10"/>
    <x:x v="0"/>
    <x:n v="1800"/>
    <x:n v="3600"/>
    <x:n v="2000"/>
    <x:x v="5"/>
    <x:s v="İstanbul"/>
  </x:r>
  <x:r>
    <x:m/>
    <x:x v="11"/>
    <x:x v="11"/>
    <x:x v="1"/>
    <x:n v="1090"/>
    <x:n v="3270"/>
    <x:n v="870"/>
    <x:x v="5"/>
    <x:s v="Mersin"/>
  </x:r>
  <x:r>
    <x:m/>
    <x:x v="0"/>
    <x:x v="5"/>
    <x:x v="0"/>
    <x:n v="7600"/>
    <x:n v="15200"/>
    <x:n v="3200"/>
    <x:x v="5"/>
    <x:s v="Kocaeli"/>
  </x:r>
  <x:r>
    <x:m/>
    <x:x v="8"/>
    <x:x v="5"/>
    <x:x v="0"/>
    <x:n v="7600"/>
    <x:n v="15200"/>
    <x:n v="3200"/>
    <x:x v="5"/>
    <x:s v="Şanlıurfa"/>
  </x:r>
  <x:r>
    <x:m/>
    <x:x v="2"/>
    <x:x v="23"/>
    <x:x v="3"/>
    <x:n v="3700"/>
    <x:n v="18500"/>
    <x:n v="3500"/>
    <x:x v="5"/>
    <x:s v="Konya"/>
  </x:r>
  <x:r>
    <x:m/>
    <x:x v="4"/>
    <x:x v="6"/>
    <x:x v="1"/>
    <x:n v="7250"/>
    <x:n v="21750"/>
    <x:n v="6750"/>
    <x:x v="5"/>
    <x:s v="Konya"/>
  </x:r>
  <x:r>
    <x:m/>
    <x:x v="1"/>
    <x:x v="5"/>
    <x:x v="3"/>
    <x:n v="7600"/>
    <x:n v="38000"/>
    <x:n v="8000"/>
    <x:x v="5"/>
    <x:s v="Hatay"/>
  </x:r>
  <x:r>
    <x:m/>
    <x:x v="10"/>
    <x:x v="15"/>
    <x:x v="4"/>
    <x:n v="4200"/>
    <x:n v="16800"/>
    <x:n v="4800"/>
    <x:x v="5"/>
    <x:s v="Şanlıurfa"/>
  </x:r>
  <x:r>
    <x:m/>
    <x:x v="6"/>
    <x:x v="18"/>
    <x:x v="1"/>
    <x:n v="1250"/>
    <x:n v="3750"/>
    <x:n v="1350"/>
    <x:x v="5"/>
    <x:s v="Antalya"/>
  </x:r>
  <x:r>
    <x:m/>
    <x:x v="8"/>
    <x:x v="11"/>
    <x:x v="3"/>
    <x:n v="1090"/>
    <x:n v="5450"/>
    <x:n v="1450"/>
    <x:x v="5"/>
    <x:s v="Ankara"/>
  </x:r>
  <x:r>
    <x:m/>
    <x:x v="3"/>
    <x:x v="4"/>
    <x:x v="4"/>
    <x:n v="2180"/>
    <x:n v="8720"/>
    <x:n v="2720"/>
    <x:x v="5"/>
    <x:s v="Antalya"/>
  </x:r>
  <x:r>
    <x:m/>
    <x:x v="11"/>
    <x:x v="23"/>
    <x:x v="1"/>
    <x:n v="3700"/>
    <x:n v="11100"/>
    <x:n v="2100"/>
    <x:x v="5"/>
    <x:s v="İzmir"/>
  </x:r>
  <x:r>
    <x:m/>
    <x:x v="9"/>
    <x:x v="0"/>
    <x:x v="4"/>
    <x:n v="6000"/>
    <x:n v="24000"/>
    <x:n v="8000"/>
    <x:x v="5"/>
    <x:s v="Şanlıurfa"/>
  </x:r>
  <x:r>
    <x:m/>
    <x:x v="10"/>
    <x:x v="18"/>
    <x:x v="3"/>
    <x:n v="1250"/>
    <x:n v="6250"/>
    <x:n v="2250"/>
    <x:x v="5"/>
    <x:s v="Mersin"/>
  </x:r>
  <x:r>
    <x:m/>
    <x:x v="11"/>
    <x:x v="5"/>
    <x:x v="1"/>
    <x:n v="7600"/>
    <x:n v="22800"/>
    <x:n v="4800"/>
    <x:x v="5"/>
    <x:s v="Konya"/>
  </x:r>
  <x:r>
    <x:m/>
    <x:x v="0"/>
    <x:x v="1"/>
    <x:x v="3"/>
    <x:n v="1400"/>
    <x:n v="7000"/>
    <x:n v="3000"/>
    <x:x v="5"/>
    <x:s v="İzmir"/>
  </x:r>
  <x:r>
    <x:m/>
    <x:x v="4"/>
    <x:x v="4"/>
    <x:x v="4"/>
    <x:n v="2180"/>
    <x:n v="8720"/>
    <x:n v="2720"/>
    <x:x v="5"/>
    <x:s v="Gaziantep"/>
  </x:r>
  <x:r>
    <x:m/>
    <x:x v="0"/>
    <x:x v="10"/>
    <x:x v="3"/>
    <x:n v="1800"/>
    <x:n v="9000"/>
    <x:n v="5000"/>
    <x:x v="5"/>
    <x:s v="Gaziantep"/>
  </x:r>
  <x:r>
    <x:m/>
    <x:x v="2"/>
    <x:x v="22"/>
    <x:x v="1"/>
    <x:n v="1500"/>
    <x:n v="4500"/>
    <x:n v="2100"/>
    <x:x v="5"/>
    <x:s v="Bursa"/>
  </x:r>
  <x:r>
    <x:m/>
    <x:x v="6"/>
    <x:x v="2"/>
    <x:x v="4"/>
    <x:n v="8450"/>
    <x:n v="33800"/>
    <x:n v="9800"/>
    <x:x v="5"/>
    <x:s v="İstanbul"/>
  </x:r>
  <x:r>
    <x:m/>
    <x:x v="9"/>
    <x:x v="22"/>
    <x:x v="0"/>
    <x:n v="1500"/>
    <x:n v="3000"/>
    <x:n v="1400"/>
    <x:x v="5"/>
    <x:s v="Ankara"/>
  </x:r>
  <x:r>
    <x:m/>
    <x:x v="5"/>
    <x:x v="0"/>
    <x:x v="0"/>
    <x:n v="6000"/>
    <x:n v="12000"/>
    <x:n v="4000"/>
    <x:x v="5"/>
    <x:s v="İzmir"/>
  </x:r>
  <x:r>
    <x:m/>
    <x:x v="11"/>
    <x:x v="19"/>
    <x:x v="0"/>
    <x:n v="1200"/>
    <x:n v="2400"/>
    <x:n v="800"/>
    <x:x v="5"/>
    <x:s v="Antalya"/>
  </x:r>
  <x:r>
    <x:m/>
    <x:x v="0"/>
    <x:x v="15"/>
    <x:x v="1"/>
    <x:n v="4200"/>
    <x:n v="12600"/>
    <x:n v="3600"/>
    <x:x v="5"/>
    <x:s v="Antalya"/>
  </x:r>
  <x:r>
    <x:m/>
    <x:x v="10"/>
    <x:x v="5"/>
    <x:x v="4"/>
    <x:n v="7600"/>
    <x:n v="30400"/>
    <x:n v="6400"/>
    <x:x v="5"/>
    <x:s v="İstanbul"/>
  </x:r>
  <x:r>
    <x:m/>
    <x:x v="5"/>
    <x:x v="6"/>
    <x:x v="4"/>
    <x:n v="7250"/>
    <x:n v="29000"/>
    <x:n v="9000"/>
    <x:x v="5"/>
    <x:s v="İzmir"/>
  </x:r>
  <x:r>
    <x:m/>
    <x:x v="1"/>
    <x:x v="20"/>
    <x:x v="3"/>
    <x:n v="7530"/>
    <x:n v="37650"/>
    <x:n v="7650"/>
    <x:x v="5"/>
    <x:s v="Konya"/>
  </x:r>
  <x:r>
    <x:m/>
    <x:x v="2"/>
    <x:x v="6"/>
    <x:x v="1"/>
    <x:n v="7250"/>
    <x:n v="21750"/>
    <x:n v="6750"/>
    <x:x v="5"/>
    <x:s v="Konya"/>
  </x:r>
  <x:r>
    <x:m/>
    <x:x v="1"/>
    <x:x v="0"/>
    <x:x v="3"/>
    <x:n v="6000"/>
    <x:n v="30000"/>
    <x:n v="10000"/>
    <x:x v="5"/>
    <x:s v="Bursa"/>
  </x:r>
  <x:r>
    <x:m/>
    <x:x v="5"/>
    <x:x v="19"/>
    <x:x v="3"/>
    <x:n v="1200"/>
    <x:n v="6000"/>
    <x:n v="2000"/>
    <x:x v="5"/>
    <x:s v="İstanbul"/>
  </x:r>
  <x:r>
    <x:m/>
    <x:x v="11"/>
    <x:x v="21"/>
    <x:x v="3"/>
    <x:n v="5300"/>
    <x:n v="26500"/>
    <x:n v="6500"/>
    <x:x v="5"/>
    <x:s v="Diyarbakır"/>
  </x:r>
  <x:r>
    <x:m/>
    <x:x v="8"/>
    <x:x v="2"/>
    <x:x v="0"/>
    <x:n v="8450"/>
    <x:n v="16900"/>
    <x:n v="4900"/>
    <x:x v="5"/>
    <x:s v="Hatay"/>
  </x:r>
  <x:r>
    <x:m/>
    <x:x v="4"/>
    <x:x v="3"/>
    <x:x v="1"/>
    <x:n v="1350"/>
    <x:n v="4050"/>
    <x:n v="1650"/>
    <x:x v="5"/>
    <x:s v="Gaziantep"/>
  </x:r>
  <x:r>
    <x:m/>
    <x:x v="6"/>
    <x:x v="11"/>
    <x:x v="0"/>
    <x:n v="1090"/>
    <x:n v="2180"/>
    <x:n v="580"/>
    <x:x v="5"/>
    <x:s v="Bursa"/>
  </x:r>
  <x:r>
    <x:m/>
    <x:x v="4"/>
    <x:x v="4"/>
    <x:x v="0"/>
    <x:n v="2180"/>
    <x:n v="4360"/>
    <x:n v="1360"/>
    <x:x v="5"/>
    <x:s v="İzmir"/>
  </x:r>
  <x:r>
    <x:m/>
    <x:x v="1"/>
    <x:x v="23"/>
    <x:x v="3"/>
    <x:n v="3700"/>
    <x:n v="18500"/>
    <x:n v="3500"/>
    <x:x v="5"/>
    <x:s v="İzmir"/>
  </x:r>
  <x:r>
    <x:m/>
    <x:x v="6"/>
    <x:x v="7"/>
    <x:x v="1"/>
    <x:n v="1100"/>
    <x:n v="3300"/>
    <x:n v="900"/>
    <x:x v="5"/>
    <x:s v="Diyarbakır"/>
  </x:r>
  <x:r>
    <x:m/>
    <x:x v="5"/>
    <x:x v="23"/>
    <x:x v="4"/>
    <x:n v="3700"/>
    <x:n v="14800"/>
    <x:n v="2800"/>
    <x:x v="5"/>
    <x:s v="Diyarbakır"/>
  </x:r>
  <x:r>
    <x:m/>
    <x:x v="10"/>
    <x:x v="14"/>
    <x:x v="3"/>
    <x:n v="1490"/>
    <x:n v="7450"/>
    <x:n v="3450"/>
    <x:x v="5"/>
    <x:s v="Antalya"/>
  </x:r>
  <x:r>
    <x:m/>
    <x:x v="9"/>
    <x:x v="22"/>
    <x:x v="4"/>
    <x:n v="1500"/>
    <x:n v="6000"/>
    <x:n v="2800"/>
    <x:x v="5"/>
    <x:s v="Konya"/>
  </x:r>
  <x:r>
    <x:m/>
    <x:x v="8"/>
    <x:x v="11"/>
    <x:x v="1"/>
    <x:n v="1090"/>
    <x:n v="3270"/>
    <x:n v="870"/>
    <x:x v="5"/>
    <x:s v="Hatay"/>
  </x:r>
  <x:r>
    <x:m/>
    <x:x v="10"/>
    <x:x v="10"/>
    <x:x v="4"/>
    <x:n v="1800"/>
    <x:n v="7200"/>
    <x:n v="4000"/>
    <x:x v="5"/>
    <x:s v="Şanlıurfa"/>
  </x:r>
  <x:r>
    <x:m/>
    <x:x v="7"/>
    <x:x v="20"/>
    <x:x v="0"/>
    <x:n v="7530"/>
    <x:n v="15060"/>
    <x:n v="3060"/>
    <x:x v="5"/>
    <x:s v="Antalya"/>
  </x:r>
  <x:r>
    <x:m/>
    <x:x v="6"/>
    <x:x v="7"/>
    <x:x v="0"/>
    <x:n v="1100"/>
    <x:n v="2200"/>
    <x:n v="600"/>
    <x:x v="5"/>
    <x:s v="Mersin"/>
  </x:r>
  <x:r>
    <x:m/>
    <x:x v="9"/>
    <x:x v="3"/>
    <x:x v="4"/>
    <x:n v="1350"/>
    <x:n v="5400"/>
    <x:n v="2200"/>
    <x:x v="5"/>
    <x:s v="Bursa"/>
  </x:r>
  <x:r>
    <x:m/>
    <x:x v="8"/>
    <x:x v="3"/>
    <x:x v="0"/>
    <x:n v="1350"/>
    <x:n v="2700"/>
    <x:n v="1100"/>
    <x:x v="5"/>
    <x:s v="Şanlıurfa"/>
  </x:r>
  <x:r>
    <x:m/>
    <x:x v="7"/>
    <x:x v="11"/>
    <x:x v="1"/>
    <x:n v="1090"/>
    <x:n v="3270"/>
    <x:n v="870"/>
    <x:x v="5"/>
    <x:s v="Antalya"/>
  </x:r>
  <x:r>
    <x:m/>
    <x:x v="7"/>
    <x:x v="15"/>
    <x:x v="3"/>
    <x:n v="4200"/>
    <x:n v="21000"/>
    <x:n v="6000"/>
    <x:x v="5"/>
    <x:s v="Antalya"/>
  </x:r>
  <x:r>
    <x:m/>
    <x:x v="9"/>
    <x:x v="10"/>
    <x:x v="4"/>
    <x:n v="1800"/>
    <x:n v="7200"/>
    <x:n v="4000"/>
    <x:x v="5"/>
    <x:s v="Antalya"/>
  </x:r>
  <x:r>
    <x:m/>
    <x:x v="11"/>
    <x:x v="11"/>
    <x:x v="4"/>
    <x:n v="1090"/>
    <x:n v="4360"/>
    <x:n v="1160"/>
    <x:x v="5"/>
    <x:s v="Şanlıurfa"/>
  </x:r>
  <x:r>
    <x:m/>
    <x:x v="0"/>
    <x:x v="5"/>
    <x:x v="0"/>
    <x:n v="7600"/>
    <x:n v="15200"/>
    <x:n v="3200"/>
    <x:x v="5"/>
    <x:s v="Hatay"/>
  </x:r>
  <x:r>
    <x:m/>
    <x:x v="8"/>
    <x:x v="5"/>
    <x:x v="0"/>
    <x:n v="7600"/>
    <x:n v="15200"/>
    <x:n v="3200"/>
    <x:x v="5"/>
    <x:s v="Şanlıurfa"/>
  </x:r>
  <x:r>
    <x:m/>
    <x:x v="2"/>
    <x:x v="23"/>
    <x:x v="3"/>
    <x:n v="3700"/>
    <x:n v="18500"/>
    <x:n v="3500"/>
    <x:x v="5"/>
    <x:s v="Adana"/>
  </x:r>
  <x:r>
    <x:m/>
    <x:x v="4"/>
    <x:x v="6"/>
    <x:x v="1"/>
    <x:n v="7250"/>
    <x:n v="21750"/>
    <x:n v="6750"/>
    <x:x v="5"/>
    <x:s v="Bursa"/>
  </x:r>
  <x:r>
    <x:m/>
    <x:x v="1"/>
    <x:x v="5"/>
    <x:x v="0"/>
    <x:n v="7600"/>
    <x:n v="15200"/>
    <x:n v="3200"/>
    <x:x v="5"/>
    <x:s v="Ankara"/>
  </x:r>
  <x:r>
    <x:m/>
    <x:x v="10"/>
    <x:x v="15"/>
    <x:x v="1"/>
    <x:n v="4200"/>
    <x:n v="12600"/>
    <x:n v="3600"/>
    <x:x v="5"/>
    <x:s v="Kocaeli"/>
  </x:r>
  <x:r>
    <x:m/>
    <x:x v="6"/>
    <x:x v="18"/>
    <x:x v="0"/>
    <x:n v="1250"/>
    <x:n v="2500"/>
    <x:n v="900"/>
    <x:x v="5"/>
    <x:s v="Antalya"/>
  </x:r>
  <x:r>
    <x:m/>
    <x:x v="8"/>
    <x:x v="11"/>
    <x:x v="0"/>
    <x:n v="1090"/>
    <x:n v="2180"/>
    <x:n v="580"/>
    <x:x v="5"/>
    <x:s v="Gaziantep"/>
  </x:r>
  <x:r>
    <x:m/>
    <x:x v="3"/>
    <x:x v="4"/>
    <x:x v="1"/>
    <x:n v="2180"/>
    <x:n v="6540"/>
    <x:n v="2040"/>
    <x:x v="5"/>
    <x:s v="Bursa"/>
  </x:r>
  <x:r>
    <x:m/>
    <x:x v="11"/>
    <x:x v="23"/>
    <x:x v="1"/>
    <x:n v="3700"/>
    <x:n v="11100"/>
    <x:n v="2100"/>
    <x:x v="5"/>
    <x:s v="Diyarbakır"/>
  </x:r>
  <x:r>
    <x:m/>
    <x:x v="9"/>
    <x:x v="0"/>
    <x:x v="4"/>
    <x:n v="6000"/>
    <x:n v="24000"/>
    <x:n v="8000"/>
    <x:x v="5"/>
    <x:s v="Ankara"/>
  </x:r>
  <x:r>
    <x:m/>
    <x:x v="10"/>
    <x:x v="18"/>
    <x:x v="1"/>
    <x:n v="1250"/>
    <x:n v="3750"/>
    <x:n v="1350"/>
    <x:x v="5"/>
    <x:s v="Gaziantep"/>
  </x:r>
  <x:r>
    <x:m/>
    <x:x v="11"/>
    <x:x v="5"/>
    <x:x v="1"/>
    <x:n v="7600"/>
    <x:n v="22800"/>
    <x:n v="4800"/>
    <x:x v="5"/>
    <x:s v="Diyarbakır"/>
  </x:r>
  <x:r>
    <x:m/>
    <x:x v="0"/>
    <x:x v="1"/>
    <x:x v="0"/>
    <x:n v="1400"/>
    <x:n v="2800"/>
    <x:n v="1200"/>
    <x:x v="5"/>
    <x:s v="Diyarbakır"/>
  </x:r>
  <x:r>
    <x:m/>
    <x:x v="4"/>
    <x:x v="4"/>
    <x:x v="1"/>
    <x:n v="2180"/>
    <x:n v="6540"/>
    <x:n v="2040"/>
    <x:x v="5"/>
    <x:s v="Bursa"/>
  </x:r>
  <x:r>
    <x:m/>
    <x:x v="0"/>
    <x:x v="10"/>
    <x:x v="3"/>
    <x:n v="1800"/>
    <x:n v="9000"/>
    <x:n v="5000"/>
    <x:x v="5"/>
    <x:s v="Konya"/>
  </x:r>
  <x:r>
    <x:m/>
    <x:x v="2"/>
    <x:x v="22"/>
    <x:x v="3"/>
    <x:n v="1500"/>
    <x:n v="7500"/>
    <x:n v="3500"/>
    <x:x v="5"/>
    <x:s v="Bursa"/>
  </x:r>
  <x:r>
    <x:m/>
    <x:x v="6"/>
    <x:x v="2"/>
    <x:x v="1"/>
    <x:n v="8450"/>
    <x:n v="25350"/>
    <x:n v="7350"/>
    <x:x v="5"/>
    <x:s v="Konya"/>
  </x:r>
  <x:r>
    <x:m/>
    <x:x v="9"/>
    <x:x v="22"/>
    <x:x v="3"/>
    <x:n v="1500"/>
    <x:n v="7500"/>
    <x:n v="3500"/>
    <x:x v="5"/>
    <x:s v="Ankara"/>
  </x:r>
  <x:r>
    <x:m/>
    <x:x v="5"/>
    <x:x v="0"/>
    <x:x v="4"/>
    <x:n v="6000"/>
    <x:n v="24000"/>
    <x:n v="8000"/>
    <x:x v="5"/>
    <x:s v="Şanlıurfa"/>
  </x:r>
  <x:r>
    <x:m/>
    <x:x v="11"/>
    <x:x v="19"/>
    <x:x v="0"/>
    <x:n v="1200"/>
    <x:n v="2400"/>
    <x:n v="800"/>
    <x:x v="5"/>
    <x:s v="İstanbul"/>
  </x:r>
  <x:r>
    <x:m/>
    <x:x v="0"/>
    <x:x v="15"/>
    <x:x v="0"/>
    <x:n v="4200"/>
    <x:n v="8400"/>
    <x:n v="2400"/>
    <x:x v="5"/>
    <x:s v="Diyarbakır"/>
  </x:r>
  <x:r>
    <x:m/>
    <x:x v="10"/>
    <x:x v="5"/>
    <x:x v="1"/>
    <x:n v="7600"/>
    <x:n v="22800"/>
    <x:n v="4800"/>
    <x:x v="5"/>
    <x:s v="Adana"/>
  </x:r>
  <x:r>
    <x:m/>
    <x:x v="5"/>
    <x:x v="6"/>
    <x:x v="3"/>
    <x:n v="7250"/>
    <x:n v="36250"/>
    <x:n v="11250"/>
    <x:x v="5"/>
    <x:s v="Bursa"/>
  </x:r>
  <x:r>
    <x:m/>
    <x:x v="1"/>
    <x:x v="20"/>
    <x:x v="1"/>
    <x:n v="7530"/>
    <x:n v="22590"/>
    <x:n v="4590"/>
    <x:x v="5"/>
    <x:s v="Gaziantep"/>
  </x:r>
  <x:r>
    <x:m/>
    <x:x v="2"/>
    <x:x v="6"/>
    <x:x v="4"/>
    <x:n v="7250"/>
    <x:n v="29000"/>
    <x:n v="9000"/>
    <x:x v="5"/>
    <x:s v="Diyarbakır"/>
  </x:r>
  <x:r>
    <x:m/>
    <x:x v="1"/>
    <x:x v="0"/>
    <x:x v="3"/>
    <x:n v="6000"/>
    <x:n v="30000"/>
    <x:n v="10000"/>
    <x:x v="5"/>
    <x:s v="İzmir"/>
  </x:r>
  <x:r>
    <x:m/>
    <x:x v="5"/>
    <x:x v="19"/>
    <x:x v="0"/>
    <x:n v="1200"/>
    <x:n v="2400"/>
    <x:n v="800"/>
    <x:x v="5"/>
    <x:s v="İzmir"/>
  </x:r>
  <x:r>
    <x:m/>
    <x:x v="11"/>
    <x:x v="21"/>
    <x:x v="1"/>
    <x:n v="5300"/>
    <x:n v="15900"/>
    <x:n v="3900"/>
    <x:x v="5"/>
    <x:s v="Ankara"/>
  </x:r>
  <x:r>
    <x:m/>
    <x:x v="8"/>
    <x:x v="2"/>
    <x:x v="3"/>
    <x:n v="8450"/>
    <x:n v="42250"/>
    <x:n v="12250"/>
    <x:x v="5"/>
    <x:s v="İstanbul"/>
  </x:r>
  <x:r>
    <x:m/>
    <x:x v="4"/>
    <x:x v="3"/>
    <x:x v="4"/>
    <x:n v="1350"/>
    <x:n v="5400"/>
    <x:n v="2200"/>
    <x:x v="5"/>
    <x:s v="Adana"/>
  </x:r>
  <x:r>
    <x:m/>
    <x:x v="6"/>
    <x:x v="11"/>
    <x:x v="1"/>
    <x:n v="1090"/>
    <x:n v="3270"/>
    <x:n v="870"/>
    <x:x v="5"/>
    <x:s v="Şanlıurfa"/>
  </x:r>
  <x:r>
    <x:m/>
    <x:x v="4"/>
    <x:x v="4"/>
    <x:x v="3"/>
    <x:n v="2180"/>
    <x:n v="10900"/>
    <x:n v="3400"/>
    <x:x v="5"/>
    <x:s v="İstanbul"/>
  </x:r>
  <x:r>
    <x:m/>
    <x:x v="0"/>
    <x:x v="0"/>
    <x:x v="1"/>
    <x:n v="6000"/>
    <x:n v="18000"/>
    <x:n v="6000"/>
    <x:x v="5"/>
    <x:s v="Mersin"/>
  </x:r>
  <x:r>
    <x:m/>
    <x:x v="1"/>
    <x:x v="1"/>
    <x:x v="0"/>
    <x:n v="1400"/>
    <x:n v="2800"/>
    <x:n v="1200"/>
    <x:x v="5"/>
    <x:s v="İstanbul"/>
  </x:r>
  <x:r>
    <x:m/>
    <x:x v="2"/>
    <x:x v="2"/>
    <x:x v="4"/>
    <x:n v="8450"/>
    <x:n v="33800"/>
    <x:n v="9800"/>
    <x:x v="5"/>
    <x:s v="Kocaeli"/>
  </x:r>
  <x:r>
    <x:m/>
    <x:x v="3"/>
    <x:x v="3"/>
    <x:x v="4"/>
    <x:n v="1350"/>
    <x:n v="5400"/>
    <x:n v="2200"/>
    <x:x v="5"/>
    <x:s v="Gaziantep"/>
  </x:r>
  <x:r>
    <x:m/>
    <x:x v="0"/>
    <x:x v="4"/>
    <x:x v="4"/>
    <x:n v="2180"/>
    <x:n v="8720"/>
    <x:n v="2720"/>
    <x:x v="5"/>
    <x:s v="Gaziantep"/>
  </x:r>
  <x:r>
    <x:m/>
    <x:x v="4"/>
    <x:x v="5"/>
    <x:x v="3"/>
    <x:n v="7600"/>
    <x:n v="38000"/>
    <x:n v="8000"/>
    <x:x v="5"/>
    <x:s v="Adana"/>
  </x:r>
  <x:r>
    <x:m/>
    <x:x v="1"/>
    <x:x v="6"/>
    <x:x v="0"/>
    <x:n v="7250"/>
    <x:n v="14500"/>
    <x:n v="4500"/>
    <x:x v="5"/>
    <x:s v="Ankara"/>
  </x:r>
  <x:r>
    <x:m/>
    <x:x v="3"/>
    <x:x v="7"/>
    <x:x v="1"/>
    <x:n v="1100"/>
    <x:n v="3300"/>
    <x:n v="900"/>
    <x:x v="5"/>
    <x:s v="Adana"/>
  </x:r>
  <x:r>
    <x:m/>
    <x:x v="5"/>
    <x:x v="0"/>
    <x:x v="1"/>
    <x:n v="6000"/>
    <x:n v="18000"/>
    <x:n v="6000"/>
    <x:x v="5"/>
    <x:s v="İzmir"/>
  </x:r>
  <x:r>
    <x:m/>
    <x:x v="0"/>
    <x:x v="9"/>
    <x:x v="4"/>
    <x:n v="1200"/>
    <x:n v="4800"/>
    <x:n v="1600"/>
    <x:x v="5"/>
    <x:s v="Şanlıurfa"/>
  </x:r>
  <x:r>
    <x:m/>
    <x:x v="6"/>
    <x:x v="10"/>
    <x:x v="3"/>
    <x:n v="1800"/>
    <x:n v="9000"/>
    <x:n v="5000"/>
    <x:x v="5"/>
    <x:s v="Konya"/>
  </x:r>
  <x:r>
    <x:m/>
    <x:x v="6"/>
    <x:x v="11"/>
    <x:x v="0"/>
    <x:n v="1090"/>
    <x:n v="2180"/>
    <x:n v="580"/>
    <x:x v="5"/>
    <x:s v="Şanlıurfa"/>
  </x:r>
  <x:r>
    <x:m/>
    <x:x v="5"/>
    <x:x v="4"/>
    <x:x v="3"/>
    <x:n v="2180"/>
    <x:n v="10900"/>
    <x:n v="3400"/>
    <x:x v="5"/>
    <x:s v="Mersin"/>
  </x:r>
  <x:r>
    <x:m/>
    <x:x v="7"/>
    <x:x v="10"/>
    <x:x v="1"/>
    <x:n v="1800"/>
    <x:n v="5400"/>
    <x:n v="3000"/>
    <x:x v="5"/>
    <x:s v="Ankara"/>
  </x:r>
  <x:r>
    <x:m/>
    <x:x v="4"/>
    <x:x v="12"/>
    <x:x v="1"/>
    <x:n v="8000"/>
    <x:n v="24000"/>
    <x:n v="6000"/>
    <x:x v="5"/>
    <x:s v="Adana"/>
  </x:r>
  <x:r>
    <x:m/>
    <x:x v="5"/>
    <x:x v="1"/>
    <x:x v="1"/>
    <x:n v="1400"/>
    <x:n v="4200"/>
    <x:n v="1800"/>
    <x:x v="5"/>
    <x:s v="Gaziantep"/>
  </x:r>
  <x:r>
    <x:m/>
    <x:x v="8"/>
    <x:x v="13"/>
    <x:x v="4"/>
    <x:n v="10590"/>
    <x:n v="42360"/>
    <x:n v="18360"/>
    <x:x v="5"/>
    <x:s v="İzmir"/>
  </x:r>
  <x:r>
    <x:m/>
    <x:x v="9"/>
    <x:x v="3"/>
    <x:x v="1"/>
    <x:n v="1350"/>
    <x:n v="4050"/>
    <x:n v="1650"/>
    <x:x v="5"/>
    <x:s v="Bursa"/>
  </x:r>
  <x:r>
    <x:m/>
    <x:x v="6"/>
    <x:x v="1"/>
    <x:x v="0"/>
    <x:n v="1400"/>
    <x:n v="2800"/>
    <x:n v="1200"/>
    <x:x v="5"/>
    <x:s v="Mersin"/>
  </x:r>
  <x:r>
    <x:m/>
    <x:x v="3"/>
    <x:x v="0"/>
    <x:x v="0"/>
    <x:n v="6000"/>
    <x:n v="12000"/>
    <x:n v="4000"/>
    <x:x v="5"/>
    <x:s v="Konya"/>
  </x:r>
  <x:r>
    <x:m/>
    <x:x v="8"/>
    <x:x v="7"/>
    <x:x v="4"/>
    <x:n v="1100"/>
    <x:n v="4400"/>
    <x:n v="1200"/>
    <x:x v="5"/>
    <x:s v="Mersin"/>
  </x:r>
  <x:r>
    <x:m/>
    <x:x v="2"/>
    <x:x v="0"/>
    <x:x v="3"/>
    <x:n v="6000"/>
    <x:n v="30000"/>
    <x:n v="10000"/>
    <x:x v="5"/>
    <x:s v="Hatay"/>
  </x:r>
  <x:r>
    <x:m/>
    <x:x v="9"/>
    <x:x v="14"/>
    <x:x v="4"/>
    <x:n v="1490"/>
    <x:n v="5960"/>
    <x:n v="2760"/>
    <x:x v="5"/>
    <x:s v="Antalya"/>
  </x:r>
  <x:r>
    <x:m/>
    <x:x v="8"/>
    <x:x v="13"/>
    <x:x v="0"/>
    <x:n v="10590"/>
    <x:n v="21180"/>
    <x:n v="9180"/>
    <x:x v="5"/>
    <x:s v="Hatay"/>
  </x:r>
  <x:r>
    <x:m/>
    <x:x v="2"/>
    <x:x v="12"/>
    <x:x v="4"/>
    <x:n v="8000"/>
    <x:n v="32000"/>
    <x:n v="8000"/>
    <x:x v="5"/>
    <x:s v="Konya"/>
  </x:r>
  <x:r>
    <x:m/>
    <x:x v="6"/>
    <x:x v="7"/>
    <x:x v="1"/>
    <x:n v="1100"/>
    <x:n v="3300"/>
    <x:n v="900"/>
    <x:x v="5"/>
    <x:s v="Antalya"/>
  </x:r>
  <x:r>
    <x:m/>
    <x:x v="9"/>
    <x:x v="9"/>
    <x:x v="1"/>
    <x:n v="1200"/>
    <x:n v="3600"/>
    <x:n v="1200"/>
    <x:x v="5"/>
    <x:s v="Hatay"/>
  </x:r>
  <x:r>
    <x:m/>
    <x:x v="4"/>
    <x:x v="15"/>
    <x:x v="0"/>
    <x:n v="4200"/>
    <x:n v="8400"/>
    <x:n v="2400"/>
    <x:x v="5"/>
    <x:s v="Adana"/>
  </x:r>
  <x:r>
    <x:m/>
    <x:x v="1"/>
    <x:x v="16"/>
    <x:x v="4"/>
    <x:n v="5775"/>
    <x:n v="23100"/>
    <x:n v="7100"/>
    <x:x v="5"/>
    <x:s v="Mersin"/>
  </x:r>
  <x:r>
    <x:m/>
    <x:x v="10"/>
    <x:x v="5"/>
    <x:x v="1"/>
    <x:n v="7600"/>
    <x:n v="22800"/>
    <x:n v="4800"/>
    <x:x v="5"/>
    <x:s v="Mersin"/>
  </x:r>
  <x:r>
    <x:m/>
    <x:x v="1"/>
    <x:x v="6"/>
    <x:x v="1"/>
    <x:n v="7250"/>
    <x:n v="21750"/>
    <x:n v="6750"/>
    <x:x v="5"/>
    <x:s v="Mersin"/>
  </x:r>
  <x:r>
    <x:m/>
    <x:x v="0"/>
    <x:x v="6"/>
    <x:x v="3"/>
    <x:n v="7250"/>
    <x:n v="36250"/>
    <x:n v="11250"/>
    <x:x v="5"/>
    <x:s v="Gaziantep"/>
  </x:r>
  <x:r>
    <x:m/>
    <x:x v="8"/>
    <x:x v="6"/>
    <x:x v="0"/>
    <x:n v="7250"/>
    <x:n v="14500"/>
    <x:n v="4500"/>
    <x:x v="5"/>
    <x:s v="Gaziantep"/>
  </x:r>
  <x:r>
    <x:m/>
    <x:x v="5"/>
    <x:x v="3"/>
    <x:x v="0"/>
    <x:n v="1350"/>
    <x:n v="2700"/>
    <x:n v="1100"/>
    <x:x v="5"/>
    <x:s v="Kocaeli"/>
  </x:r>
  <x:r>
    <x:m/>
    <x:x v="1"/>
    <x:x v="6"/>
    <x:x v="3"/>
    <x:n v="7250"/>
    <x:n v="36250"/>
    <x:n v="11250"/>
    <x:x v="5"/>
    <x:s v="Bursa"/>
  </x:r>
  <x:r>
    <x:m/>
    <x:x v="6"/>
    <x:x v="5"/>
    <x:x v="1"/>
    <x:n v="7600"/>
    <x:n v="22800"/>
    <x:n v="4800"/>
    <x:x v="5"/>
    <x:s v="Adana"/>
  </x:r>
  <x:r>
    <x:m/>
    <x:x v="11"/>
    <x:x v="5"/>
    <x:x v="3"/>
    <x:n v="7600"/>
    <x:n v="38000"/>
    <x:n v="8000"/>
    <x:x v="5"/>
    <x:s v="Hatay"/>
  </x:r>
  <x:r>
    <x:m/>
    <x:x v="1"/>
    <x:x v="14"/>
    <x:x v="1"/>
    <x:n v="1490"/>
    <x:n v="4470"/>
    <x:n v="2070"/>
    <x:x v="5"/>
    <x:s v="İstanbul"/>
  </x:r>
  <x:r>
    <x:m/>
    <x:x v="5"/>
    <x:x v="17"/>
    <x:x v="3"/>
    <x:n v="2900"/>
    <x:n v="14500"/>
    <x:n v="4500"/>
    <x:x v="5"/>
    <x:s v="Kocaeli"/>
  </x:r>
  <x:r>
    <x:m/>
    <x:x v="9"/>
    <x:x v="14"/>
    <x:x v="4"/>
    <x:n v="1490"/>
    <x:n v="5960"/>
    <x:n v="2760"/>
    <x:x v="5"/>
    <x:s v="Antalya"/>
  </x:r>
  <x:r>
    <x:m/>
    <x:x v="9"/>
    <x:x v="11"/>
    <x:x v="0"/>
    <x:n v="1090"/>
    <x:n v="2180"/>
    <x:n v="580"/>
    <x:x v="5"/>
    <x:s v="İzmir"/>
  </x:r>
  <x:r>
    <x:m/>
    <x:x v="5"/>
    <x:x v="9"/>
    <x:x v="0"/>
    <x:n v="1200"/>
    <x:n v="2400"/>
    <x:n v="800"/>
    <x:x v="5"/>
    <x:s v="Diyarbakır"/>
  </x:r>
  <x:r>
    <x:m/>
    <x:x v="8"/>
    <x:x v="13"/>
    <x:x v="4"/>
    <x:n v="10590"/>
    <x:n v="42360"/>
    <x:n v="18360"/>
    <x:x v="5"/>
    <x:s v="İzmir"/>
  </x:r>
  <x:r>
    <x:m/>
    <x:x v="6"/>
    <x:x v="15"/>
    <x:x v="0"/>
    <x:n v="4200"/>
    <x:n v="8400"/>
    <x:n v="2400"/>
    <x:x v="5"/>
    <x:s v="Diyarbakır"/>
  </x:r>
  <x:r>
    <x:m/>
    <x:x v="3"/>
    <x:x v="15"/>
    <x:x v="1"/>
    <x:n v="4200"/>
    <x:n v="12600"/>
    <x:n v="3600"/>
    <x:x v="5"/>
    <x:s v="Antalya"/>
  </x:r>
  <x:r>
    <x:m/>
    <x:x v="7"/>
    <x:x v="13"/>
    <x:x v="1"/>
    <x:n v="10590"/>
    <x:n v="31770"/>
    <x:n v="13770"/>
    <x:x v="5"/>
    <x:s v="Şanlıurfa"/>
  </x:r>
  <x:r>
    <x:m/>
    <x:x v="11"/>
    <x:x v="18"/>
    <x:x v="3"/>
    <x:n v="1250"/>
    <x:n v="6250"/>
    <x:n v="2250"/>
    <x:x v="5"/>
    <x:s v="Bursa"/>
  </x:r>
  <x:r>
    <x:m/>
    <x:x v="0"/>
    <x:x v="14"/>
    <x:x v="0"/>
    <x:n v="1490"/>
    <x:n v="2980"/>
    <x:n v="1380"/>
    <x:x v="5"/>
    <x:s v="Hatay"/>
  </x:r>
  <x:r>
    <x:m/>
    <x:x v="6"/>
    <x:x v="9"/>
    <x:x v="4"/>
    <x:n v="1200"/>
    <x:n v="4800"/>
    <x:n v="1600"/>
    <x:x v="5"/>
    <x:s v="Hatay"/>
  </x:r>
  <x:r>
    <x:m/>
    <x:x v="2"/>
    <x:x v="4"/>
    <x:x v="1"/>
    <x:n v="2180"/>
    <x:n v="6540"/>
    <x:n v="2040"/>
    <x:x v="5"/>
    <x:s v="Diyarbakır"/>
  </x:r>
  <x:r>
    <x:m/>
    <x:x v="9"/>
    <x:x v="19"/>
    <x:x v="3"/>
    <x:n v="1200"/>
    <x:n v="6000"/>
    <x:n v="2000"/>
    <x:x v="5"/>
    <x:s v="Kocaeli"/>
  </x:r>
  <x:r>
    <x:m/>
    <x:x v="0"/>
    <x:x v="10"/>
    <x:x v="1"/>
    <x:n v="1800"/>
    <x:n v="5400"/>
    <x:n v="3000"/>
    <x:x v="5"/>
    <x:s v="Diyarbakır"/>
  </x:r>
  <x:r>
    <x:m/>
    <x:x v="2"/>
    <x:x v="5"/>
    <x:x v="3"/>
    <x:n v="7600"/>
    <x:n v="38000"/>
    <x:n v="8000"/>
    <x:x v="6"/>
    <x:s v="Antalya"/>
  </x:r>
  <x:r>
    <x:m/>
    <x:x v="7"/>
    <x:x v="20"/>
    <x:x v="0"/>
    <x:n v="7530"/>
    <x:n v="15060"/>
    <x:n v="3060"/>
    <x:x v="6"/>
    <x:s v="Mersin"/>
  </x:r>
  <x:r>
    <x:m/>
    <x:x v="11"/>
    <x:x v="14"/>
    <x:x v="3"/>
    <x:n v="1490"/>
    <x:n v="7450"/>
    <x:n v="3450"/>
    <x:x v="6"/>
    <x:s v="Antalya"/>
  </x:r>
  <x:r>
    <x:m/>
    <x:x v="0"/>
    <x:x v="21"/>
    <x:x v="0"/>
    <x:n v="5300"/>
    <x:n v="10600"/>
    <x:n v="2600"/>
    <x:x v="6"/>
    <x:s v="Mersin"/>
  </x:r>
  <x:r>
    <x:m/>
    <x:x v="4"/>
    <x:x v="9"/>
    <x:x v="4"/>
    <x:n v="1200"/>
    <x:n v="4800"/>
    <x:n v="1600"/>
    <x:x v="6"/>
    <x:s v="Gaziantep"/>
  </x:r>
  <x:r>
    <x:m/>
    <x:x v="9"/>
    <x:x v="11"/>
    <x:x v="4"/>
    <x:n v="1090"/>
    <x:n v="4360"/>
    <x:n v="1160"/>
    <x:x v="6"/>
    <x:s v="Konya"/>
  </x:r>
  <x:r>
    <x:m/>
    <x:x v="4"/>
    <x:x v="6"/>
    <x:x v="3"/>
    <x:n v="7250"/>
    <x:n v="36250"/>
    <x:n v="11250"/>
    <x:x v="6"/>
    <x:s v="Kocaeli"/>
  </x:r>
  <x:r>
    <x:m/>
    <x:x v="10"/>
    <x:x v="1"/>
    <x:x v="3"/>
    <x:n v="1400"/>
    <x:n v="7000"/>
    <x:n v="3000"/>
    <x:x v="6"/>
    <x:s v="Gaziantep"/>
  </x:r>
  <x:r>
    <x:m/>
    <x:x v="2"/>
    <x:x v="22"/>
    <x:x v="3"/>
    <x:n v="1500"/>
    <x:n v="7500"/>
    <x:n v="3500"/>
    <x:x v="6"/>
    <x:s v="Adana"/>
  </x:r>
  <x:r>
    <x:m/>
    <x:x v="7"/>
    <x:x v="3"/>
    <x:x v="1"/>
    <x:n v="1350"/>
    <x:n v="4050"/>
    <x:n v="1650"/>
    <x:x v="6"/>
    <x:s v="Bursa"/>
  </x:r>
  <x:r>
    <x:m/>
    <x:x v="7"/>
    <x:x v="9"/>
    <x:x v="0"/>
    <x:n v="1200"/>
    <x:n v="2400"/>
    <x:n v="800"/>
    <x:x v="6"/>
    <x:s v="Bursa"/>
  </x:r>
  <x:r>
    <x:m/>
    <x:x v="1"/>
    <x:x v="20"/>
    <x:x v="3"/>
    <x:n v="7530"/>
    <x:n v="37650"/>
    <x:n v="7650"/>
    <x:x v="6"/>
    <x:s v="Gaziantep"/>
  </x:r>
  <x:r>
    <x:m/>
    <x:x v="10"/>
    <x:x v="9"/>
    <x:x v="1"/>
    <x:n v="1200"/>
    <x:n v="3600"/>
    <x:n v="1200"/>
    <x:x v="6"/>
    <x:s v="Mersin"/>
  </x:r>
  <x:r>
    <x:m/>
    <x:x v="8"/>
    <x:x v="10"/>
    <x:x v="4"/>
    <x:n v="1800"/>
    <x:n v="7200"/>
    <x:n v="4000"/>
    <x:x v="6"/>
    <x:s v="İzmir"/>
  </x:r>
  <x:r>
    <x:m/>
    <x:x v="0"/>
    <x:x v="6"/>
    <x:x v="4"/>
    <x:n v="7250"/>
    <x:n v="29000"/>
    <x:n v="9000"/>
    <x:x v="6"/>
    <x:s v="Hatay"/>
  </x:r>
  <x:r>
    <x:m/>
    <x:x v="9"/>
    <x:x v="14"/>
    <x:x v="1"/>
    <x:n v="1490"/>
    <x:n v="4470"/>
    <x:n v="2070"/>
    <x:x v="6"/>
    <x:s v="Mersin"/>
  </x:r>
  <x:r>
    <x:m/>
    <x:x v="9"/>
    <x:x v="19"/>
    <x:x v="3"/>
    <x:n v="1200"/>
    <x:n v="6000"/>
    <x:n v="2000"/>
    <x:x v="6"/>
    <x:s v="İzmir"/>
  </x:r>
  <x:r>
    <x:m/>
    <x:x v="1"/>
    <x:x v="12"/>
    <x:x v="4"/>
    <x:n v="8000"/>
    <x:n v="32000"/>
    <x:n v="8000"/>
    <x:x v="6"/>
    <x:s v="Mersin"/>
  </x:r>
  <x:r>
    <x:m/>
    <x:x v="6"/>
    <x:x v="1"/>
    <x:x v="1"/>
    <x:n v="1400"/>
    <x:n v="4200"/>
    <x:n v="1800"/>
    <x:x v="6"/>
    <x:s v="Konya"/>
  </x:r>
  <x:r>
    <x:m/>
    <x:x v="5"/>
    <x:x v="3"/>
    <x:x v="1"/>
    <x:n v="1350"/>
    <x:n v="4050"/>
    <x:n v="1650"/>
    <x:x v="6"/>
    <x:s v="Şanlıurfa"/>
  </x:r>
  <x:r>
    <x:m/>
    <x:x v="8"/>
    <x:x v="19"/>
    <x:x v="4"/>
    <x:n v="1200"/>
    <x:n v="4800"/>
    <x:n v="1600"/>
    <x:x v="6"/>
    <x:s v="Gaziantep"/>
  </x:r>
  <x:r>
    <x:m/>
    <x:x v="6"/>
    <x:x v="21"/>
    <x:x v="3"/>
    <x:n v="5300"/>
    <x:n v="26500"/>
    <x:n v="6500"/>
    <x:x v="6"/>
    <x:s v="Kocaeli"/>
  </x:r>
  <x:r>
    <x:m/>
    <x:x v="9"/>
    <x:x v="13"/>
    <x:x v="3"/>
    <x:n v="10590"/>
    <x:n v="52950"/>
    <x:n v="22950"/>
    <x:x v="6"/>
    <x:s v="Gaziantep"/>
  </x:r>
  <x:r>
    <x:m/>
    <x:x v="4"/>
    <x:x v="18"/>
    <x:x v="1"/>
    <x:n v="1250"/>
    <x:n v="3750"/>
    <x:n v="1350"/>
    <x:x v="6"/>
    <x:s v="Ankara"/>
  </x:r>
  <x:r>
    <x:m/>
    <x:x v="11"/>
    <x:x v="19"/>
    <x:x v="4"/>
    <x:n v="1200"/>
    <x:n v="4800"/>
    <x:n v="1600"/>
    <x:x v="6"/>
    <x:s v="Konya"/>
  </x:r>
  <x:r>
    <x:m/>
    <x:x v="4"/>
    <x:x v="1"/>
    <x:x v="3"/>
    <x:n v="1400"/>
    <x:n v="7000"/>
    <x:n v="3000"/>
    <x:x v="6"/>
    <x:s v="İzmir"/>
  </x:r>
  <x:r>
    <x:m/>
    <x:x v="11"/>
    <x:x v="20"/>
    <x:x v="1"/>
    <x:n v="7530"/>
    <x:n v="22590"/>
    <x:n v="4590"/>
    <x:x v="6"/>
    <x:s v="Adana"/>
  </x:r>
  <x:r>
    <x:m/>
    <x:x v="6"/>
    <x:x v="5"/>
    <x:x v="1"/>
    <x:n v="7600"/>
    <x:n v="22800"/>
    <x:n v="4800"/>
    <x:x v="6"/>
    <x:s v="Kocaeli"/>
  </x:r>
  <x:r>
    <x:m/>
    <x:x v="11"/>
    <x:x v="22"/>
    <x:x v="1"/>
    <x:n v="1500"/>
    <x:n v="4500"/>
    <x:n v="2100"/>
    <x:x v="6"/>
    <x:s v="Hatay"/>
  </x:r>
  <x:r>
    <x:m/>
    <x:x v="9"/>
    <x:x v="4"/>
    <x:x v="4"/>
    <x:n v="2180"/>
    <x:n v="8720"/>
    <x:n v="2720"/>
    <x:x v="6"/>
    <x:s v="Hatay"/>
  </x:r>
  <x:r>
    <x:m/>
    <x:x v="3"/>
    <x:x v="4"/>
    <x:x v="1"/>
    <x:n v="2180"/>
    <x:n v="6540"/>
    <x:n v="2040"/>
    <x:x v="6"/>
    <x:s v="Şanlıurfa"/>
  </x:r>
  <x:r>
    <x:m/>
    <x:x v="9"/>
    <x:x v="16"/>
    <x:x v="4"/>
    <x:n v="5775"/>
    <x:n v="23100"/>
    <x:n v="7100"/>
    <x:x v="6"/>
    <x:s v="Hatay"/>
  </x:r>
  <x:r>
    <x:m/>
    <x:x v="9"/>
    <x:x v="7"/>
    <x:x v="1"/>
    <x:n v="1100"/>
    <x:n v="3300"/>
    <x:n v="900"/>
    <x:x v="6"/>
    <x:s v="Mersin"/>
  </x:r>
  <x:r>
    <x:m/>
    <x:x v="10"/>
    <x:x v="16"/>
    <x:x v="4"/>
    <x:n v="5775"/>
    <x:n v="23100"/>
    <x:n v="7100"/>
    <x:x v="6"/>
    <x:s v="Şanlıurfa"/>
  </x:r>
  <x:r>
    <x:m/>
    <x:x v="7"/>
    <x:x v="3"/>
    <x:x v="1"/>
    <x:n v="1350"/>
    <x:n v="4050"/>
    <x:n v="1650"/>
    <x:x v="6"/>
    <x:s v="İzmir"/>
  </x:r>
  <x:r>
    <x:m/>
    <x:x v="0"/>
    <x:x v="5"/>
    <x:x v="3"/>
    <x:n v="7600"/>
    <x:n v="38000"/>
    <x:n v="8000"/>
    <x:x v="6"/>
    <x:s v="Mersin"/>
  </x:r>
  <x:r>
    <x:m/>
    <x:x v="2"/>
    <x:x v="6"/>
    <x:x v="0"/>
    <x:n v="7250"/>
    <x:n v="14500"/>
    <x:n v="4500"/>
    <x:x v="6"/>
    <x:s v="Mersin"/>
  </x:r>
  <x:r>
    <x:m/>
    <x:x v="11"/>
    <x:x v="14"/>
    <x:x v="3"/>
    <x:n v="1490"/>
    <x:n v="7450"/>
    <x:n v="3450"/>
    <x:x v="6"/>
    <x:s v="İstanbul"/>
  </x:r>
  <x:r>
    <x:m/>
    <x:x v="3"/>
    <x:x v="14"/>
    <x:x v="4"/>
    <x:n v="1490"/>
    <x:n v="5960"/>
    <x:n v="2760"/>
    <x:x v="6"/>
    <x:s v="Mersin"/>
  </x:r>
  <x:r>
    <x:m/>
    <x:x v="8"/>
    <x:x v="11"/>
    <x:x v="1"/>
    <x:n v="1090"/>
    <x:n v="3270"/>
    <x:n v="870"/>
    <x:x v="6"/>
    <x:s v="Gaziantep"/>
  </x:r>
  <x:r>
    <x:m/>
    <x:x v="8"/>
    <x:x v="9"/>
    <x:x v="4"/>
    <x:n v="1200"/>
    <x:n v="4800"/>
    <x:n v="1600"/>
    <x:x v="6"/>
    <x:s v="Gaziantep"/>
  </x:r>
  <x:r>
    <x:m/>
    <x:x v="11"/>
    <x:x v="11"/>
    <x:x v="1"/>
    <x:n v="1090"/>
    <x:n v="3270"/>
    <x:n v="870"/>
    <x:x v="6"/>
    <x:s v="Bursa"/>
  </x:r>
  <x:r>
    <x:m/>
    <x:x v="11"/>
    <x:x v="4"/>
    <x:x v="4"/>
    <x:n v="2180"/>
    <x:n v="8720"/>
    <x:n v="2720"/>
    <x:x v="6"/>
    <x:s v="Şanlıurfa"/>
  </x:r>
  <x:r>
    <x:m/>
    <x:x v="2"/>
    <x:x v="21"/>
    <x:x v="3"/>
    <x:n v="5300"/>
    <x:n v="26500"/>
    <x:n v="6500"/>
    <x:x v="6"/>
    <x:s v="Mersin"/>
  </x:r>
  <x:r>
    <x:m/>
    <x:x v="11"/>
    <x:x v="21"/>
    <x:x v="4"/>
    <x:n v="5300"/>
    <x:n v="21200"/>
    <x:n v="5200"/>
    <x:x v="6"/>
    <x:s v="Diyarbakır"/>
  </x:r>
  <x:r>
    <x:m/>
    <x:x v="5"/>
    <x:x v="6"/>
    <x:x v="3"/>
    <x:n v="7250"/>
    <x:n v="36250"/>
    <x:n v="11250"/>
    <x:x v="6"/>
    <x:s v="Konya"/>
  </x:r>
  <x:r>
    <x:m/>
    <x:x v="5"/>
    <x:x v="19"/>
    <x:x v="4"/>
    <x:n v="1200"/>
    <x:n v="4800"/>
    <x:n v="1600"/>
    <x:x v="6"/>
    <x:s v="Kocaeli"/>
  </x:r>
  <x:r>
    <x:m/>
    <x:x v="3"/>
    <x:x v="0"/>
    <x:x v="1"/>
    <x:n v="6000"/>
    <x:n v="18000"/>
    <x:n v="6000"/>
    <x:x v="6"/>
    <x:s v="Kocaeli"/>
  </x:r>
  <x:r>
    <x:m/>
    <x:x v="2"/>
    <x:x v="2"/>
    <x:x v="3"/>
    <x:n v="8450"/>
    <x:n v="42250"/>
    <x:n v="12250"/>
    <x:x v="6"/>
    <x:s v="İzmir"/>
  </x:r>
  <x:r>
    <x:m/>
    <x:x v="6"/>
    <x:x v="15"/>
    <x:x v="4"/>
    <x:n v="4200"/>
    <x:n v="16800"/>
    <x:n v="4800"/>
    <x:x v="6"/>
    <x:s v="Gaziantep"/>
  </x:r>
  <x:r>
    <x:m/>
    <x:x v="6"/>
    <x:x v="13"/>
    <x:x v="4"/>
    <x:n v="10590"/>
    <x:n v="42360"/>
    <x:n v="18360"/>
    <x:x v="6"/>
    <x:s v="Bursa"/>
  </x:r>
  <x:r>
    <x:m/>
    <x:x v="5"/>
    <x:x v="19"/>
    <x:x v="1"/>
    <x:n v="1200"/>
    <x:n v="3600"/>
    <x:n v="1200"/>
    <x:x v="6"/>
    <x:s v="Şanlıurfa"/>
  </x:r>
  <x:r>
    <x:m/>
    <x:x v="10"/>
    <x:x v="7"/>
    <x:x v="4"/>
    <x:n v="1100"/>
    <x:n v="4400"/>
    <x:n v="1200"/>
    <x:x v="6"/>
    <x:s v="İstanbul"/>
  </x:r>
  <x:r>
    <x:m/>
    <x:x v="9"/>
    <x:x v="23"/>
    <x:x v="4"/>
    <x:n v="3700"/>
    <x:n v="14800"/>
    <x:n v="2800"/>
    <x:x v="6"/>
    <x:s v="Adana"/>
  </x:r>
  <x:r>
    <x:m/>
    <x:x v="1"/>
    <x:x v="23"/>
    <x:x v="1"/>
    <x:n v="3700"/>
    <x:n v="11100"/>
    <x:n v="2100"/>
    <x:x v="6"/>
    <x:s v="Mersin"/>
  </x:r>
  <x:r>
    <x:m/>
    <x:x v="6"/>
    <x:x v="7"/>
    <x:x v="0"/>
    <x:n v="1100"/>
    <x:n v="2200"/>
    <x:n v="600"/>
    <x:x v="6"/>
    <x:s v="Kocaeli"/>
  </x:r>
  <x:r>
    <x:m/>
    <x:x v="5"/>
    <x:x v="23"/>
    <x:x v="4"/>
    <x:n v="3700"/>
    <x:n v="14800"/>
    <x:n v="2800"/>
    <x:x v="6"/>
    <x:s v="Konya"/>
  </x:r>
  <x:r>
    <x:m/>
    <x:x v="10"/>
    <x:x v="14"/>
    <x:x v="0"/>
    <x:n v="1490"/>
    <x:n v="2980"/>
    <x:n v="1380"/>
    <x:x v="6"/>
    <x:s v="Şanlıurfa"/>
  </x:r>
  <x:r>
    <x:m/>
    <x:x v="9"/>
    <x:x v="22"/>
    <x:x v="3"/>
    <x:n v="1500"/>
    <x:n v="7500"/>
    <x:n v="3500"/>
    <x:x v="6"/>
    <x:s v="Diyarbakır"/>
  </x:r>
  <x:r>
    <x:m/>
    <x:x v="8"/>
    <x:x v="11"/>
    <x:x v="3"/>
    <x:n v="1090"/>
    <x:n v="5450"/>
    <x:n v="1450"/>
    <x:x v="6"/>
    <x:s v="Ankara"/>
  </x:r>
  <x:r>
    <x:m/>
    <x:x v="10"/>
    <x:x v="10"/>
    <x:x v="4"/>
    <x:n v="1800"/>
    <x:n v="7200"/>
    <x:n v="4000"/>
    <x:x v="6"/>
    <x:s v="Ankara"/>
  </x:r>
  <x:r>
    <x:m/>
    <x:x v="7"/>
    <x:x v="20"/>
    <x:x v="1"/>
    <x:n v="7530"/>
    <x:n v="22590"/>
    <x:n v="4590"/>
    <x:x v="6"/>
    <x:s v="Adana"/>
  </x:r>
  <x:r>
    <x:m/>
    <x:x v="6"/>
    <x:x v="7"/>
    <x:x v="0"/>
    <x:n v="1100"/>
    <x:n v="2200"/>
    <x:n v="600"/>
    <x:x v="6"/>
    <x:s v="Diyarbakır"/>
  </x:r>
  <x:r>
    <x:m/>
    <x:x v="9"/>
    <x:x v="3"/>
    <x:x v="0"/>
    <x:n v="1350"/>
    <x:n v="2700"/>
    <x:n v="1100"/>
    <x:x v="6"/>
    <x:s v="Diyarbakır"/>
  </x:r>
  <x:r>
    <x:m/>
    <x:x v="8"/>
    <x:x v="3"/>
    <x:x v="3"/>
    <x:n v="1350"/>
    <x:n v="6750"/>
    <x:n v="2750"/>
    <x:x v="6"/>
    <x:s v="Şanlıurfa"/>
  </x:r>
  <x:r>
    <x:m/>
    <x:x v="7"/>
    <x:x v="11"/>
    <x:x v="4"/>
    <x:n v="1090"/>
    <x:n v="4360"/>
    <x:n v="1160"/>
    <x:x v="6"/>
    <x:s v="İstanbul"/>
  </x:r>
  <x:r>
    <x:m/>
    <x:x v="7"/>
    <x:x v="15"/>
    <x:x v="1"/>
    <x:n v="4200"/>
    <x:n v="12600"/>
    <x:n v="3600"/>
    <x:x v="6"/>
    <x:s v="Antalya"/>
  </x:r>
  <x:r>
    <x:m/>
    <x:x v="9"/>
    <x:x v="10"/>
    <x:x v="3"/>
    <x:n v="1800"/>
    <x:n v="9000"/>
    <x:n v="5000"/>
    <x:x v="6"/>
    <x:s v="Şanlıurfa"/>
  </x:r>
  <x:r>
    <x:m/>
    <x:x v="11"/>
    <x:x v="11"/>
    <x:x v="3"/>
    <x:n v="1090"/>
    <x:n v="5450"/>
    <x:n v="1450"/>
    <x:x v="6"/>
    <x:s v="Diyarbakır"/>
  </x:r>
  <x:r>
    <x:m/>
    <x:x v="0"/>
    <x:x v="5"/>
    <x:x v="1"/>
    <x:n v="7600"/>
    <x:n v="22800"/>
    <x:n v="4800"/>
    <x:x v="6"/>
    <x:s v="İstanbul"/>
  </x:r>
  <x:r>
    <x:m/>
    <x:x v="8"/>
    <x:x v="5"/>
    <x:x v="3"/>
    <x:n v="7600"/>
    <x:n v="38000"/>
    <x:n v="8000"/>
    <x:x v="6"/>
    <x:s v="Gaziantep"/>
  </x:r>
  <x:r>
    <x:m/>
    <x:x v="2"/>
    <x:x v="23"/>
    <x:x v="3"/>
    <x:n v="3700"/>
    <x:n v="18500"/>
    <x:n v="3500"/>
    <x:x v="6"/>
    <x:s v="Kocaeli"/>
  </x:r>
  <x:r>
    <x:m/>
    <x:x v="4"/>
    <x:x v="6"/>
    <x:x v="0"/>
    <x:n v="7250"/>
    <x:n v="14500"/>
    <x:n v="4500"/>
    <x:x v="6"/>
    <x:s v="Antalya"/>
  </x:r>
  <x:r>
    <x:m/>
    <x:x v="1"/>
    <x:x v="5"/>
    <x:x v="3"/>
    <x:n v="7600"/>
    <x:n v="38000"/>
    <x:n v="8000"/>
    <x:x v="6"/>
    <x:s v="Bursa"/>
  </x:r>
  <x:r>
    <x:m/>
    <x:x v="10"/>
    <x:x v="15"/>
    <x:x v="3"/>
    <x:n v="4200"/>
    <x:n v="21000"/>
    <x:n v="6000"/>
    <x:x v="6"/>
    <x:s v="Şanlıurfa"/>
  </x:r>
  <x:r>
    <x:m/>
    <x:x v="6"/>
    <x:x v="18"/>
    <x:x v="3"/>
    <x:n v="1250"/>
    <x:n v="6250"/>
    <x:n v="2250"/>
    <x:x v="6"/>
    <x:s v="Şanlıurfa"/>
  </x:r>
  <x:r>
    <x:m/>
    <x:x v="8"/>
    <x:x v="11"/>
    <x:x v="0"/>
    <x:n v="1090"/>
    <x:n v="2180"/>
    <x:n v="580"/>
    <x:x v="6"/>
    <x:s v="Adana"/>
  </x:r>
  <x:r>
    <x:m/>
    <x:x v="3"/>
    <x:x v="4"/>
    <x:x v="3"/>
    <x:n v="2180"/>
    <x:n v="10900"/>
    <x:n v="3400"/>
    <x:x v="6"/>
    <x:s v="Bursa"/>
  </x:r>
  <x:r>
    <x:m/>
    <x:x v="11"/>
    <x:x v="23"/>
    <x:x v="3"/>
    <x:n v="3700"/>
    <x:n v="18500"/>
    <x:n v="3500"/>
    <x:x v="6"/>
    <x:s v="Kocaeli"/>
  </x:r>
  <x:r>
    <x:m/>
    <x:x v="9"/>
    <x:x v="0"/>
    <x:x v="0"/>
    <x:n v="6000"/>
    <x:n v="12000"/>
    <x:n v="4000"/>
    <x:x v="6"/>
    <x:s v="Ankara"/>
  </x:r>
  <x:r>
    <x:m/>
    <x:x v="10"/>
    <x:x v="18"/>
    <x:x v="1"/>
    <x:n v="1250"/>
    <x:n v="3750"/>
    <x:n v="1350"/>
    <x:x v="6"/>
    <x:s v="Mersin"/>
  </x:r>
  <x:r>
    <x:m/>
    <x:x v="11"/>
    <x:x v="5"/>
    <x:x v="1"/>
    <x:n v="7600"/>
    <x:n v="22800"/>
    <x:n v="4800"/>
    <x:x v="6"/>
    <x:s v="Hatay"/>
  </x:r>
  <x:r>
    <x:m/>
    <x:x v="0"/>
    <x:x v="1"/>
    <x:x v="3"/>
    <x:n v="1400"/>
    <x:n v="7000"/>
    <x:n v="3000"/>
    <x:x v="6"/>
    <x:s v="Gaziantep"/>
  </x:r>
  <x:r>
    <x:m/>
    <x:x v="4"/>
    <x:x v="4"/>
    <x:x v="0"/>
    <x:n v="2180"/>
    <x:n v="4360"/>
    <x:n v="1360"/>
    <x:x v="6"/>
    <x:s v="Mersin"/>
  </x:r>
  <x:r>
    <x:m/>
    <x:x v="0"/>
    <x:x v="10"/>
    <x:x v="4"/>
    <x:n v="1800"/>
    <x:n v="7200"/>
    <x:n v="4000"/>
    <x:x v="6"/>
    <x:s v="Ankara"/>
  </x:r>
  <x:r>
    <x:m/>
    <x:x v="2"/>
    <x:x v="22"/>
    <x:x v="4"/>
    <x:n v="1500"/>
    <x:n v="6000"/>
    <x:n v="2800"/>
    <x:x v="6"/>
    <x:s v="Mersin"/>
  </x:r>
  <x:r>
    <x:m/>
    <x:x v="6"/>
    <x:x v="2"/>
    <x:x v="0"/>
    <x:n v="8450"/>
    <x:n v="16900"/>
    <x:n v="4900"/>
    <x:x v="6"/>
    <x:s v="Konya"/>
  </x:r>
  <x:r>
    <x:m/>
    <x:x v="9"/>
    <x:x v="22"/>
    <x:x v="0"/>
    <x:n v="1500"/>
    <x:n v="3000"/>
    <x:n v="1400"/>
    <x:x v="6"/>
    <x:s v="Kocaeli"/>
  </x:r>
  <x:r>
    <x:m/>
    <x:x v="5"/>
    <x:x v="0"/>
    <x:x v="3"/>
    <x:n v="6000"/>
    <x:n v="30000"/>
    <x:n v="10000"/>
    <x:x v="6"/>
    <x:s v="Konya"/>
  </x:r>
  <x:r>
    <x:m/>
    <x:x v="11"/>
    <x:x v="19"/>
    <x:x v="3"/>
    <x:n v="1200"/>
    <x:n v="6000"/>
    <x:n v="2000"/>
    <x:x v="6"/>
    <x:s v="Konya"/>
  </x:r>
  <x:r>
    <x:m/>
    <x:x v="0"/>
    <x:x v="15"/>
    <x:x v="1"/>
    <x:n v="4200"/>
    <x:n v="12600"/>
    <x:n v="3600"/>
    <x:x v="6"/>
    <x:s v="Gaziantep"/>
  </x:r>
  <x:r>
    <x:m/>
    <x:x v="10"/>
    <x:x v="5"/>
    <x:x v="1"/>
    <x:n v="7600"/>
    <x:n v="22800"/>
    <x:n v="4800"/>
    <x:x v="6"/>
    <x:s v="İzmir"/>
  </x:r>
  <x:r>
    <x:m/>
    <x:x v="5"/>
    <x:x v="6"/>
    <x:x v="1"/>
    <x:n v="7250"/>
    <x:n v="21750"/>
    <x:n v="6750"/>
    <x:x v="6"/>
    <x:s v="Kocaeli"/>
  </x:r>
  <x:r>
    <x:m/>
    <x:x v="1"/>
    <x:x v="20"/>
    <x:x v="4"/>
    <x:n v="7530"/>
    <x:n v="30120"/>
    <x:n v="6120"/>
    <x:x v="6"/>
    <x:s v="Diyarbakır"/>
  </x:r>
  <x:r>
    <x:m/>
    <x:x v="2"/>
    <x:x v="6"/>
    <x:x v="4"/>
    <x:n v="7250"/>
    <x:n v="29000"/>
    <x:n v="9000"/>
    <x:x v="6"/>
    <x:s v="Gaziantep"/>
  </x:r>
  <x:r>
    <x:m/>
    <x:x v="1"/>
    <x:x v="0"/>
    <x:x v="0"/>
    <x:n v="6000"/>
    <x:n v="12000"/>
    <x:n v="4000"/>
    <x:x v="6"/>
    <x:s v="Şanlıurfa"/>
  </x:r>
  <x:r>
    <x:m/>
    <x:x v="5"/>
    <x:x v="19"/>
    <x:x v="4"/>
    <x:n v="1200"/>
    <x:n v="4800"/>
    <x:n v="1600"/>
    <x:x v="7"/>
    <x:s v="Adana"/>
  </x:r>
  <x:r>
    <x:m/>
    <x:x v="11"/>
    <x:x v="21"/>
    <x:x v="1"/>
    <x:n v="5300"/>
    <x:n v="15900"/>
    <x:n v="3900"/>
    <x:x v="7"/>
    <x:s v="Şanlıurfa"/>
  </x:r>
  <x:r>
    <x:m/>
    <x:x v="8"/>
    <x:x v="2"/>
    <x:x v="1"/>
    <x:n v="8450"/>
    <x:n v="25350"/>
    <x:n v="7350"/>
    <x:x v="7"/>
    <x:s v="Şanlıurfa"/>
  </x:r>
  <x:r>
    <x:m/>
    <x:x v="4"/>
    <x:x v="3"/>
    <x:x v="3"/>
    <x:n v="1350"/>
    <x:n v="6750"/>
    <x:n v="2750"/>
    <x:x v="7"/>
    <x:s v="Kocaeli"/>
  </x:r>
  <x:r>
    <x:m/>
    <x:x v="6"/>
    <x:x v="11"/>
    <x:x v="0"/>
    <x:n v="1090"/>
    <x:n v="2180"/>
    <x:n v="580"/>
    <x:x v="7"/>
    <x:s v="Ankara"/>
  </x:r>
  <x:r>
    <x:m/>
    <x:x v="4"/>
    <x:x v="4"/>
    <x:x v="3"/>
    <x:n v="2180"/>
    <x:n v="10900"/>
    <x:n v="3400"/>
    <x:x v="7"/>
    <x:s v="Ankara"/>
  </x:r>
  <x:r>
    <x:m/>
    <x:x v="0"/>
    <x:x v="0"/>
    <x:x v="4"/>
    <x:n v="6000"/>
    <x:n v="24000"/>
    <x:n v="8000"/>
    <x:x v="7"/>
    <x:s v="Hatay"/>
  </x:r>
  <x:r>
    <x:m/>
    <x:x v="1"/>
    <x:x v="1"/>
    <x:x v="3"/>
    <x:n v="1400"/>
    <x:n v="7000"/>
    <x:n v="3000"/>
    <x:x v="7"/>
    <x:s v="İstanbul"/>
  </x:r>
  <x:r>
    <x:m/>
    <x:x v="2"/>
    <x:x v="2"/>
    <x:x v="0"/>
    <x:n v="8450"/>
    <x:n v="16900"/>
    <x:n v="4900"/>
    <x:x v="7"/>
    <x:s v="Mersin"/>
  </x:r>
  <x:r>
    <x:m/>
    <x:x v="3"/>
    <x:x v="3"/>
    <x:x v="0"/>
    <x:n v="1350"/>
    <x:n v="2700"/>
    <x:n v="1100"/>
    <x:x v="7"/>
    <x:s v="Mersin"/>
  </x:r>
  <x:r>
    <x:m/>
    <x:x v="0"/>
    <x:x v="4"/>
    <x:x v="3"/>
    <x:n v="2180"/>
    <x:n v="10900"/>
    <x:n v="3400"/>
    <x:x v="7"/>
    <x:s v="Hatay"/>
  </x:r>
  <x:r>
    <x:m/>
    <x:x v="4"/>
    <x:x v="5"/>
    <x:x v="1"/>
    <x:n v="7600"/>
    <x:n v="22800"/>
    <x:n v="4800"/>
    <x:x v="7"/>
    <x:s v="Adana"/>
  </x:r>
  <x:r>
    <x:m/>
    <x:x v="1"/>
    <x:x v="6"/>
    <x:x v="0"/>
    <x:n v="7250"/>
    <x:n v="14500"/>
    <x:n v="4500"/>
    <x:x v="7"/>
    <x:s v="Bursa"/>
  </x:r>
  <x:r>
    <x:m/>
    <x:x v="3"/>
    <x:x v="7"/>
    <x:x v="0"/>
    <x:n v="1100"/>
    <x:n v="2200"/>
    <x:n v="600"/>
    <x:x v="7"/>
    <x:s v="Bursa"/>
  </x:r>
  <x:r>
    <x:m/>
    <x:x v="5"/>
    <x:x v="0"/>
    <x:x v="4"/>
    <x:n v="6000"/>
    <x:n v="24000"/>
    <x:n v="8000"/>
    <x:x v="7"/>
    <x:s v="Şanlıurfa"/>
  </x:r>
  <x:r>
    <x:m/>
    <x:x v="0"/>
    <x:x v="9"/>
    <x:x v="1"/>
    <x:n v="1200"/>
    <x:n v="3600"/>
    <x:n v="1200"/>
    <x:x v="7"/>
    <x:s v="Adana"/>
  </x:r>
  <x:r>
    <x:m/>
    <x:x v="6"/>
    <x:x v="10"/>
    <x:x v="1"/>
    <x:n v="1800"/>
    <x:n v="5400"/>
    <x:n v="3000"/>
    <x:x v="7"/>
    <x:s v="Gaziantep"/>
  </x:r>
  <x:r>
    <x:m/>
    <x:x v="6"/>
    <x:x v="11"/>
    <x:x v="3"/>
    <x:n v="1090"/>
    <x:n v="5450"/>
    <x:n v="1450"/>
    <x:x v="7"/>
    <x:s v="Bursa"/>
  </x:r>
  <x:r>
    <x:m/>
    <x:x v="5"/>
    <x:x v="4"/>
    <x:x v="4"/>
    <x:n v="2180"/>
    <x:n v="8720"/>
    <x:n v="2720"/>
    <x:x v="7"/>
    <x:s v="İzmir"/>
  </x:r>
  <x:r>
    <x:m/>
    <x:x v="7"/>
    <x:x v="10"/>
    <x:x v="3"/>
    <x:n v="1800"/>
    <x:n v="9000"/>
    <x:n v="5000"/>
    <x:x v="7"/>
    <x:s v="Bursa"/>
  </x:r>
  <x:r>
    <x:m/>
    <x:x v="4"/>
    <x:x v="12"/>
    <x:x v="1"/>
    <x:n v="8000"/>
    <x:n v="24000"/>
    <x:n v="6000"/>
    <x:x v="7"/>
    <x:s v="Bursa"/>
  </x:r>
  <x:r>
    <x:m/>
    <x:x v="5"/>
    <x:x v="1"/>
    <x:x v="4"/>
    <x:n v="1400"/>
    <x:n v="5600"/>
    <x:n v="2400"/>
    <x:x v="7"/>
    <x:s v="Diyarbakır"/>
  </x:r>
  <x:r>
    <x:m/>
    <x:x v="8"/>
    <x:x v="13"/>
    <x:x v="0"/>
    <x:n v="10590"/>
    <x:n v="21180"/>
    <x:n v="9180"/>
    <x:x v="7"/>
    <x:s v="Bursa"/>
  </x:r>
  <x:r>
    <x:m/>
    <x:x v="9"/>
    <x:x v="3"/>
    <x:x v="1"/>
    <x:n v="1350"/>
    <x:n v="4050"/>
    <x:n v="1650"/>
    <x:x v="7"/>
    <x:s v="Mersin"/>
  </x:r>
  <x:r>
    <x:m/>
    <x:x v="6"/>
    <x:x v="1"/>
    <x:x v="1"/>
    <x:n v="1400"/>
    <x:n v="4200"/>
    <x:n v="1800"/>
    <x:x v="7"/>
    <x:s v="İzmir"/>
  </x:r>
  <x:r>
    <x:m/>
    <x:x v="3"/>
    <x:x v="0"/>
    <x:x v="4"/>
    <x:n v="6000"/>
    <x:n v="24000"/>
    <x:n v="8000"/>
    <x:x v="7"/>
    <x:s v="Hatay"/>
  </x:r>
  <x:r>
    <x:m/>
    <x:x v="8"/>
    <x:x v="7"/>
    <x:x v="1"/>
    <x:n v="1100"/>
    <x:n v="3300"/>
    <x:n v="900"/>
    <x:x v="7"/>
    <x:s v="Antalya"/>
  </x:r>
  <x:r>
    <x:m/>
    <x:x v="2"/>
    <x:x v="0"/>
    <x:x v="1"/>
    <x:n v="6000"/>
    <x:n v="18000"/>
    <x:n v="6000"/>
    <x:x v="7"/>
    <x:s v="İzmir"/>
  </x:r>
  <x:r>
    <x:m/>
    <x:x v="9"/>
    <x:x v="14"/>
    <x:x v="0"/>
    <x:n v="1490"/>
    <x:n v="2980"/>
    <x:n v="1380"/>
    <x:x v="7"/>
    <x:s v="Adana"/>
  </x:r>
  <x:r>
    <x:m/>
    <x:x v="8"/>
    <x:x v="13"/>
    <x:x v="4"/>
    <x:n v="10590"/>
    <x:n v="42360"/>
    <x:n v="18360"/>
    <x:x v="7"/>
    <x:s v="Mersin"/>
  </x:r>
  <x:r>
    <x:m/>
    <x:x v="2"/>
    <x:x v="12"/>
    <x:x v="1"/>
    <x:n v="8000"/>
    <x:n v="24000"/>
    <x:n v="6000"/>
    <x:x v="7"/>
    <x:s v="Kocaeli"/>
  </x:r>
  <x:r>
    <x:m/>
    <x:x v="6"/>
    <x:x v="7"/>
    <x:x v="3"/>
    <x:n v="1100"/>
    <x:n v="5500"/>
    <x:n v="1500"/>
    <x:x v="7"/>
    <x:s v="Adana"/>
  </x:r>
  <x:r>
    <x:m/>
    <x:x v="9"/>
    <x:x v="9"/>
    <x:x v="3"/>
    <x:n v="1200"/>
    <x:n v="6000"/>
    <x:n v="2000"/>
    <x:x v="7"/>
    <x:s v="Adana"/>
  </x:r>
  <x:r>
    <x:m/>
    <x:x v="4"/>
    <x:x v="15"/>
    <x:x v="0"/>
    <x:n v="4200"/>
    <x:n v="8400"/>
    <x:n v="2400"/>
    <x:x v="7"/>
    <x:s v="Kocaeli"/>
  </x:r>
  <x:r>
    <x:m/>
    <x:x v="1"/>
    <x:x v="16"/>
    <x:x v="3"/>
    <x:n v="5775"/>
    <x:n v="28875"/>
    <x:n v="8875"/>
    <x:x v="7"/>
    <x:s v="Hatay"/>
  </x:r>
  <x:r>
    <x:m/>
    <x:x v="10"/>
    <x:x v="5"/>
    <x:x v="0"/>
    <x:n v="7600"/>
    <x:n v="15200"/>
    <x:n v="3200"/>
    <x:x v="7"/>
    <x:s v="Mersin"/>
  </x:r>
  <x:r>
    <x:m/>
    <x:x v="1"/>
    <x:x v="6"/>
    <x:x v="3"/>
    <x:n v="7250"/>
    <x:n v="36250"/>
    <x:n v="11250"/>
    <x:x v="7"/>
    <x:s v="Ankara"/>
  </x:r>
  <x:r>
    <x:m/>
    <x:x v="0"/>
    <x:x v="6"/>
    <x:x v="1"/>
    <x:n v="7250"/>
    <x:n v="21750"/>
    <x:n v="6750"/>
    <x:x v="7"/>
    <x:s v="Ankara"/>
  </x:r>
  <x:r>
    <x:m/>
    <x:x v="8"/>
    <x:x v="6"/>
    <x:x v="1"/>
    <x:n v="7250"/>
    <x:n v="21750"/>
    <x:n v="6750"/>
    <x:x v="7"/>
    <x:s v="Ankara"/>
  </x:r>
  <x:r>
    <x:m/>
    <x:x v="5"/>
    <x:x v="3"/>
    <x:x v="0"/>
    <x:n v="1350"/>
    <x:n v="2700"/>
    <x:n v="1100"/>
    <x:x v="7"/>
    <x:s v="Şanlıurfa"/>
  </x:r>
  <x:r>
    <x:m/>
    <x:x v="1"/>
    <x:x v="6"/>
    <x:x v="1"/>
    <x:n v="7250"/>
    <x:n v="21750"/>
    <x:n v="6750"/>
    <x:x v="7"/>
    <x:s v="Gaziantep"/>
  </x:r>
  <x:r>
    <x:m/>
    <x:x v="6"/>
    <x:x v="5"/>
    <x:x v="4"/>
    <x:n v="7600"/>
    <x:n v="30400"/>
    <x:n v="6400"/>
    <x:x v="7"/>
    <x:s v="Bursa"/>
  </x:r>
  <x:r>
    <x:m/>
    <x:x v="11"/>
    <x:x v="5"/>
    <x:x v="3"/>
    <x:n v="7600"/>
    <x:n v="38000"/>
    <x:n v="8000"/>
    <x:x v="7"/>
    <x:s v="Adana"/>
  </x:r>
  <x:r>
    <x:m/>
    <x:x v="1"/>
    <x:x v="14"/>
    <x:x v="3"/>
    <x:n v="1490"/>
    <x:n v="7450"/>
    <x:n v="3450"/>
    <x:x v="7"/>
    <x:s v="Gaziantep"/>
  </x:r>
  <x:r>
    <x:m/>
    <x:x v="5"/>
    <x:x v="17"/>
    <x:x v="3"/>
    <x:n v="2900"/>
    <x:n v="14500"/>
    <x:n v="4500"/>
    <x:x v="7"/>
    <x:s v="Hatay"/>
  </x:r>
  <x:r>
    <x:m/>
    <x:x v="9"/>
    <x:x v="14"/>
    <x:x v="1"/>
    <x:n v="1490"/>
    <x:n v="4470"/>
    <x:n v="2070"/>
    <x:x v="7"/>
    <x:s v="Ankara"/>
  </x:r>
  <x:r>
    <x:m/>
    <x:x v="9"/>
    <x:x v="11"/>
    <x:x v="3"/>
    <x:n v="1090"/>
    <x:n v="5450"/>
    <x:n v="1450"/>
    <x:x v="7"/>
    <x:s v="Hatay"/>
  </x:r>
  <x:r>
    <x:m/>
    <x:x v="5"/>
    <x:x v="9"/>
    <x:x v="1"/>
    <x:n v="1200"/>
    <x:n v="3600"/>
    <x:n v="1200"/>
    <x:x v="7"/>
    <x:s v="Kocaeli"/>
  </x:r>
  <x:r>
    <x:m/>
    <x:x v="8"/>
    <x:x v="13"/>
    <x:x v="3"/>
    <x:n v="10590"/>
    <x:n v="52950"/>
    <x:n v="22950"/>
    <x:x v="7"/>
    <x:s v="Adana"/>
  </x:r>
  <x:r>
    <x:m/>
    <x:x v="6"/>
    <x:x v="15"/>
    <x:x v="4"/>
    <x:n v="4200"/>
    <x:n v="16800"/>
    <x:n v="4800"/>
    <x:x v="7"/>
    <x:s v="Konya"/>
  </x:r>
  <x:r>
    <x:m/>
    <x:x v="3"/>
    <x:x v="15"/>
    <x:x v="0"/>
    <x:n v="4200"/>
    <x:n v="8400"/>
    <x:n v="2400"/>
    <x:x v="7"/>
    <x:s v="Konya"/>
  </x:r>
  <x:r>
    <x:m/>
    <x:x v="7"/>
    <x:x v="13"/>
    <x:x v="0"/>
    <x:n v="10590"/>
    <x:n v="21180"/>
    <x:n v="9180"/>
    <x:x v="7"/>
    <x:s v="Adana"/>
  </x:r>
  <x:r>
    <x:m/>
    <x:x v="11"/>
    <x:x v="18"/>
    <x:x v="0"/>
    <x:n v="1250"/>
    <x:n v="2500"/>
    <x:n v="900"/>
    <x:x v="7"/>
    <x:s v="Hatay"/>
  </x:r>
  <x:r>
    <x:m/>
    <x:x v="0"/>
    <x:x v="14"/>
    <x:x v="1"/>
    <x:n v="1490"/>
    <x:n v="4470"/>
    <x:n v="2070"/>
    <x:x v="7"/>
    <x:s v="Ankara"/>
  </x:r>
  <x:r>
    <x:m/>
    <x:x v="6"/>
    <x:x v="9"/>
    <x:x v="0"/>
    <x:n v="1200"/>
    <x:n v="2400"/>
    <x:n v="800"/>
    <x:x v="7"/>
    <x:s v="Konya"/>
  </x:r>
  <x:r>
    <x:m/>
    <x:x v="2"/>
    <x:x v="4"/>
    <x:x v="4"/>
    <x:n v="2180"/>
    <x:n v="8720"/>
    <x:n v="2720"/>
    <x:x v="7"/>
    <x:s v="Adana"/>
  </x:r>
  <x:r>
    <x:m/>
    <x:x v="9"/>
    <x:x v="19"/>
    <x:x v="1"/>
    <x:n v="1200"/>
    <x:n v="3600"/>
    <x:n v="1200"/>
    <x:x v="7"/>
    <x:s v="Ankara"/>
  </x:r>
  <x:r>
    <x:m/>
    <x:x v="0"/>
    <x:x v="10"/>
    <x:x v="3"/>
    <x:n v="1800"/>
    <x:n v="9000"/>
    <x:n v="5000"/>
    <x:x v="7"/>
    <x:s v="Adana"/>
  </x:r>
  <x:r>
    <x:m/>
    <x:x v="2"/>
    <x:x v="5"/>
    <x:x v="3"/>
    <x:n v="7600"/>
    <x:n v="38000"/>
    <x:n v="8000"/>
    <x:x v="7"/>
    <x:s v="İstanbul"/>
  </x:r>
  <x:r>
    <x:m/>
    <x:x v="7"/>
    <x:x v="20"/>
    <x:x v="4"/>
    <x:n v="7530"/>
    <x:n v="30120"/>
    <x:n v="6120"/>
    <x:x v="7"/>
    <x:s v="Antalya"/>
  </x:r>
  <x:r>
    <x:m/>
    <x:x v="11"/>
    <x:x v="14"/>
    <x:x v="3"/>
    <x:n v="1490"/>
    <x:n v="7450"/>
    <x:n v="3450"/>
    <x:x v="7"/>
    <x:s v="Diyarbakır"/>
  </x:r>
  <x:r>
    <x:m/>
    <x:x v="0"/>
    <x:x v="21"/>
    <x:x v="4"/>
    <x:n v="5300"/>
    <x:n v="21200"/>
    <x:n v="5200"/>
    <x:x v="7"/>
    <x:s v="Antalya"/>
  </x:r>
  <x:r>
    <x:m/>
    <x:x v="4"/>
    <x:x v="9"/>
    <x:x v="1"/>
    <x:n v="1200"/>
    <x:n v="3600"/>
    <x:n v="1200"/>
    <x:x v="7"/>
    <x:s v="Adana"/>
  </x:r>
  <x:r>
    <x:m/>
    <x:x v="9"/>
    <x:x v="11"/>
    <x:x v="4"/>
    <x:n v="1090"/>
    <x:n v="4360"/>
    <x:n v="1160"/>
    <x:x v="7"/>
    <x:s v="Gaziantep"/>
  </x:r>
  <x:r>
    <x:m/>
    <x:x v="4"/>
    <x:x v="6"/>
    <x:x v="1"/>
    <x:n v="7250"/>
    <x:n v="21750"/>
    <x:n v="6750"/>
    <x:x v="7"/>
    <x:s v="Mersin"/>
  </x:r>
  <x:r>
    <x:m/>
    <x:x v="10"/>
    <x:x v="1"/>
    <x:x v="3"/>
    <x:n v="1400"/>
    <x:n v="7000"/>
    <x:n v="3000"/>
    <x:x v="7"/>
    <x:s v="Bursa"/>
  </x:r>
  <x:r>
    <x:m/>
    <x:x v="2"/>
    <x:x v="22"/>
    <x:x v="1"/>
    <x:n v="1500"/>
    <x:n v="4500"/>
    <x:n v="2100"/>
    <x:x v="7"/>
    <x:s v="Mersin"/>
  </x:r>
  <x:r>
    <x:m/>
    <x:x v="7"/>
    <x:x v="3"/>
    <x:x v="4"/>
    <x:n v="1350"/>
    <x:n v="5400"/>
    <x:n v="2200"/>
    <x:x v="7"/>
    <x:s v="İzmir"/>
  </x:r>
  <x:r>
    <x:m/>
    <x:x v="7"/>
    <x:x v="9"/>
    <x:x v="0"/>
    <x:n v="1200"/>
    <x:n v="2400"/>
    <x:n v="800"/>
    <x:x v="7"/>
    <x:s v="Kocaeli"/>
  </x:r>
  <x:r>
    <x:m/>
    <x:x v="1"/>
    <x:x v="20"/>
    <x:x v="1"/>
    <x:n v="7530"/>
    <x:n v="22590"/>
    <x:n v="4590"/>
    <x:x v="7"/>
    <x:s v="Kocaeli"/>
  </x:r>
  <x:r>
    <x:m/>
    <x:x v="10"/>
    <x:x v="9"/>
    <x:x v="0"/>
    <x:n v="1200"/>
    <x:n v="2400"/>
    <x:n v="800"/>
    <x:x v="7"/>
    <x:s v="Hatay"/>
  </x:r>
  <x:r>
    <x:m/>
    <x:x v="8"/>
    <x:x v="10"/>
    <x:x v="1"/>
    <x:n v="1800"/>
    <x:n v="5400"/>
    <x:n v="3000"/>
    <x:x v="7"/>
    <x:s v="Antalya"/>
  </x:r>
  <x:r>
    <x:m/>
    <x:x v="0"/>
    <x:x v="6"/>
    <x:x v="3"/>
    <x:n v="7250"/>
    <x:n v="36250"/>
    <x:n v="11250"/>
    <x:x v="7"/>
    <x:s v="Diyarbakır"/>
  </x:r>
  <x:r>
    <x:m/>
    <x:x v="9"/>
    <x:x v="14"/>
    <x:x v="0"/>
    <x:n v="1490"/>
    <x:n v="2980"/>
    <x:n v="1380"/>
    <x:x v="7"/>
    <x:s v="Antalya"/>
  </x:r>
  <x:r>
    <x:m/>
    <x:x v="9"/>
    <x:x v="19"/>
    <x:x v="3"/>
    <x:n v="1200"/>
    <x:n v="6000"/>
    <x:n v="2000"/>
    <x:x v="7"/>
    <x:s v="Gaziantep"/>
  </x:r>
  <x:r>
    <x:m/>
    <x:x v="1"/>
    <x:x v="12"/>
    <x:x v="0"/>
    <x:n v="8000"/>
    <x:n v="16000"/>
    <x:n v="4000"/>
    <x:x v="7"/>
    <x:s v="Konya"/>
  </x:r>
  <x:r>
    <x:m/>
    <x:x v="6"/>
    <x:x v="1"/>
    <x:x v="0"/>
    <x:n v="1400"/>
    <x:n v="2800"/>
    <x:n v="1200"/>
    <x:x v="7"/>
    <x:s v="Hatay"/>
  </x:r>
  <x:r>
    <x:m/>
    <x:x v="5"/>
    <x:x v="3"/>
    <x:x v="4"/>
    <x:n v="1350"/>
    <x:n v="5400"/>
    <x:n v="2200"/>
    <x:x v="7"/>
    <x:s v="Adana"/>
  </x:r>
  <x:r>
    <x:m/>
    <x:x v="8"/>
    <x:x v="19"/>
    <x:x v="3"/>
    <x:n v="1200"/>
    <x:n v="6000"/>
    <x:n v="2000"/>
    <x:x v="7"/>
    <x:s v="İzmir"/>
  </x:r>
  <x:r>
    <x:m/>
    <x:x v="6"/>
    <x:x v="21"/>
    <x:x v="0"/>
    <x:n v="5300"/>
    <x:n v="10600"/>
    <x:n v="2600"/>
    <x:x v="7"/>
    <x:s v="Diyarbakır"/>
  </x:r>
  <x:r>
    <x:m/>
    <x:x v="9"/>
    <x:x v="13"/>
    <x:x v="4"/>
    <x:n v="10590"/>
    <x:n v="42360"/>
    <x:n v="18360"/>
    <x:x v="7"/>
    <x:s v="Bursa"/>
  </x:r>
  <x:r>
    <x:m/>
    <x:x v="4"/>
    <x:x v="18"/>
    <x:x v="4"/>
    <x:n v="1250"/>
    <x:n v="5000"/>
    <x:n v="1800"/>
    <x:x v="7"/>
    <x:s v="Gaziantep"/>
  </x:r>
  <x:r>
    <x:m/>
    <x:x v="11"/>
    <x:x v="19"/>
    <x:x v="3"/>
    <x:n v="1200"/>
    <x:n v="6000"/>
    <x:n v="2000"/>
    <x:x v="7"/>
    <x:s v="Ankara"/>
  </x:r>
  <x:r>
    <x:m/>
    <x:x v="4"/>
    <x:x v="1"/>
    <x:x v="4"/>
    <x:n v="1400"/>
    <x:n v="5600"/>
    <x:n v="2400"/>
    <x:x v="7"/>
    <x:s v="Adana"/>
  </x:r>
  <x:r>
    <x:m/>
    <x:x v="11"/>
    <x:x v="20"/>
    <x:x v="1"/>
    <x:n v="7530"/>
    <x:n v="22590"/>
    <x:n v="4590"/>
    <x:x v="7"/>
    <x:s v="Hatay"/>
  </x:r>
  <x:r>
    <x:m/>
    <x:x v="6"/>
    <x:x v="5"/>
    <x:x v="0"/>
    <x:n v="7600"/>
    <x:n v="15200"/>
    <x:n v="3200"/>
    <x:x v="7"/>
    <x:s v="Antalya"/>
  </x:r>
  <x:r>
    <x:m/>
    <x:x v="11"/>
    <x:x v="22"/>
    <x:x v="4"/>
    <x:n v="1500"/>
    <x:n v="6000"/>
    <x:n v="2800"/>
    <x:x v="7"/>
    <x:s v="Bursa"/>
  </x:r>
  <x:r>
    <x:m/>
    <x:x v="9"/>
    <x:x v="4"/>
    <x:x v="3"/>
    <x:n v="2180"/>
    <x:n v="10900"/>
    <x:n v="3400"/>
    <x:x v="7"/>
    <x:s v="İzmir"/>
  </x:r>
  <x:r>
    <x:m/>
    <x:x v="3"/>
    <x:x v="4"/>
    <x:x v="4"/>
    <x:n v="2180"/>
    <x:n v="8720"/>
    <x:n v="2720"/>
    <x:x v="7"/>
    <x:s v="Şanlıurfa"/>
  </x:r>
  <x:r>
    <x:m/>
    <x:x v="9"/>
    <x:x v="16"/>
    <x:x v="4"/>
    <x:n v="5775"/>
    <x:n v="23100"/>
    <x:n v="7100"/>
    <x:x v="7"/>
    <x:s v="Ankara"/>
  </x:r>
  <x:r>
    <x:m/>
    <x:x v="9"/>
    <x:x v="7"/>
    <x:x v="3"/>
    <x:n v="1100"/>
    <x:n v="5500"/>
    <x:n v="1500"/>
    <x:x v="7"/>
    <x:s v="İstanbul"/>
  </x:r>
  <x:r>
    <x:m/>
    <x:x v="10"/>
    <x:x v="16"/>
    <x:x v="4"/>
    <x:n v="5775"/>
    <x:n v="23100"/>
    <x:n v="7100"/>
    <x:x v="7"/>
    <x:s v="Antalya"/>
  </x:r>
  <x:r>
    <x:m/>
    <x:x v="7"/>
    <x:x v="3"/>
    <x:x v="1"/>
    <x:n v="1350"/>
    <x:n v="4050"/>
    <x:n v="1650"/>
    <x:x v="7"/>
    <x:s v="Konya"/>
  </x:r>
  <x:r>
    <x:m/>
    <x:x v="0"/>
    <x:x v="5"/>
    <x:x v="0"/>
    <x:n v="7600"/>
    <x:n v="15200"/>
    <x:n v="3200"/>
    <x:x v="7"/>
    <x:s v="Adana"/>
  </x:r>
  <x:r>
    <x:m/>
    <x:x v="2"/>
    <x:x v="6"/>
    <x:x v="0"/>
    <x:n v="7250"/>
    <x:n v="14500"/>
    <x:n v="4500"/>
    <x:x v="7"/>
    <x:s v="Ankara"/>
  </x:r>
  <x:r>
    <x:m/>
    <x:x v="11"/>
    <x:x v="14"/>
    <x:x v="4"/>
    <x:n v="1490"/>
    <x:n v="5960"/>
    <x:n v="2760"/>
    <x:x v="7"/>
    <x:s v="Adana"/>
  </x:r>
  <x:r>
    <x:m/>
    <x:x v="3"/>
    <x:x v="14"/>
    <x:x v="4"/>
    <x:n v="1490"/>
    <x:n v="5960"/>
    <x:n v="2760"/>
    <x:x v="7"/>
    <x:s v="Mersin"/>
  </x:r>
  <x:r>
    <x:m/>
    <x:x v="8"/>
    <x:x v="11"/>
    <x:x v="3"/>
    <x:n v="1090"/>
    <x:n v="5450"/>
    <x:n v="1450"/>
    <x:x v="7"/>
    <x:s v="Diyarbakır"/>
  </x:r>
  <x:r>
    <x:m/>
    <x:x v="8"/>
    <x:x v="9"/>
    <x:x v="4"/>
    <x:n v="1200"/>
    <x:n v="4800"/>
    <x:n v="1600"/>
    <x:x v="7"/>
    <x:s v="İstanbul"/>
  </x:r>
  <x:r>
    <x:m/>
    <x:x v="11"/>
    <x:x v="11"/>
    <x:x v="0"/>
    <x:n v="1090"/>
    <x:n v="2180"/>
    <x:n v="580"/>
    <x:x v="7"/>
    <x:s v="İstanbul"/>
  </x:r>
  <x:r>
    <x:m/>
    <x:x v="11"/>
    <x:x v="4"/>
    <x:x v="4"/>
    <x:n v="2180"/>
    <x:n v="8720"/>
    <x:n v="2720"/>
    <x:x v="7"/>
    <x:s v="Bursa"/>
  </x:r>
  <x:r>
    <x:m/>
    <x:x v="2"/>
    <x:x v="21"/>
    <x:x v="0"/>
    <x:n v="5300"/>
    <x:n v="10600"/>
    <x:n v="2600"/>
    <x:x v="7"/>
    <x:s v="Şanlıurfa"/>
  </x:r>
  <x:r>
    <x:m/>
    <x:x v="11"/>
    <x:x v="21"/>
    <x:x v="3"/>
    <x:n v="5300"/>
    <x:n v="26500"/>
    <x:n v="6500"/>
    <x:x v="7"/>
    <x:s v="Gaziantep"/>
  </x:r>
  <x:r>
    <x:m/>
    <x:x v="5"/>
    <x:x v="6"/>
    <x:x v="4"/>
    <x:n v="7250"/>
    <x:n v="29000"/>
    <x:n v="9000"/>
    <x:x v="7"/>
    <x:s v="Ankara"/>
  </x:r>
  <x:r>
    <x:m/>
    <x:x v="5"/>
    <x:x v="19"/>
    <x:x v="1"/>
    <x:n v="1200"/>
    <x:n v="3600"/>
    <x:n v="1200"/>
    <x:x v="7"/>
    <x:s v="Antalya"/>
  </x:r>
  <x:r>
    <x:m/>
    <x:x v="3"/>
    <x:x v="0"/>
    <x:x v="1"/>
    <x:n v="6000"/>
    <x:n v="18000"/>
    <x:n v="6000"/>
    <x:x v="7"/>
    <x:s v="İzmir"/>
  </x:r>
  <x:r>
    <x:m/>
    <x:x v="2"/>
    <x:x v="2"/>
    <x:x v="4"/>
    <x:n v="8450"/>
    <x:n v="33800"/>
    <x:n v="9800"/>
    <x:x v="7"/>
    <x:s v="Antalya"/>
  </x:r>
  <x:r>
    <x:m/>
    <x:x v="6"/>
    <x:x v="15"/>
    <x:x v="4"/>
    <x:n v="4200"/>
    <x:n v="16800"/>
    <x:n v="4800"/>
    <x:x v="7"/>
    <x:s v="Konya"/>
  </x:r>
  <x:r>
    <x:m/>
    <x:x v="6"/>
    <x:x v="13"/>
    <x:x v="3"/>
    <x:n v="10590"/>
    <x:n v="52950"/>
    <x:n v="22950"/>
    <x:x v="7"/>
    <x:s v="Hatay"/>
  </x:r>
  <x:r>
    <x:m/>
    <x:x v="5"/>
    <x:x v="19"/>
    <x:x v="1"/>
    <x:n v="1200"/>
    <x:n v="3600"/>
    <x:n v="1200"/>
    <x:x v="7"/>
    <x:s v="Bursa"/>
  </x:r>
  <x:r>
    <x:m/>
    <x:x v="10"/>
    <x:x v="7"/>
    <x:x v="4"/>
    <x:n v="1100"/>
    <x:n v="4400"/>
    <x:n v="1200"/>
    <x:x v="7"/>
    <x:s v="İzmir"/>
  </x:r>
  <x:r>
    <x:m/>
    <x:x v="9"/>
    <x:x v="23"/>
    <x:x v="1"/>
    <x:n v="3700"/>
    <x:n v="11100"/>
    <x:n v="2100"/>
    <x:x v="7"/>
    <x:s v="Ankara"/>
  </x:r>
  <x:r>
    <x:m/>
    <x:x v="1"/>
    <x:x v="23"/>
    <x:x v="1"/>
    <x:n v="3700"/>
    <x:n v="11100"/>
    <x:n v="2100"/>
    <x:x v="7"/>
    <x:s v="Antalya"/>
  </x:r>
  <x:r>
    <x:m/>
    <x:x v="6"/>
    <x:x v="7"/>
    <x:x v="3"/>
    <x:n v="1100"/>
    <x:n v="5500"/>
    <x:n v="1500"/>
    <x:x v="7"/>
    <x:s v="Hatay"/>
  </x:r>
  <x:r>
    <x:m/>
    <x:x v="5"/>
    <x:x v="23"/>
    <x:x v="1"/>
    <x:n v="3700"/>
    <x:n v="11100"/>
    <x:n v="2100"/>
    <x:x v="7"/>
    <x:s v="Kocaeli"/>
  </x:r>
  <x:r>
    <x:m/>
    <x:x v="10"/>
    <x:x v="14"/>
    <x:x v="4"/>
    <x:n v="1490"/>
    <x:n v="5960"/>
    <x:n v="2760"/>
    <x:x v="7"/>
    <x:s v="Kocaeli"/>
  </x:r>
  <x:r>
    <x:m/>
    <x:x v="9"/>
    <x:x v="22"/>
    <x:x v="4"/>
    <x:n v="1500"/>
    <x:n v="6000"/>
    <x:n v="2800"/>
    <x:x v="7"/>
    <x:s v="Adana"/>
  </x:r>
  <x:r>
    <x:m/>
    <x:x v="8"/>
    <x:x v="11"/>
    <x:x v="1"/>
    <x:n v="1090"/>
    <x:n v="3270"/>
    <x:n v="870"/>
    <x:x v="7"/>
    <x:s v="İstanbul"/>
  </x:r>
  <x:r>
    <x:m/>
    <x:x v="10"/>
    <x:x v="10"/>
    <x:x v="1"/>
    <x:n v="1800"/>
    <x:n v="5400"/>
    <x:n v="3000"/>
    <x:x v="7"/>
    <x:s v="İzmir"/>
  </x:r>
  <x:r>
    <x:m/>
    <x:x v="7"/>
    <x:x v="20"/>
    <x:x v="0"/>
    <x:n v="7530"/>
    <x:n v="15060"/>
    <x:n v="3060"/>
    <x:x v="7"/>
    <x:s v="İzmir"/>
  </x:r>
  <x:r>
    <x:m/>
    <x:x v="6"/>
    <x:x v="7"/>
    <x:x v="3"/>
    <x:n v="1100"/>
    <x:n v="5500"/>
    <x:n v="1500"/>
    <x:x v="7"/>
    <x:s v="Adana"/>
  </x:r>
  <x:r>
    <x:m/>
    <x:x v="9"/>
    <x:x v="3"/>
    <x:x v="3"/>
    <x:n v="1350"/>
    <x:n v="6750"/>
    <x:n v="2750"/>
    <x:x v="7"/>
    <x:s v="Hatay"/>
  </x:r>
  <x:r>
    <x:m/>
    <x:x v="8"/>
    <x:x v="3"/>
    <x:x v="4"/>
    <x:n v="1350"/>
    <x:n v="5400"/>
    <x:n v="2200"/>
    <x:x v="7"/>
    <x:s v="Bursa"/>
  </x:r>
  <x:r>
    <x:m/>
    <x:x v="7"/>
    <x:x v="11"/>
    <x:x v="3"/>
    <x:n v="1090"/>
    <x:n v="5450"/>
    <x:n v="1450"/>
    <x:x v="7"/>
    <x:s v="Bursa"/>
  </x:r>
  <x:r>
    <x:m/>
    <x:x v="7"/>
    <x:x v="15"/>
    <x:x v="0"/>
    <x:n v="4200"/>
    <x:n v="8400"/>
    <x:n v="2400"/>
    <x:x v="7"/>
    <x:s v="Şanlıurfa"/>
  </x:r>
  <x:r>
    <x:m/>
    <x:x v="9"/>
    <x:x v="10"/>
    <x:x v="1"/>
    <x:n v="1800"/>
    <x:n v="5400"/>
    <x:n v="3000"/>
    <x:x v="7"/>
    <x:s v="Gaziantep"/>
  </x:r>
  <x:r>
    <x:m/>
    <x:x v="11"/>
    <x:x v="11"/>
    <x:x v="1"/>
    <x:n v="1090"/>
    <x:n v="3270"/>
    <x:n v="870"/>
    <x:x v="7"/>
    <x:s v="Mersin"/>
  </x:r>
  <x:r>
    <x:m/>
    <x:x v="0"/>
    <x:x v="5"/>
    <x:x v="1"/>
    <x:n v="7600"/>
    <x:n v="22800"/>
    <x:n v="4800"/>
    <x:x v="7"/>
    <x:s v="Mersin"/>
  </x:r>
  <x:r>
    <x:m/>
    <x:x v="8"/>
    <x:x v="5"/>
    <x:x v="0"/>
    <x:n v="7600"/>
    <x:n v="15200"/>
    <x:n v="3200"/>
    <x:x v="7"/>
    <x:s v="İstanbul"/>
  </x:r>
  <x:r>
    <x:m/>
    <x:x v="2"/>
    <x:x v="23"/>
    <x:x v="0"/>
    <x:n v="3700"/>
    <x:n v="7400"/>
    <x:n v="1400"/>
    <x:x v="7"/>
    <x:s v="İzmir"/>
  </x:r>
  <x:r>
    <x:m/>
    <x:x v="4"/>
    <x:x v="6"/>
    <x:x v="3"/>
    <x:n v="7250"/>
    <x:n v="36250"/>
    <x:n v="11250"/>
    <x:x v="7"/>
    <x:s v="Diyarbakır"/>
  </x:r>
  <x:r>
    <x:m/>
    <x:x v="1"/>
    <x:x v="5"/>
    <x:x v="0"/>
    <x:n v="7600"/>
    <x:n v="15200"/>
    <x:n v="3200"/>
    <x:x v="7"/>
    <x:s v="Ankara"/>
  </x:r>
  <x:r>
    <x:m/>
    <x:x v="10"/>
    <x:x v="15"/>
    <x:x v="1"/>
    <x:n v="4200"/>
    <x:n v="12600"/>
    <x:n v="3600"/>
    <x:x v="7"/>
    <x:s v="Adana"/>
  </x:r>
  <x:r>
    <x:m/>
    <x:x v="6"/>
    <x:x v="18"/>
    <x:x v="0"/>
    <x:n v="1250"/>
    <x:n v="2500"/>
    <x:n v="900"/>
    <x:x v="7"/>
    <x:s v="Şanlıurfa"/>
  </x:r>
  <x:r>
    <x:m/>
    <x:x v="8"/>
    <x:x v="11"/>
    <x:x v="1"/>
    <x:n v="1090"/>
    <x:n v="3270"/>
    <x:n v="870"/>
    <x:x v="7"/>
    <x:s v="Bursa"/>
  </x:r>
  <x:r>
    <x:m/>
    <x:x v="3"/>
    <x:x v="4"/>
    <x:x v="1"/>
    <x:n v="2180"/>
    <x:n v="6540"/>
    <x:n v="2040"/>
    <x:x v="7"/>
    <x:s v="İzmir"/>
  </x:r>
  <x:r>
    <x:m/>
    <x:x v="11"/>
    <x:x v="23"/>
    <x:x v="3"/>
    <x:n v="3700"/>
    <x:n v="18500"/>
    <x:n v="3500"/>
    <x:x v="7"/>
    <x:s v="Gaziantep"/>
  </x:r>
  <x:r>
    <x:m/>
    <x:x v="9"/>
    <x:x v="0"/>
    <x:x v="1"/>
    <x:n v="6000"/>
    <x:n v="18000"/>
    <x:n v="6000"/>
    <x:x v="7"/>
    <x:s v="İzmir"/>
  </x:r>
  <x:r>
    <x:m/>
    <x:x v="10"/>
    <x:x v="18"/>
    <x:x v="0"/>
    <x:n v="1250"/>
    <x:n v="2500"/>
    <x:n v="900"/>
    <x:x v="7"/>
    <x:s v="Hatay"/>
  </x:r>
  <x:r>
    <x:m/>
    <x:x v="11"/>
    <x:x v="5"/>
    <x:x v="4"/>
    <x:n v="7600"/>
    <x:n v="30400"/>
    <x:n v="6400"/>
    <x:x v="7"/>
    <x:s v="Diyarbakır"/>
  </x:r>
  <x:r>
    <x:m/>
    <x:x v="0"/>
    <x:x v="1"/>
    <x:x v="1"/>
    <x:n v="1400"/>
    <x:n v="4200"/>
    <x:n v="1800"/>
    <x:x v="7"/>
    <x:s v="Antalya"/>
  </x:r>
  <x:r>
    <x:m/>
    <x:x v="4"/>
    <x:x v="4"/>
    <x:x v="1"/>
    <x:n v="2180"/>
    <x:n v="6540"/>
    <x:n v="2040"/>
    <x:x v="7"/>
    <x:s v="İzmir"/>
  </x:r>
  <x:r>
    <x:m/>
    <x:x v="0"/>
    <x:x v="10"/>
    <x:x v="4"/>
    <x:n v="1800"/>
    <x:n v="7200"/>
    <x:n v="4000"/>
    <x:x v="7"/>
    <x:s v="Hatay"/>
  </x:r>
  <x:r>
    <x:m/>
    <x:x v="2"/>
    <x:x v="22"/>
    <x:x v="3"/>
    <x:n v="1500"/>
    <x:n v="7500"/>
    <x:n v="3500"/>
    <x:x v="7"/>
    <x:s v="Adana"/>
  </x:r>
  <x:r>
    <x:m/>
    <x:x v="6"/>
    <x:x v="2"/>
    <x:x v="0"/>
    <x:n v="8450"/>
    <x:n v="16900"/>
    <x:n v="4900"/>
    <x:x v="7"/>
    <x:s v="İstanbul"/>
  </x:r>
  <x:r>
    <x:m/>
    <x:x v="9"/>
    <x:x v="22"/>
    <x:x v="3"/>
    <x:n v="1500"/>
    <x:n v="7500"/>
    <x:n v="3500"/>
    <x:x v="7"/>
    <x:s v="Bursa"/>
  </x:r>
  <x:r>
    <x:m/>
    <x:x v="5"/>
    <x:x v="0"/>
    <x:x v="1"/>
    <x:n v="6000"/>
    <x:n v="18000"/>
    <x:n v="6000"/>
    <x:x v="7"/>
    <x:s v="Diyarbakır"/>
  </x:r>
  <x:r>
    <x:m/>
    <x:x v="11"/>
    <x:x v="19"/>
    <x:x v="4"/>
    <x:n v="1200"/>
    <x:n v="4800"/>
    <x:n v="1600"/>
    <x:x v="7"/>
    <x:s v="Antalya"/>
  </x:r>
  <x:r>
    <x:m/>
    <x:x v="0"/>
    <x:x v="15"/>
    <x:x v="1"/>
    <x:n v="4200"/>
    <x:n v="12600"/>
    <x:n v="3600"/>
    <x:x v="7"/>
    <x:s v="Hatay"/>
  </x:r>
  <x:r>
    <x:m/>
    <x:x v="10"/>
    <x:x v="5"/>
    <x:x v="4"/>
    <x:n v="7600"/>
    <x:n v="30400"/>
    <x:n v="6400"/>
    <x:x v="7"/>
    <x:s v="Hatay"/>
  </x:r>
  <x:r>
    <x:m/>
    <x:x v="5"/>
    <x:x v="6"/>
    <x:x v="0"/>
    <x:n v="7250"/>
    <x:n v="14500"/>
    <x:n v="4500"/>
    <x:x v="7"/>
    <x:s v="Gaziantep"/>
  </x:r>
  <x:r>
    <x:m/>
    <x:x v="1"/>
    <x:x v="20"/>
    <x:x v="0"/>
    <x:n v="7530"/>
    <x:n v="15060"/>
    <x:n v="3060"/>
    <x:x v="7"/>
    <x:s v="Gaziantep"/>
  </x:r>
  <x:r>
    <x:m/>
    <x:x v="2"/>
    <x:x v="6"/>
    <x:x v="1"/>
    <x:n v="7250"/>
    <x:n v="21750"/>
    <x:n v="6750"/>
    <x:x v="7"/>
    <x:s v="Mersin"/>
  </x:r>
  <x:r>
    <x:m/>
    <x:x v="1"/>
    <x:x v="0"/>
    <x:x v="4"/>
    <x:n v="6000"/>
    <x:n v="24000"/>
    <x:n v="8000"/>
    <x:x v="7"/>
    <x:s v="Ankara"/>
  </x:r>
  <x:r>
    <x:m/>
    <x:x v="5"/>
    <x:x v="19"/>
    <x:x v="0"/>
    <x:n v="1200"/>
    <x:n v="2400"/>
    <x:n v="800"/>
    <x:x v="7"/>
    <x:s v="İstanbul"/>
  </x:r>
  <x:r>
    <x:m/>
    <x:x v="11"/>
    <x:x v="21"/>
    <x:x v="0"/>
    <x:n v="5300"/>
    <x:n v="10600"/>
    <x:n v="2600"/>
    <x:x v="7"/>
    <x:s v="İzmir"/>
  </x:r>
  <x:r>
    <x:m/>
    <x:x v="8"/>
    <x:x v="2"/>
    <x:x v="4"/>
    <x:n v="8450"/>
    <x:n v="33800"/>
    <x:n v="9800"/>
    <x:x v="7"/>
    <x:s v="Kocaeli"/>
  </x:r>
  <x:r>
    <x:m/>
    <x:x v="4"/>
    <x:x v="3"/>
    <x:x v="3"/>
    <x:n v="1350"/>
    <x:n v="6750"/>
    <x:n v="2750"/>
    <x:x v="7"/>
    <x:s v="İzmir"/>
  </x:r>
  <x:r>
    <x:m/>
    <x:x v="6"/>
    <x:x v="11"/>
    <x:x v="0"/>
    <x:n v="1090"/>
    <x:n v="2180"/>
    <x:n v="580"/>
    <x:x v="7"/>
    <x:s v="Antalya"/>
  </x:r>
  <x:r>
    <x:m/>
    <x:x v="4"/>
    <x:x v="4"/>
    <x:x v="4"/>
    <x:n v="2180"/>
    <x:n v="8720"/>
    <x:n v="2720"/>
    <x:x v="7"/>
    <x:s v="Diyarbakır"/>
  </x:r>
  <x:r>
    <x:m/>
    <x:x v="0"/>
    <x:x v="0"/>
    <x:x v="1"/>
    <x:n v="6000"/>
    <x:n v="18000"/>
    <x:n v="6000"/>
    <x:x v="7"/>
    <x:s v="Antalya"/>
  </x:r>
  <x:r>
    <x:m/>
    <x:x v="1"/>
    <x:x v="1"/>
    <x:x v="0"/>
    <x:n v="1400"/>
    <x:n v="2800"/>
    <x:n v="1200"/>
    <x:x v="7"/>
    <x:s v="İstanbul"/>
  </x:r>
  <x:r>
    <x:m/>
    <x:x v="2"/>
    <x:x v="2"/>
    <x:x v="3"/>
    <x:n v="8450"/>
    <x:n v="42250"/>
    <x:n v="12250"/>
    <x:x v="7"/>
    <x:s v="Diyarbakır"/>
  </x:r>
  <x:r>
    <x:m/>
    <x:x v="3"/>
    <x:x v="3"/>
    <x:x v="3"/>
    <x:n v="1350"/>
    <x:n v="6750"/>
    <x:n v="2750"/>
    <x:x v="7"/>
    <x:s v="Hatay"/>
  </x:r>
  <x:r>
    <x:m/>
    <x:x v="0"/>
    <x:x v="4"/>
    <x:x v="1"/>
    <x:n v="2180"/>
    <x:n v="6540"/>
    <x:n v="2040"/>
    <x:x v="7"/>
    <x:s v="Konya"/>
  </x:r>
  <x:r>
    <x:m/>
    <x:x v="4"/>
    <x:x v="5"/>
    <x:x v="0"/>
    <x:n v="7600"/>
    <x:n v="15200"/>
    <x:n v="3200"/>
    <x:x v="7"/>
    <x:s v="Ankara"/>
  </x:r>
  <x:r>
    <x:m/>
    <x:x v="1"/>
    <x:x v="6"/>
    <x:x v="1"/>
    <x:n v="7250"/>
    <x:n v="21750"/>
    <x:n v="6750"/>
    <x:x v="7"/>
    <x:s v="Hatay"/>
  </x:r>
  <x:r>
    <x:m/>
    <x:x v="3"/>
    <x:x v="7"/>
    <x:x v="1"/>
    <x:n v="1100"/>
    <x:n v="3300"/>
    <x:n v="900"/>
    <x:x v="7"/>
    <x:s v="Gaziantep"/>
  </x:r>
  <x:r>
    <x:m/>
    <x:x v="5"/>
    <x:x v="0"/>
    <x:x v="1"/>
    <x:n v="6000"/>
    <x:n v="18000"/>
    <x:n v="6000"/>
    <x:x v="7"/>
    <x:s v="Bursa"/>
  </x:r>
  <x:r>
    <x:m/>
    <x:x v="0"/>
    <x:x v="9"/>
    <x:x v="1"/>
    <x:n v="1200"/>
    <x:n v="3600"/>
    <x:n v="1200"/>
    <x:x v="7"/>
    <x:s v="Adana"/>
  </x:r>
  <x:r>
    <x:m/>
    <x:x v="6"/>
    <x:x v="10"/>
    <x:x v="0"/>
    <x:n v="1800"/>
    <x:n v="3600"/>
    <x:n v="2000"/>
    <x:x v="7"/>
    <x:s v="Şanlıurfa"/>
  </x:r>
  <x:r>
    <x:m/>
    <x:x v="6"/>
    <x:x v="11"/>
    <x:x v="0"/>
    <x:n v="1090"/>
    <x:n v="2180"/>
    <x:n v="580"/>
    <x:x v="7"/>
    <x:s v="Ankara"/>
  </x:r>
  <x:r>
    <x:m/>
    <x:x v="5"/>
    <x:x v="4"/>
    <x:x v="1"/>
    <x:n v="2180"/>
    <x:n v="6540"/>
    <x:n v="2040"/>
    <x:x v="7"/>
    <x:s v="Bursa"/>
  </x:r>
  <x:r>
    <x:m/>
    <x:x v="7"/>
    <x:x v="10"/>
    <x:x v="0"/>
    <x:n v="1800"/>
    <x:n v="3600"/>
    <x:n v="2000"/>
    <x:x v="7"/>
    <x:s v="Antalya"/>
  </x:r>
  <x:r>
    <x:m/>
    <x:x v="4"/>
    <x:x v="12"/>
    <x:x v="0"/>
    <x:n v="8000"/>
    <x:n v="16000"/>
    <x:n v="4000"/>
    <x:x v="7"/>
    <x:s v="Konya"/>
  </x:r>
  <x:r>
    <x:m/>
    <x:x v="5"/>
    <x:x v="1"/>
    <x:x v="3"/>
    <x:n v="1400"/>
    <x:n v="7000"/>
    <x:n v="3000"/>
    <x:x v="7"/>
    <x:s v="Ankara"/>
  </x:r>
  <x:r>
    <x:m/>
    <x:x v="8"/>
    <x:x v="13"/>
    <x:x v="1"/>
    <x:n v="10590"/>
    <x:n v="31770"/>
    <x:n v="13770"/>
    <x:x v="7"/>
    <x:s v="Gaziantep"/>
  </x:r>
  <x:r>
    <x:m/>
    <x:x v="9"/>
    <x:x v="3"/>
    <x:x v="1"/>
    <x:n v="1350"/>
    <x:n v="4050"/>
    <x:n v="1650"/>
    <x:x v="7"/>
    <x:s v="Diyarbakır"/>
  </x:r>
  <x:r>
    <x:m/>
    <x:x v="6"/>
    <x:x v="1"/>
    <x:x v="1"/>
    <x:n v="1400"/>
    <x:n v="4200"/>
    <x:n v="1800"/>
    <x:x v="7"/>
    <x:s v="İstanbul"/>
  </x:r>
  <x:r>
    <x:m/>
    <x:x v="3"/>
    <x:x v="0"/>
    <x:x v="0"/>
    <x:n v="6000"/>
    <x:n v="12000"/>
    <x:n v="4000"/>
    <x:x v="7"/>
    <x:s v="Hatay"/>
  </x:r>
  <x:r>
    <x:m/>
    <x:x v="8"/>
    <x:x v="7"/>
    <x:x v="3"/>
    <x:n v="1100"/>
    <x:n v="5500"/>
    <x:n v="1500"/>
    <x:x v="7"/>
    <x:s v="Ankara"/>
  </x:r>
  <x:r>
    <x:m/>
    <x:x v="2"/>
    <x:x v="0"/>
    <x:x v="3"/>
    <x:n v="6000"/>
    <x:n v="30000"/>
    <x:n v="10000"/>
    <x:x v="7"/>
    <x:s v="Adana"/>
  </x:r>
  <x:r>
    <x:m/>
    <x:x v="9"/>
    <x:x v="14"/>
    <x:x v="3"/>
    <x:n v="1490"/>
    <x:n v="7450"/>
    <x:n v="3450"/>
    <x:x v="7"/>
    <x:s v="Kocaeli"/>
  </x:r>
  <x:r>
    <x:m/>
    <x:x v="8"/>
    <x:x v="13"/>
    <x:x v="1"/>
    <x:n v="10590"/>
    <x:n v="31770"/>
    <x:n v="13770"/>
    <x:x v="7"/>
    <x:s v="Ankara"/>
  </x:r>
  <x:r>
    <x:m/>
    <x:x v="2"/>
    <x:x v="12"/>
    <x:x v="4"/>
    <x:n v="8000"/>
    <x:n v="32000"/>
    <x:n v="8000"/>
    <x:x v="7"/>
    <x:s v="Hatay"/>
  </x:r>
  <x:r>
    <x:m/>
    <x:x v="6"/>
    <x:x v="7"/>
    <x:x v="0"/>
    <x:n v="1100"/>
    <x:n v="2200"/>
    <x:n v="600"/>
    <x:x v="7"/>
    <x:s v="Şanlıurfa"/>
  </x:r>
  <x:r>
    <x:m/>
    <x:x v="9"/>
    <x:x v="9"/>
    <x:x v="3"/>
    <x:n v="1200"/>
    <x:n v="6000"/>
    <x:n v="2000"/>
    <x:x v="7"/>
    <x:s v="Mersin"/>
  </x:r>
  <x:r>
    <x:m/>
    <x:x v="4"/>
    <x:x v="15"/>
    <x:x v="1"/>
    <x:n v="4200"/>
    <x:n v="12600"/>
    <x:n v="3600"/>
    <x:x v="7"/>
    <x:s v="Mersin"/>
  </x:r>
  <x:r>
    <x:m/>
    <x:x v="1"/>
    <x:x v="16"/>
    <x:x v="3"/>
    <x:n v="5775"/>
    <x:n v="28875"/>
    <x:n v="8875"/>
    <x:x v="7"/>
    <x:s v="Kocaeli"/>
  </x:r>
  <x:r>
    <x:m/>
    <x:x v="10"/>
    <x:x v="5"/>
    <x:x v="0"/>
    <x:n v="7600"/>
    <x:n v="15200"/>
    <x:n v="3200"/>
    <x:x v="7"/>
    <x:s v="Konya"/>
  </x:r>
  <x:r>
    <x:m/>
    <x:x v="1"/>
    <x:x v="6"/>
    <x:x v="4"/>
    <x:n v="7250"/>
    <x:n v="29000"/>
    <x:n v="9000"/>
    <x:x v="7"/>
    <x:s v="Mersin"/>
  </x:r>
  <x:r>
    <x:m/>
    <x:x v="0"/>
    <x:x v="6"/>
    <x:x v="4"/>
    <x:n v="7250"/>
    <x:n v="29000"/>
    <x:n v="9000"/>
    <x:x v="7"/>
    <x:s v="Adana"/>
  </x:r>
  <x:r>
    <x:m/>
    <x:x v="8"/>
    <x:x v="6"/>
    <x:x v="0"/>
    <x:n v="7250"/>
    <x:n v="14500"/>
    <x:n v="4500"/>
    <x:x v="7"/>
    <x:s v="İzmir"/>
  </x:r>
  <x:r>
    <x:m/>
    <x:x v="5"/>
    <x:x v="3"/>
    <x:x v="3"/>
    <x:n v="1350"/>
    <x:n v="6750"/>
    <x:n v="2750"/>
    <x:x v="7"/>
    <x:s v="Kocaeli"/>
  </x:r>
  <x:r>
    <x:m/>
    <x:x v="1"/>
    <x:x v="6"/>
    <x:x v="0"/>
    <x:n v="7250"/>
    <x:n v="14500"/>
    <x:n v="4500"/>
    <x:x v="7"/>
    <x:s v="Hatay"/>
  </x:r>
  <x:r>
    <x:m/>
    <x:x v="6"/>
    <x:x v="5"/>
    <x:x v="0"/>
    <x:n v="7600"/>
    <x:n v="15200"/>
    <x:n v="3200"/>
    <x:x v="7"/>
    <x:s v="Ankara"/>
  </x:r>
  <x:r>
    <x:m/>
    <x:x v="11"/>
    <x:x v="5"/>
    <x:x v="4"/>
    <x:n v="7600"/>
    <x:n v="30400"/>
    <x:n v="6400"/>
    <x:x v="7"/>
    <x:s v="Şanlıurfa"/>
  </x:r>
  <x:r>
    <x:m/>
    <x:x v="1"/>
    <x:x v="14"/>
    <x:x v="1"/>
    <x:n v="1490"/>
    <x:n v="4470"/>
    <x:n v="2070"/>
    <x:x v="7"/>
    <x:s v="Diyarbakır"/>
  </x:r>
  <x:r>
    <x:m/>
    <x:x v="5"/>
    <x:x v="17"/>
    <x:x v="4"/>
    <x:n v="2900"/>
    <x:n v="11600"/>
    <x:n v="3600"/>
    <x:x v="7"/>
    <x:s v="Antalya"/>
  </x:r>
  <x:r>
    <x:m/>
    <x:x v="9"/>
    <x:x v="14"/>
    <x:x v="0"/>
    <x:n v="1490"/>
    <x:n v="2980"/>
    <x:n v="1380"/>
    <x:x v="7"/>
    <x:s v="Bursa"/>
  </x:r>
  <x:r>
    <x:m/>
    <x:x v="9"/>
    <x:x v="11"/>
    <x:x v="4"/>
    <x:n v="1090"/>
    <x:n v="4360"/>
    <x:n v="1160"/>
    <x:x v="7"/>
    <x:s v="Antalya"/>
  </x:r>
  <x:r>
    <x:m/>
    <x:x v="5"/>
    <x:x v="9"/>
    <x:x v="4"/>
    <x:n v="1200"/>
    <x:n v="4800"/>
    <x:n v="1600"/>
    <x:x v="7"/>
    <x:s v="Adana"/>
  </x:r>
  <x:r>
    <x:m/>
    <x:x v="8"/>
    <x:x v="13"/>
    <x:x v="1"/>
    <x:n v="10590"/>
    <x:n v="31770"/>
    <x:n v="13770"/>
    <x:x v="7"/>
    <x:s v="Hatay"/>
  </x:r>
  <x:r>
    <x:m/>
    <x:x v="6"/>
    <x:x v="15"/>
    <x:x v="0"/>
    <x:n v="4200"/>
    <x:n v="8400"/>
    <x:n v="2400"/>
    <x:x v="7"/>
    <x:s v="Antalya"/>
  </x:r>
  <x:r>
    <x:m/>
    <x:x v="3"/>
    <x:x v="15"/>
    <x:x v="3"/>
    <x:n v="4200"/>
    <x:n v="21000"/>
    <x:n v="6000"/>
    <x:x v="7"/>
    <x:s v="Diyarbakır"/>
  </x:r>
  <x:r>
    <x:m/>
    <x:x v="7"/>
    <x:x v="13"/>
    <x:x v="0"/>
    <x:n v="10590"/>
    <x:n v="21180"/>
    <x:n v="9180"/>
    <x:x v="7"/>
    <x:s v="Diyarbakır"/>
  </x:r>
  <x:r>
    <x:m/>
    <x:x v="11"/>
    <x:x v="18"/>
    <x:x v="1"/>
    <x:n v="1250"/>
    <x:n v="3750"/>
    <x:n v="1350"/>
    <x:x v="7"/>
    <x:s v="Mersin"/>
  </x:r>
  <x:r>
    <x:m/>
    <x:x v="0"/>
    <x:x v="14"/>
    <x:x v="3"/>
    <x:n v="1490"/>
    <x:n v="7450"/>
    <x:n v="3450"/>
    <x:x v="7"/>
    <x:s v="Diyarbakır"/>
  </x:r>
  <x:r>
    <x:m/>
    <x:x v="6"/>
    <x:x v="9"/>
    <x:x v="1"/>
    <x:n v="1200"/>
    <x:n v="3600"/>
    <x:n v="1200"/>
    <x:x v="7"/>
    <x:s v="İzmir"/>
  </x:r>
  <x:r>
    <x:m/>
    <x:x v="2"/>
    <x:x v="4"/>
    <x:x v="4"/>
    <x:n v="2180"/>
    <x:n v="8720"/>
    <x:n v="2720"/>
    <x:x v="7"/>
    <x:s v="Konya"/>
  </x:r>
  <x:r>
    <x:m/>
    <x:x v="9"/>
    <x:x v="19"/>
    <x:x v="3"/>
    <x:n v="1200"/>
    <x:n v="6000"/>
    <x:n v="2000"/>
    <x:x v="7"/>
    <x:s v="Ankara"/>
  </x:r>
  <x:r>
    <x:m/>
    <x:x v="0"/>
    <x:x v="10"/>
    <x:x v="0"/>
    <x:n v="1800"/>
    <x:n v="3600"/>
    <x:n v="2000"/>
    <x:x v="7"/>
    <x:s v="Antalya"/>
  </x:r>
  <x:r>
    <x:m/>
    <x:x v="2"/>
    <x:x v="5"/>
    <x:x v="0"/>
    <x:n v="7600"/>
    <x:n v="15200"/>
    <x:n v="3200"/>
    <x:x v="7"/>
    <x:s v="Hatay"/>
  </x:r>
  <x:r>
    <x:m/>
    <x:x v="7"/>
    <x:x v="20"/>
    <x:x v="0"/>
    <x:n v="7530"/>
    <x:n v="15060"/>
    <x:n v="3060"/>
    <x:x v="7"/>
    <x:s v="İzmir"/>
  </x:r>
  <x:r>
    <x:m/>
    <x:x v="11"/>
    <x:x v="14"/>
    <x:x v="3"/>
    <x:n v="1490"/>
    <x:n v="7450"/>
    <x:n v="3450"/>
    <x:x v="7"/>
    <x:s v="Diyarbakır"/>
  </x:r>
  <x:r>
    <x:m/>
    <x:x v="0"/>
    <x:x v="21"/>
    <x:x v="1"/>
    <x:n v="5300"/>
    <x:n v="15900"/>
    <x:n v="3900"/>
    <x:x v="7"/>
    <x:s v="Antalya"/>
  </x:r>
  <x:r>
    <x:m/>
    <x:x v="4"/>
    <x:x v="9"/>
    <x:x v="3"/>
    <x:n v="1200"/>
    <x:n v="6000"/>
    <x:n v="2000"/>
    <x:x v="7"/>
    <x:s v="Hatay"/>
  </x:r>
  <x:r>
    <x:m/>
    <x:x v="9"/>
    <x:x v="11"/>
    <x:x v="4"/>
    <x:n v="1090"/>
    <x:n v="4360"/>
    <x:n v="1160"/>
    <x:x v="7"/>
    <x:s v="Ankara"/>
  </x:r>
  <x:r>
    <x:m/>
    <x:x v="4"/>
    <x:x v="6"/>
    <x:x v="1"/>
    <x:n v="7250"/>
    <x:n v="21750"/>
    <x:n v="6750"/>
    <x:x v="7"/>
    <x:s v="Gaziantep"/>
  </x:r>
  <x:r>
    <x:m/>
    <x:x v="10"/>
    <x:x v="1"/>
    <x:x v="3"/>
    <x:n v="1400"/>
    <x:n v="7000"/>
    <x:n v="3000"/>
    <x:x v="7"/>
    <x:s v="İstanbul"/>
  </x:r>
  <x:r>
    <x:m/>
    <x:x v="2"/>
    <x:x v="22"/>
    <x:x v="4"/>
    <x:n v="1500"/>
    <x:n v="6000"/>
    <x:n v="2800"/>
    <x:x v="7"/>
    <x:s v="Mersin"/>
  </x:r>
  <x:r>
    <x:m/>
    <x:x v="7"/>
    <x:x v="3"/>
    <x:x v="4"/>
    <x:n v="1350"/>
    <x:n v="5400"/>
    <x:n v="2200"/>
    <x:x v="7"/>
    <x:s v="Gaziantep"/>
  </x:r>
  <x:r>
    <x:m/>
    <x:x v="7"/>
    <x:x v="9"/>
    <x:x v="3"/>
    <x:n v="1200"/>
    <x:n v="6000"/>
    <x:n v="2000"/>
    <x:x v="7"/>
    <x:s v="Hatay"/>
  </x:r>
  <x:r>
    <x:m/>
    <x:x v="1"/>
    <x:x v="20"/>
    <x:x v="3"/>
    <x:n v="7530"/>
    <x:n v="37650"/>
    <x:n v="7650"/>
    <x:x v="7"/>
    <x:s v="Adana"/>
  </x:r>
  <x:r>
    <x:m/>
    <x:x v="10"/>
    <x:x v="9"/>
    <x:x v="1"/>
    <x:n v="1200"/>
    <x:n v="3600"/>
    <x:n v="1200"/>
    <x:x v="7"/>
    <x:s v="Adana"/>
  </x:r>
  <x:r>
    <x:m/>
    <x:x v="8"/>
    <x:x v="10"/>
    <x:x v="1"/>
    <x:n v="1800"/>
    <x:n v="5400"/>
    <x:n v="3000"/>
    <x:x v="7"/>
    <x:s v="İzmir"/>
  </x:r>
  <x:r>
    <x:m/>
    <x:x v="0"/>
    <x:x v="6"/>
    <x:x v="0"/>
    <x:n v="7250"/>
    <x:n v="14500"/>
    <x:n v="4500"/>
    <x:x v="8"/>
    <x:s v="Antalya"/>
  </x:r>
  <x:r>
    <x:m/>
    <x:x v="9"/>
    <x:x v="14"/>
    <x:x v="0"/>
    <x:n v="1490"/>
    <x:n v="2980"/>
    <x:n v="1380"/>
    <x:x v="8"/>
    <x:s v="Diyarbakır"/>
  </x:r>
  <x:r>
    <x:m/>
    <x:x v="9"/>
    <x:x v="19"/>
    <x:x v="1"/>
    <x:n v="1200"/>
    <x:n v="3600"/>
    <x:n v="1200"/>
    <x:x v="8"/>
    <x:s v="Mersin"/>
  </x:r>
  <x:r>
    <x:m/>
    <x:x v="1"/>
    <x:x v="12"/>
    <x:x v="4"/>
    <x:n v="8000"/>
    <x:n v="32000"/>
    <x:n v="8000"/>
    <x:x v="8"/>
    <x:s v="Ankara"/>
  </x:r>
  <x:r>
    <x:m/>
    <x:x v="6"/>
    <x:x v="1"/>
    <x:x v="0"/>
    <x:n v="1400"/>
    <x:n v="2800"/>
    <x:n v="1200"/>
    <x:x v="8"/>
    <x:s v="Gaziantep"/>
  </x:r>
  <x:r>
    <x:m/>
    <x:x v="5"/>
    <x:x v="3"/>
    <x:x v="0"/>
    <x:n v="1350"/>
    <x:n v="2700"/>
    <x:n v="1100"/>
    <x:x v="8"/>
    <x:s v="Ankara"/>
  </x:r>
  <x:r>
    <x:m/>
    <x:x v="8"/>
    <x:x v="19"/>
    <x:x v="3"/>
    <x:n v="1200"/>
    <x:n v="6000"/>
    <x:n v="2000"/>
    <x:x v="8"/>
    <x:s v="Ankara"/>
  </x:r>
  <x:r>
    <x:m/>
    <x:x v="6"/>
    <x:x v="21"/>
    <x:x v="3"/>
    <x:n v="5300"/>
    <x:n v="26500"/>
    <x:n v="6500"/>
    <x:x v="8"/>
    <x:s v="Diyarbakır"/>
  </x:r>
  <x:r>
    <x:m/>
    <x:x v="9"/>
    <x:x v="13"/>
    <x:x v="4"/>
    <x:n v="10590"/>
    <x:n v="42360"/>
    <x:n v="18360"/>
    <x:x v="8"/>
    <x:s v="Diyarbakır"/>
  </x:r>
  <x:r>
    <x:m/>
    <x:x v="4"/>
    <x:x v="18"/>
    <x:x v="3"/>
    <x:n v="1250"/>
    <x:n v="6250"/>
    <x:n v="2250"/>
    <x:x v="8"/>
    <x:s v="İstanbul"/>
  </x:r>
  <x:r>
    <x:m/>
    <x:x v="11"/>
    <x:x v="19"/>
    <x:x v="3"/>
    <x:n v="1200"/>
    <x:n v="6000"/>
    <x:n v="2000"/>
    <x:x v="8"/>
    <x:s v="Gaziantep"/>
  </x:r>
  <x:r>
    <x:m/>
    <x:x v="4"/>
    <x:x v="1"/>
    <x:x v="4"/>
    <x:n v="1400"/>
    <x:n v="5600"/>
    <x:n v="2400"/>
    <x:x v="8"/>
    <x:s v="Konya"/>
  </x:r>
  <x:r>
    <x:m/>
    <x:x v="11"/>
    <x:x v="20"/>
    <x:x v="4"/>
    <x:n v="7530"/>
    <x:n v="30120"/>
    <x:n v="6120"/>
    <x:x v="8"/>
    <x:s v="Antalya"/>
  </x:r>
  <x:r>
    <x:m/>
    <x:x v="6"/>
    <x:x v="5"/>
    <x:x v="3"/>
    <x:n v="7600"/>
    <x:n v="38000"/>
    <x:n v="8000"/>
    <x:x v="8"/>
    <x:s v="Antalya"/>
  </x:r>
  <x:r>
    <x:m/>
    <x:x v="11"/>
    <x:x v="22"/>
    <x:x v="3"/>
    <x:n v="1500"/>
    <x:n v="7500"/>
    <x:n v="3500"/>
    <x:x v="8"/>
    <x:s v="Konya"/>
  </x:r>
  <x:r>
    <x:m/>
    <x:x v="9"/>
    <x:x v="4"/>
    <x:x v="1"/>
    <x:n v="2180"/>
    <x:n v="6540"/>
    <x:n v="2040"/>
    <x:x v="8"/>
    <x:s v="Ankara"/>
  </x:r>
  <x:r>
    <x:m/>
    <x:x v="3"/>
    <x:x v="4"/>
    <x:x v="0"/>
    <x:n v="2180"/>
    <x:n v="4360"/>
    <x:n v="1360"/>
    <x:x v="8"/>
    <x:s v="Hatay"/>
  </x:r>
  <x:r>
    <x:m/>
    <x:x v="9"/>
    <x:x v="16"/>
    <x:x v="4"/>
    <x:n v="5775"/>
    <x:n v="23100"/>
    <x:n v="7100"/>
    <x:x v="8"/>
    <x:s v="İzmir"/>
  </x:r>
  <x:r>
    <x:m/>
    <x:x v="9"/>
    <x:x v="7"/>
    <x:x v="4"/>
    <x:n v="1100"/>
    <x:n v="4400"/>
    <x:n v="1200"/>
    <x:x v="8"/>
    <x:s v="Şanlıurfa"/>
  </x:r>
  <x:r>
    <x:m/>
    <x:x v="10"/>
    <x:x v="16"/>
    <x:x v="4"/>
    <x:n v="5775"/>
    <x:n v="23100"/>
    <x:n v="7100"/>
    <x:x v="8"/>
    <x:s v="İzmir"/>
  </x:r>
  <x:r>
    <x:m/>
    <x:x v="7"/>
    <x:x v="3"/>
    <x:x v="0"/>
    <x:n v="1350"/>
    <x:n v="2700"/>
    <x:n v="1100"/>
    <x:x v="8"/>
    <x:s v="Adana"/>
  </x:r>
  <x:r>
    <x:m/>
    <x:x v="0"/>
    <x:x v="5"/>
    <x:x v="3"/>
    <x:n v="7600"/>
    <x:n v="38000"/>
    <x:n v="8000"/>
    <x:x v="8"/>
    <x:s v="Antalya"/>
  </x:r>
  <x:r>
    <x:m/>
    <x:x v="2"/>
    <x:x v="6"/>
    <x:x v="0"/>
    <x:n v="7250"/>
    <x:n v="14500"/>
    <x:n v="4500"/>
    <x:x v="8"/>
    <x:s v="Mersin"/>
  </x:r>
  <x:r>
    <x:m/>
    <x:x v="11"/>
    <x:x v="14"/>
    <x:x v="4"/>
    <x:n v="1490"/>
    <x:n v="5960"/>
    <x:n v="2760"/>
    <x:x v="8"/>
    <x:s v="Şanlıurfa"/>
  </x:r>
  <x:r>
    <x:m/>
    <x:x v="3"/>
    <x:x v="14"/>
    <x:x v="4"/>
    <x:n v="1490"/>
    <x:n v="5960"/>
    <x:n v="2760"/>
    <x:x v="8"/>
    <x:s v="İstanbul"/>
  </x:r>
  <x:r>
    <x:m/>
    <x:x v="8"/>
    <x:x v="11"/>
    <x:x v="0"/>
    <x:n v="1090"/>
    <x:n v="2180"/>
    <x:n v="580"/>
    <x:x v="8"/>
    <x:s v="İzmir"/>
  </x:r>
  <x:r>
    <x:m/>
    <x:x v="8"/>
    <x:x v="9"/>
    <x:x v="1"/>
    <x:n v="1200"/>
    <x:n v="3600"/>
    <x:n v="1200"/>
    <x:x v="8"/>
    <x:s v="İzmir"/>
  </x:r>
  <x:r>
    <x:m/>
    <x:x v="11"/>
    <x:x v="11"/>
    <x:x v="3"/>
    <x:n v="1090"/>
    <x:n v="5450"/>
    <x:n v="1450"/>
    <x:x v="8"/>
    <x:s v="Bursa"/>
  </x:r>
  <x:r>
    <x:m/>
    <x:x v="11"/>
    <x:x v="4"/>
    <x:x v="0"/>
    <x:n v="2180"/>
    <x:n v="4360"/>
    <x:n v="1360"/>
    <x:x v="8"/>
    <x:s v="Antalya"/>
  </x:r>
  <x:r>
    <x:m/>
    <x:x v="2"/>
    <x:x v="21"/>
    <x:x v="0"/>
    <x:n v="5300"/>
    <x:n v="10600"/>
    <x:n v="2600"/>
    <x:x v="8"/>
    <x:s v="Kocaeli"/>
  </x:r>
  <x:r>
    <x:m/>
    <x:x v="11"/>
    <x:x v="21"/>
    <x:x v="1"/>
    <x:n v="5300"/>
    <x:n v="15900"/>
    <x:n v="3900"/>
    <x:x v="8"/>
    <x:s v="Antalya"/>
  </x:r>
  <x:r>
    <x:m/>
    <x:x v="5"/>
    <x:x v="6"/>
    <x:x v="4"/>
    <x:n v="7250"/>
    <x:n v="29000"/>
    <x:n v="9000"/>
    <x:x v="8"/>
    <x:s v="Mersin"/>
  </x:r>
  <x:r>
    <x:m/>
    <x:x v="5"/>
    <x:x v="19"/>
    <x:x v="1"/>
    <x:n v="1200"/>
    <x:n v="3600"/>
    <x:n v="1200"/>
    <x:x v="8"/>
    <x:s v="Diyarbakır"/>
  </x:r>
  <x:r>
    <x:m/>
    <x:x v="3"/>
    <x:x v="0"/>
    <x:x v="1"/>
    <x:n v="6000"/>
    <x:n v="18000"/>
    <x:n v="6000"/>
    <x:x v="8"/>
    <x:s v="Bursa"/>
  </x:r>
  <x:r>
    <x:m/>
    <x:x v="2"/>
    <x:x v="2"/>
    <x:x v="1"/>
    <x:n v="8450"/>
    <x:n v="25350"/>
    <x:n v="7350"/>
    <x:x v="8"/>
    <x:s v="Diyarbakır"/>
  </x:r>
  <x:r>
    <x:m/>
    <x:x v="6"/>
    <x:x v="15"/>
    <x:x v="4"/>
    <x:n v="4200"/>
    <x:n v="16800"/>
    <x:n v="4800"/>
    <x:x v="8"/>
    <x:s v="Gaziantep"/>
  </x:r>
  <x:r>
    <x:m/>
    <x:x v="6"/>
    <x:x v="13"/>
    <x:x v="0"/>
    <x:n v="10590"/>
    <x:n v="21180"/>
    <x:n v="9180"/>
    <x:x v="8"/>
    <x:s v="İstanbul"/>
  </x:r>
  <x:r>
    <x:m/>
    <x:x v="5"/>
    <x:x v="19"/>
    <x:x v="1"/>
    <x:n v="1200"/>
    <x:n v="3600"/>
    <x:n v="1200"/>
    <x:x v="8"/>
    <x:s v="Ankara"/>
  </x:r>
  <x:r>
    <x:m/>
    <x:x v="10"/>
    <x:x v="7"/>
    <x:x v="4"/>
    <x:n v="1100"/>
    <x:n v="4400"/>
    <x:n v="1200"/>
    <x:x v="8"/>
    <x:s v="Şanlıurfa"/>
  </x:r>
  <x:r>
    <x:m/>
    <x:x v="9"/>
    <x:x v="23"/>
    <x:x v="1"/>
    <x:n v="3700"/>
    <x:n v="11100"/>
    <x:n v="2100"/>
    <x:x v="8"/>
    <x:s v="Gaziantep"/>
  </x:r>
  <x:r>
    <x:m/>
    <x:x v="1"/>
    <x:x v="23"/>
    <x:x v="3"/>
    <x:n v="3700"/>
    <x:n v="18500"/>
    <x:n v="3500"/>
    <x:x v="8"/>
    <x:s v="Bursa"/>
  </x:r>
  <x:r>
    <x:m/>
    <x:x v="6"/>
    <x:x v="7"/>
    <x:x v="4"/>
    <x:n v="1100"/>
    <x:n v="4400"/>
    <x:n v="1200"/>
    <x:x v="8"/>
    <x:s v="İzmir"/>
  </x:r>
  <x:r>
    <x:m/>
    <x:x v="5"/>
    <x:x v="23"/>
    <x:x v="1"/>
    <x:n v="3700"/>
    <x:n v="11100"/>
    <x:n v="2100"/>
    <x:x v="8"/>
    <x:s v="Antalya"/>
  </x:r>
  <x:r>
    <x:m/>
    <x:x v="10"/>
    <x:x v="14"/>
    <x:x v="1"/>
    <x:n v="1490"/>
    <x:n v="4470"/>
    <x:n v="2070"/>
    <x:x v="8"/>
    <x:s v="Adana"/>
  </x:r>
  <x:r>
    <x:m/>
    <x:x v="9"/>
    <x:x v="22"/>
    <x:x v="0"/>
    <x:n v="1500"/>
    <x:n v="3000"/>
    <x:n v="1400"/>
    <x:x v="8"/>
    <x:s v="Antalya"/>
  </x:r>
  <x:r>
    <x:m/>
    <x:x v="8"/>
    <x:x v="11"/>
    <x:x v="0"/>
    <x:n v="1090"/>
    <x:n v="2180"/>
    <x:n v="580"/>
    <x:x v="8"/>
    <x:s v="Hatay"/>
  </x:r>
  <x:r>
    <x:m/>
    <x:x v="10"/>
    <x:x v="10"/>
    <x:x v="0"/>
    <x:n v="1800"/>
    <x:n v="3600"/>
    <x:n v="2000"/>
    <x:x v="8"/>
    <x:s v="Gaziantep"/>
  </x:r>
  <x:r>
    <x:m/>
    <x:x v="7"/>
    <x:x v="20"/>
    <x:x v="3"/>
    <x:n v="7530"/>
    <x:n v="37650"/>
    <x:n v="7650"/>
    <x:x v="8"/>
    <x:s v="Bursa"/>
  </x:r>
  <x:r>
    <x:m/>
    <x:x v="6"/>
    <x:x v="7"/>
    <x:x v="1"/>
    <x:n v="1100"/>
    <x:n v="3300"/>
    <x:n v="900"/>
    <x:x v="8"/>
    <x:s v="İzmir"/>
  </x:r>
  <x:r>
    <x:m/>
    <x:x v="9"/>
    <x:x v="3"/>
    <x:x v="1"/>
    <x:n v="1350"/>
    <x:n v="4050"/>
    <x:n v="1650"/>
    <x:x v="8"/>
    <x:s v="Bursa"/>
  </x:r>
  <x:r>
    <x:m/>
    <x:x v="8"/>
    <x:x v="3"/>
    <x:x v="0"/>
    <x:n v="1350"/>
    <x:n v="2700"/>
    <x:n v="1100"/>
    <x:x v="8"/>
    <x:s v="Konya"/>
  </x:r>
  <x:r>
    <x:m/>
    <x:x v="7"/>
    <x:x v="11"/>
    <x:x v="1"/>
    <x:n v="1090"/>
    <x:n v="3270"/>
    <x:n v="870"/>
    <x:x v="8"/>
    <x:s v="Mersin"/>
  </x:r>
  <x:r>
    <x:m/>
    <x:x v="7"/>
    <x:x v="15"/>
    <x:x v="0"/>
    <x:n v="4200"/>
    <x:n v="8400"/>
    <x:n v="2400"/>
    <x:x v="8"/>
    <x:s v="İzmir"/>
  </x:r>
  <x:r>
    <x:m/>
    <x:x v="9"/>
    <x:x v="10"/>
    <x:x v="0"/>
    <x:n v="1800"/>
    <x:n v="3600"/>
    <x:n v="2000"/>
    <x:x v="8"/>
    <x:s v="Gaziantep"/>
  </x:r>
  <x:r>
    <x:m/>
    <x:x v="11"/>
    <x:x v="11"/>
    <x:x v="3"/>
    <x:n v="1090"/>
    <x:n v="5450"/>
    <x:n v="1450"/>
    <x:x v="8"/>
    <x:s v="Mersin"/>
  </x:r>
  <x:r>
    <x:m/>
    <x:x v="0"/>
    <x:x v="5"/>
    <x:x v="3"/>
    <x:n v="7600"/>
    <x:n v="38000"/>
    <x:n v="8000"/>
    <x:x v="8"/>
    <x:s v="Bursa"/>
  </x:r>
  <x:r>
    <x:m/>
    <x:x v="8"/>
    <x:x v="5"/>
    <x:x v="1"/>
    <x:n v="7600"/>
    <x:n v="22800"/>
    <x:n v="4800"/>
    <x:x v="8"/>
    <x:s v="Şanlıurfa"/>
  </x:r>
  <x:r>
    <x:m/>
    <x:x v="2"/>
    <x:x v="23"/>
    <x:x v="1"/>
    <x:n v="3700"/>
    <x:n v="11100"/>
    <x:n v="2100"/>
    <x:x v="8"/>
    <x:s v="Mersin"/>
  </x:r>
  <x:r>
    <x:m/>
    <x:x v="4"/>
    <x:x v="6"/>
    <x:x v="3"/>
    <x:n v="7250"/>
    <x:n v="36250"/>
    <x:n v="11250"/>
    <x:x v="8"/>
    <x:s v="Diyarbakır"/>
  </x:r>
  <x:r>
    <x:m/>
    <x:x v="1"/>
    <x:x v="5"/>
    <x:x v="3"/>
    <x:n v="7600"/>
    <x:n v="38000"/>
    <x:n v="8000"/>
    <x:x v="8"/>
    <x:s v="Konya"/>
  </x:r>
  <x:r>
    <x:m/>
    <x:x v="10"/>
    <x:x v="15"/>
    <x:x v="4"/>
    <x:n v="4200"/>
    <x:n v="16800"/>
    <x:n v="4800"/>
    <x:x v="8"/>
    <x:s v="İstanbul"/>
  </x:r>
  <x:r>
    <x:m/>
    <x:x v="6"/>
    <x:x v="18"/>
    <x:x v="3"/>
    <x:n v="1250"/>
    <x:n v="6250"/>
    <x:n v="2250"/>
    <x:x v="8"/>
    <x:s v="Hatay"/>
  </x:r>
  <x:r>
    <x:m/>
    <x:x v="8"/>
    <x:x v="11"/>
    <x:x v="0"/>
    <x:n v="1090"/>
    <x:n v="2180"/>
    <x:n v="580"/>
    <x:x v="8"/>
    <x:s v="Şanlıurfa"/>
  </x:r>
  <x:r>
    <x:m/>
    <x:x v="3"/>
    <x:x v="4"/>
    <x:x v="1"/>
    <x:n v="2180"/>
    <x:n v="6540"/>
    <x:n v="2040"/>
    <x:x v="8"/>
    <x:s v="İstanbul"/>
  </x:r>
  <x:r>
    <x:m/>
    <x:x v="11"/>
    <x:x v="23"/>
    <x:x v="0"/>
    <x:n v="3700"/>
    <x:n v="7400"/>
    <x:n v="1400"/>
    <x:x v="8"/>
    <x:s v="Hatay"/>
  </x:r>
  <x:r>
    <x:m/>
    <x:x v="9"/>
    <x:x v="0"/>
    <x:x v="0"/>
    <x:n v="6000"/>
    <x:n v="12000"/>
    <x:n v="4000"/>
    <x:x v="8"/>
    <x:s v="Mersin"/>
  </x:r>
  <x:r>
    <x:m/>
    <x:x v="10"/>
    <x:x v="18"/>
    <x:x v="0"/>
    <x:n v="1250"/>
    <x:n v="2500"/>
    <x:n v="900"/>
    <x:x v="8"/>
    <x:s v="Kocaeli"/>
  </x:r>
  <x:r>
    <x:m/>
    <x:x v="11"/>
    <x:x v="5"/>
    <x:x v="0"/>
    <x:n v="7600"/>
    <x:n v="15200"/>
    <x:n v="3200"/>
    <x:x v="8"/>
    <x:s v="İzmir"/>
  </x:r>
  <x:r>
    <x:m/>
    <x:x v="0"/>
    <x:x v="1"/>
    <x:x v="1"/>
    <x:n v="1400"/>
    <x:n v="4200"/>
    <x:n v="1800"/>
    <x:x v="8"/>
    <x:s v="İzmir"/>
  </x:r>
  <x:r>
    <x:m/>
    <x:x v="4"/>
    <x:x v="4"/>
    <x:x v="3"/>
    <x:n v="2180"/>
    <x:n v="10900"/>
    <x:n v="3400"/>
    <x:x v="8"/>
    <x:s v="Diyarbakır"/>
  </x:r>
  <x:r>
    <x:m/>
    <x:x v="0"/>
    <x:x v="10"/>
    <x:x v="1"/>
    <x:n v="1800"/>
    <x:n v="5400"/>
    <x:n v="3000"/>
    <x:x v="8"/>
    <x:s v="Bursa"/>
  </x:r>
  <x:r>
    <x:m/>
    <x:x v="2"/>
    <x:x v="22"/>
    <x:x v="4"/>
    <x:n v="1500"/>
    <x:n v="6000"/>
    <x:n v="2800"/>
    <x:x v="8"/>
    <x:s v="Şanlıurfa"/>
  </x:r>
  <x:r>
    <x:m/>
    <x:x v="6"/>
    <x:x v="2"/>
    <x:x v="3"/>
    <x:n v="8450"/>
    <x:n v="42250"/>
    <x:n v="12250"/>
    <x:x v="8"/>
    <x:s v="Şanlıurfa"/>
  </x:r>
  <x:r>
    <x:m/>
    <x:x v="9"/>
    <x:x v="22"/>
    <x:x v="4"/>
    <x:n v="1500"/>
    <x:n v="6000"/>
    <x:n v="2800"/>
    <x:x v="8"/>
    <x:s v="Hatay"/>
  </x:r>
  <x:r>
    <x:m/>
    <x:x v="5"/>
    <x:x v="0"/>
    <x:x v="3"/>
    <x:n v="6000"/>
    <x:n v="30000"/>
    <x:n v="10000"/>
    <x:x v="8"/>
    <x:s v="İstanbul"/>
  </x:r>
  <x:r>
    <x:m/>
    <x:x v="11"/>
    <x:x v="19"/>
    <x:x v="0"/>
    <x:n v="1200"/>
    <x:n v="2400"/>
    <x:n v="800"/>
    <x:x v="8"/>
    <x:s v="Konya"/>
  </x:r>
  <x:r>
    <x:m/>
    <x:x v="0"/>
    <x:x v="15"/>
    <x:x v="1"/>
    <x:n v="4200"/>
    <x:n v="12600"/>
    <x:n v="3600"/>
    <x:x v="8"/>
    <x:s v="İstanbul"/>
  </x:r>
  <x:r>
    <x:m/>
    <x:x v="10"/>
    <x:x v="5"/>
    <x:x v="3"/>
    <x:n v="7600"/>
    <x:n v="38000"/>
    <x:n v="8000"/>
    <x:x v="8"/>
    <x:s v="İstanbul"/>
  </x:r>
  <x:r>
    <x:m/>
    <x:x v="5"/>
    <x:x v="6"/>
    <x:x v="3"/>
    <x:n v="7250"/>
    <x:n v="36250"/>
    <x:n v="11250"/>
    <x:x v="8"/>
    <x:s v="İzmir"/>
  </x:r>
  <x:r>
    <x:m/>
    <x:x v="1"/>
    <x:x v="20"/>
    <x:x v="3"/>
    <x:n v="7530"/>
    <x:n v="37650"/>
    <x:n v="7650"/>
    <x:x v="8"/>
    <x:s v="Mersin"/>
  </x:r>
  <x:r>
    <x:m/>
    <x:x v="2"/>
    <x:x v="6"/>
    <x:x v="1"/>
    <x:n v="7250"/>
    <x:n v="21750"/>
    <x:n v="6750"/>
    <x:x v="8"/>
    <x:s v="İstanbul"/>
  </x:r>
  <x:r>
    <x:m/>
    <x:x v="1"/>
    <x:x v="0"/>
    <x:x v="1"/>
    <x:n v="6000"/>
    <x:n v="18000"/>
    <x:n v="6000"/>
    <x:x v="8"/>
    <x:s v="Ankara"/>
  </x:r>
  <x:r>
    <x:m/>
    <x:x v="5"/>
    <x:x v="19"/>
    <x:x v="4"/>
    <x:n v="1200"/>
    <x:n v="4800"/>
    <x:n v="1600"/>
    <x:x v="8"/>
    <x:s v="Bursa"/>
  </x:r>
  <x:r>
    <x:m/>
    <x:x v="11"/>
    <x:x v="21"/>
    <x:x v="3"/>
    <x:n v="5300"/>
    <x:n v="26500"/>
    <x:n v="6500"/>
    <x:x v="8"/>
    <x:s v="Ankara"/>
  </x:r>
  <x:r>
    <x:m/>
    <x:x v="8"/>
    <x:x v="2"/>
    <x:x v="0"/>
    <x:n v="8450"/>
    <x:n v="16900"/>
    <x:n v="4900"/>
    <x:x v="8"/>
    <x:s v="Ankara"/>
  </x:r>
  <x:r>
    <x:m/>
    <x:x v="4"/>
    <x:x v="3"/>
    <x:x v="0"/>
    <x:n v="1350"/>
    <x:n v="2700"/>
    <x:n v="1100"/>
    <x:x v="8"/>
    <x:s v="Konya"/>
  </x:r>
  <x:r>
    <x:m/>
    <x:x v="6"/>
    <x:x v="11"/>
    <x:x v="4"/>
    <x:n v="1090"/>
    <x:n v="4360"/>
    <x:n v="1160"/>
    <x:x v="8"/>
    <x:s v="Ankara"/>
  </x:r>
  <x:r>
    <x:m/>
    <x:x v="4"/>
    <x:x v="4"/>
    <x:x v="0"/>
    <x:n v="2180"/>
    <x:n v="4360"/>
    <x:n v="1360"/>
    <x:x v="8"/>
    <x:s v="İzmir"/>
  </x:r>
  <x:r>
    <x:m/>
    <x:x v="1"/>
    <x:x v="23"/>
    <x:x v="3"/>
    <x:n v="3700"/>
    <x:n v="18500"/>
    <x:n v="3500"/>
    <x:x v="8"/>
    <x:s v="İstanbul"/>
  </x:r>
  <x:r>
    <x:m/>
    <x:x v="6"/>
    <x:x v="7"/>
    <x:x v="1"/>
    <x:n v="1100"/>
    <x:n v="3300"/>
    <x:n v="900"/>
    <x:x v="8"/>
    <x:s v="Ankara"/>
  </x:r>
  <x:r>
    <x:m/>
    <x:x v="5"/>
    <x:x v="23"/>
    <x:x v="1"/>
    <x:n v="3700"/>
    <x:n v="11100"/>
    <x:n v="2100"/>
    <x:x v="8"/>
    <x:s v="İzmir"/>
  </x:r>
  <x:r>
    <x:m/>
    <x:x v="10"/>
    <x:x v="14"/>
    <x:x v="4"/>
    <x:n v="1490"/>
    <x:n v="5960"/>
    <x:n v="2760"/>
    <x:x v="8"/>
    <x:s v="Adana"/>
  </x:r>
  <x:r>
    <x:m/>
    <x:x v="9"/>
    <x:x v="22"/>
    <x:x v="0"/>
    <x:n v="1500"/>
    <x:n v="3000"/>
    <x:n v="1400"/>
    <x:x v="8"/>
    <x:s v="Adana"/>
  </x:r>
  <x:r>
    <x:m/>
    <x:x v="8"/>
    <x:x v="11"/>
    <x:x v="1"/>
    <x:n v="1090"/>
    <x:n v="3270"/>
    <x:n v="870"/>
    <x:x v="8"/>
    <x:s v="Şanlıurfa"/>
  </x:r>
  <x:r>
    <x:m/>
    <x:x v="10"/>
    <x:x v="10"/>
    <x:x v="1"/>
    <x:n v="1800"/>
    <x:n v="5400"/>
    <x:n v="3000"/>
    <x:x v="8"/>
    <x:s v="Şanlıurfa"/>
  </x:r>
  <x:r>
    <x:m/>
    <x:x v="7"/>
    <x:x v="20"/>
    <x:x v="1"/>
    <x:n v="7530"/>
    <x:n v="22590"/>
    <x:n v="4590"/>
    <x:x v="8"/>
    <x:s v="Hatay"/>
  </x:r>
  <x:r>
    <x:m/>
    <x:x v="6"/>
    <x:x v="7"/>
    <x:x v="1"/>
    <x:n v="1100"/>
    <x:n v="3300"/>
    <x:n v="900"/>
    <x:x v="8"/>
    <x:s v="Ankara"/>
  </x:r>
  <x:r>
    <x:m/>
    <x:x v="9"/>
    <x:x v="3"/>
    <x:x v="1"/>
    <x:n v="1350"/>
    <x:n v="4050"/>
    <x:n v="1650"/>
    <x:x v="8"/>
    <x:s v="Bursa"/>
  </x:r>
  <x:r>
    <x:m/>
    <x:x v="8"/>
    <x:x v="3"/>
    <x:x v="0"/>
    <x:n v="1350"/>
    <x:n v="2700"/>
    <x:n v="1100"/>
    <x:x v="8"/>
    <x:s v="Kocaeli"/>
  </x:r>
  <x:r>
    <x:m/>
    <x:x v="7"/>
    <x:x v="11"/>
    <x:x v="1"/>
    <x:n v="1090"/>
    <x:n v="3270"/>
    <x:n v="870"/>
    <x:x v="8"/>
    <x:s v="Konya"/>
  </x:r>
  <x:r>
    <x:m/>
    <x:x v="7"/>
    <x:x v="15"/>
    <x:x v="1"/>
    <x:n v="4200"/>
    <x:n v="12600"/>
    <x:n v="3600"/>
    <x:x v="8"/>
    <x:s v="Adana"/>
  </x:r>
  <x:r>
    <x:m/>
    <x:x v="9"/>
    <x:x v="10"/>
    <x:x v="4"/>
    <x:n v="1800"/>
    <x:n v="7200"/>
    <x:n v="4000"/>
    <x:x v="8"/>
    <x:s v="İstanbul"/>
  </x:r>
  <x:r>
    <x:m/>
    <x:x v="11"/>
    <x:x v="11"/>
    <x:x v="0"/>
    <x:n v="1090"/>
    <x:n v="2180"/>
    <x:n v="580"/>
    <x:x v="8"/>
    <x:s v="Diyarbakır"/>
  </x:r>
  <x:r>
    <x:m/>
    <x:x v="0"/>
    <x:x v="5"/>
    <x:x v="4"/>
    <x:n v="7600"/>
    <x:n v="30400"/>
    <x:n v="6400"/>
    <x:x v="8"/>
    <x:s v="Mersin"/>
  </x:r>
  <x:r>
    <x:m/>
    <x:x v="8"/>
    <x:x v="5"/>
    <x:x v="1"/>
    <x:n v="7600"/>
    <x:n v="22800"/>
    <x:n v="4800"/>
    <x:x v="8"/>
    <x:s v="Diyarbakır"/>
  </x:r>
  <x:r>
    <x:m/>
    <x:x v="2"/>
    <x:x v="23"/>
    <x:x v="3"/>
    <x:n v="3700"/>
    <x:n v="18500"/>
    <x:n v="3500"/>
    <x:x v="8"/>
    <x:s v="Konya"/>
  </x:r>
  <x:r>
    <x:m/>
    <x:x v="4"/>
    <x:x v="6"/>
    <x:x v="0"/>
    <x:n v="7250"/>
    <x:n v="14500"/>
    <x:n v="4500"/>
    <x:x v="8"/>
    <x:s v="Gaziantep"/>
  </x:r>
  <x:r>
    <x:m/>
    <x:x v="1"/>
    <x:x v="5"/>
    <x:x v="4"/>
    <x:n v="7600"/>
    <x:n v="30400"/>
    <x:n v="6400"/>
    <x:x v="8"/>
    <x:s v="Şanlıurfa"/>
  </x:r>
  <x:r>
    <x:m/>
    <x:x v="10"/>
    <x:x v="15"/>
    <x:x v="1"/>
    <x:n v="4200"/>
    <x:n v="12600"/>
    <x:n v="3600"/>
    <x:x v="8"/>
    <x:s v="Hatay"/>
  </x:r>
  <x:r>
    <x:m/>
    <x:x v="6"/>
    <x:x v="18"/>
    <x:x v="0"/>
    <x:n v="1250"/>
    <x:n v="2500"/>
    <x:n v="900"/>
    <x:x v="8"/>
    <x:s v="Gaziantep"/>
  </x:r>
  <x:r>
    <x:m/>
    <x:x v="8"/>
    <x:x v="11"/>
    <x:x v="3"/>
    <x:n v="1090"/>
    <x:n v="5450"/>
    <x:n v="1450"/>
    <x:x v="8"/>
    <x:s v="Diyarbakır"/>
  </x:r>
  <x:r>
    <x:m/>
    <x:x v="3"/>
    <x:x v="4"/>
    <x:x v="0"/>
    <x:n v="2180"/>
    <x:n v="4360"/>
    <x:n v="1360"/>
    <x:x v="8"/>
    <x:s v="Hatay"/>
  </x:r>
  <x:r>
    <x:m/>
    <x:x v="11"/>
    <x:x v="23"/>
    <x:x v="1"/>
    <x:n v="3700"/>
    <x:n v="11100"/>
    <x:n v="2100"/>
    <x:x v="8"/>
    <x:s v="Adana"/>
  </x:r>
  <x:r>
    <x:m/>
    <x:x v="9"/>
    <x:x v="0"/>
    <x:x v="3"/>
    <x:n v="6000"/>
    <x:n v="30000"/>
    <x:n v="10000"/>
    <x:x v="8"/>
    <x:s v="Antalya"/>
  </x:r>
  <x:r>
    <x:m/>
    <x:x v="10"/>
    <x:x v="18"/>
    <x:x v="0"/>
    <x:n v="1250"/>
    <x:n v="2500"/>
    <x:n v="900"/>
    <x:x v="8"/>
    <x:s v="Hatay"/>
  </x:r>
  <x:r>
    <x:m/>
    <x:x v="11"/>
    <x:x v="5"/>
    <x:x v="0"/>
    <x:n v="7600"/>
    <x:n v="15200"/>
    <x:n v="3200"/>
    <x:x v="8"/>
    <x:s v="Bursa"/>
  </x:r>
  <x:r>
    <x:m/>
    <x:x v="0"/>
    <x:x v="1"/>
    <x:x v="3"/>
    <x:n v="1400"/>
    <x:n v="7000"/>
    <x:n v="3000"/>
    <x:x v="8"/>
    <x:s v="Konya"/>
  </x:r>
  <x:r>
    <x:m/>
    <x:x v="4"/>
    <x:x v="4"/>
    <x:x v="1"/>
    <x:n v="2180"/>
    <x:n v="6540"/>
    <x:n v="2040"/>
    <x:x v="8"/>
    <x:s v="Bursa"/>
  </x:r>
  <x:r>
    <x:m/>
    <x:x v="0"/>
    <x:x v="10"/>
    <x:x v="3"/>
    <x:n v="1800"/>
    <x:n v="9000"/>
    <x:n v="5000"/>
    <x:x v="8"/>
    <x:s v="Diyarbakır"/>
  </x:r>
  <x:r>
    <x:m/>
    <x:x v="2"/>
    <x:x v="22"/>
    <x:x v="3"/>
    <x:n v="1500"/>
    <x:n v="7500"/>
    <x:n v="3500"/>
    <x:x v="8"/>
    <x:s v="Ankara"/>
  </x:r>
  <x:r>
    <x:m/>
    <x:x v="6"/>
    <x:x v="2"/>
    <x:x v="4"/>
    <x:n v="8450"/>
    <x:n v="33800"/>
    <x:n v="9800"/>
    <x:x v="8"/>
    <x:s v="Gaziantep"/>
  </x:r>
  <x:r>
    <x:m/>
    <x:x v="9"/>
    <x:x v="22"/>
    <x:x v="1"/>
    <x:n v="1500"/>
    <x:n v="4500"/>
    <x:n v="2100"/>
    <x:x v="8"/>
    <x:s v="Konya"/>
  </x:r>
  <x:r>
    <x:m/>
    <x:x v="5"/>
    <x:x v="0"/>
    <x:x v="1"/>
    <x:n v="6000"/>
    <x:n v="18000"/>
    <x:n v="6000"/>
    <x:x v="8"/>
    <x:s v="Mersin"/>
  </x:r>
  <x:r>
    <x:m/>
    <x:x v="11"/>
    <x:x v="19"/>
    <x:x v="3"/>
    <x:n v="1200"/>
    <x:n v="6000"/>
    <x:n v="2000"/>
    <x:x v="8"/>
    <x:s v="Şanlıurfa"/>
  </x:r>
  <x:r>
    <x:m/>
    <x:x v="0"/>
    <x:x v="15"/>
    <x:x v="0"/>
    <x:n v="4200"/>
    <x:n v="8400"/>
    <x:n v="2400"/>
    <x:x v="8"/>
    <x:s v="Konya"/>
  </x:r>
  <x:r>
    <x:m/>
    <x:x v="10"/>
    <x:x v="5"/>
    <x:x v="4"/>
    <x:n v="7600"/>
    <x:n v="30400"/>
    <x:n v="6400"/>
    <x:x v="8"/>
    <x:s v="Antalya"/>
  </x:r>
  <x:r>
    <x:m/>
    <x:x v="5"/>
    <x:x v="6"/>
    <x:x v="0"/>
    <x:n v="7250"/>
    <x:n v="14500"/>
    <x:n v="4500"/>
    <x:x v="8"/>
    <x:s v="Bursa"/>
  </x:r>
  <x:r>
    <x:m/>
    <x:x v="1"/>
    <x:x v="20"/>
    <x:x v="1"/>
    <x:n v="7530"/>
    <x:n v="22590"/>
    <x:n v="4590"/>
    <x:x v="8"/>
    <x:s v="Kocaeli"/>
  </x:r>
  <x:r>
    <x:m/>
    <x:x v="2"/>
    <x:x v="6"/>
    <x:x v="3"/>
    <x:n v="7250"/>
    <x:n v="36250"/>
    <x:n v="11250"/>
    <x:x v="9"/>
    <x:s v="Kocaeli"/>
  </x:r>
  <x:r>
    <x:m/>
    <x:x v="1"/>
    <x:x v="0"/>
    <x:x v="3"/>
    <x:n v="6000"/>
    <x:n v="30000"/>
    <x:n v="10000"/>
    <x:x v="9"/>
    <x:s v="Antalya"/>
  </x:r>
  <x:r>
    <x:m/>
    <x:x v="5"/>
    <x:x v="19"/>
    <x:x v="0"/>
    <x:n v="1200"/>
    <x:n v="2400"/>
    <x:n v="800"/>
    <x:x v="9"/>
    <x:s v="Bursa"/>
  </x:r>
  <x:r>
    <x:m/>
    <x:x v="11"/>
    <x:x v="21"/>
    <x:x v="3"/>
    <x:n v="5300"/>
    <x:n v="26500"/>
    <x:n v="6500"/>
    <x:x v="9"/>
    <x:s v="Şanlıurfa"/>
  </x:r>
  <x:r>
    <x:m/>
    <x:x v="8"/>
    <x:x v="2"/>
    <x:x v="3"/>
    <x:n v="8450"/>
    <x:n v="42250"/>
    <x:n v="12250"/>
    <x:x v="9"/>
    <x:s v="Adana"/>
  </x:r>
  <x:r>
    <x:m/>
    <x:x v="4"/>
    <x:x v="3"/>
    <x:x v="0"/>
    <x:n v="1350"/>
    <x:n v="2700"/>
    <x:n v="1100"/>
    <x:x v="9"/>
    <x:s v="İzmir"/>
  </x:r>
  <x:r>
    <x:m/>
    <x:x v="6"/>
    <x:x v="11"/>
    <x:x v="3"/>
    <x:n v="1090"/>
    <x:n v="5450"/>
    <x:n v="1450"/>
    <x:x v="9"/>
    <x:s v="Konya"/>
  </x:r>
  <x:r>
    <x:m/>
    <x:x v="4"/>
    <x:x v="4"/>
    <x:x v="3"/>
    <x:n v="2180"/>
    <x:n v="10900"/>
    <x:n v="3400"/>
    <x:x v="9"/>
    <x:s v="İzmir"/>
  </x:r>
  <x:r>
    <x:m/>
    <x:x v="0"/>
    <x:x v="0"/>
    <x:x v="0"/>
    <x:n v="6000"/>
    <x:n v="12000"/>
    <x:n v="4000"/>
    <x:x v="9"/>
    <x:s v="Kocaeli"/>
  </x:r>
  <x:r>
    <x:m/>
    <x:x v="1"/>
    <x:x v="1"/>
    <x:x v="1"/>
    <x:n v="1400"/>
    <x:n v="4200"/>
    <x:n v="1800"/>
    <x:x v="9"/>
    <x:s v="Bursa"/>
  </x:r>
  <x:r>
    <x:m/>
    <x:x v="2"/>
    <x:x v="2"/>
    <x:x v="3"/>
    <x:n v="8450"/>
    <x:n v="42250"/>
    <x:n v="12250"/>
    <x:x v="9"/>
    <x:s v="Adana"/>
  </x:r>
  <x:r>
    <x:m/>
    <x:x v="3"/>
    <x:x v="3"/>
    <x:x v="3"/>
    <x:n v="1350"/>
    <x:n v="6750"/>
    <x:n v="2750"/>
    <x:x v="9"/>
    <x:s v="Hatay"/>
  </x:r>
  <x:r>
    <x:m/>
    <x:x v="0"/>
    <x:x v="4"/>
    <x:x v="0"/>
    <x:n v="2180"/>
    <x:n v="4360"/>
    <x:n v="1360"/>
    <x:x v="9"/>
    <x:s v="Hatay"/>
  </x:r>
  <x:r>
    <x:m/>
    <x:x v="4"/>
    <x:x v="5"/>
    <x:x v="3"/>
    <x:n v="7600"/>
    <x:n v="38000"/>
    <x:n v="8000"/>
    <x:x v="9"/>
    <x:s v="Adana"/>
  </x:r>
  <x:r>
    <x:m/>
    <x:x v="1"/>
    <x:x v="6"/>
    <x:x v="4"/>
    <x:n v="7250"/>
    <x:n v="29000"/>
    <x:n v="9000"/>
    <x:x v="9"/>
    <x:s v="Mersin"/>
  </x:r>
  <x:r>
    <x:m/>
    <x:x v="3"/>
    <x:x v="7"/>
    <x:x v="0"/>
    <x:n v="1100"/>
    <x:n v="2200"/>
    <x:n v="600"/>
    <x:x v="9"/>
    <x:s v="Hatay"/>
  </x:r>
  <x:r>
    <x:m/>
    <x:x v="5"/>
    <x:x v="0"/>
    <x:x v="3"/>
    <x:n v="6000"/>
    <x:n v="30000"/>
    <x:n v="10000"/>
    <x:x v="9"/>
    <x:s v="Bursa"/>
  </x:r>
  <x:r>
    <x:m/>
    <x:x v="0"/>
    <x:x v="9"/>
    <x:x v="1"/>
    <x:n v="1200"/>
    <x:n v="3600"/>
    <x:n v="1200"/>
    <x:x v="9"/>
    <x:s v="Şanlıurfa"/>
  </x:r>
  <x:r>
    <x:m/>
    <x:x v="6"/>
    <x:x v="10"/>
    <x:x v="1"/>
    <x:n v="1800"/>
    <x:n v="5400"/>
    <x:n v="3000"/>
    <x:x v="9"/>
    <x:s v="Kocaeli"/>
  </x:r>
  <x:r>
    <x:m/>
    <x:x v="6"/>
    <x:x v="11"/>
    <x:x v="1"/>
    <x:n v="1090"/>
    <x:n v="3270"/>
    <x:n v="870"/>
    <x:x v="9"/>
    <x:s v="Kocaeli"/>
  </x:r>
  <x:r>
    <x:m/>
    <x:x v="5"/>
    <x:x v="4"/>
    <x:x v="0"/>
    <x:n v="2180"/>
    <x:n v="4360"/>
    <x:n v="1360"/>
    <x:x v="9"/>
    <x:s v="İstanbul"/>
  </x:r>
  <x:r>
    <x:m/>
    <x:x v="7"/>
    <x:x v="10"/>
    <x:x v="4"/>
    <x:n v="1800"/>
    <x:n v="7200"/>
    <x:n v="4000"/>
    <x:x v="9"/>
    <x:s v="Gaziantep"/>
  </x:r>
  <x:r>
    <x:m/>
    <x:x v="4"/>
    <x:x v="12"/>
    <x:x v="0"/>
    <x:n v="8000"/>
    <x:n v="16000"/>
    <x:n v="4000"/>
    <x:x v="9"/>
    <x:s v="Şanlıurfa"/>
  </x:r>
  <x:r>
    <x:m/>
    <x:x v="5"/>
    <x:x v="1"/>
    <x:x v="3"/>
    <x:n v="1400"/>
    <x:n v="7000"/>
    <x:n v="3000"/>
    <x:x v="9"/>
    <x:s v="Şanlıurfa"/>
  </x:r>
  <x:r>
    <x:m/>
    <x:x v="8"/>
    <x:x v="13"/>
    <x:x v="1"/>
    <x:n v="10590"/>
    <x:n v="31770"/>
    <x:n v="13770"/>
    <x:x v="9"/>
    <x:s v="Ankara"/>
  </x:r>
  <x:r>
    <x:m/>
    <x:x v="9"/>
    <x:x v="3"/>
    <x:x v="3"/>
    <x:n v="1350"/>
    <x:n v="6750"/>
    <x:n v="2750"/>
    <x:x v="9"/>
    <x:s v="Adana"/>
  </x:r>
  <x:r>
    <x:m/>
    <x:x v="6"/>
    <x:x v="1"/>
    <x:x v="3"/>
    <x:n v="1400"/>
    <x:n v="7000"/>
    <x:n v="3000"/>
    <x:x v="9"/>
    <x:s v="Adana"/>
  </x:r>
  <x:r>
    <x:m/>
    <x:x v="3"/>
    <x:x v="0"/>
    <x:x v="0"/>
    <x:n v="6000"/>
    <x:n v="12000"/>
    <x:n v="4000"/>
    <x:x v="9"/>
    <x:s v="Antalya"/>
  </x:r>
  <x:r>
    <x:m/>
    <x:x v="8"/>
    <x:x v="7"/>
    <x:x v="4"/>
    <x:n v="1100"/>
    <x:n v="4400"/>
    <x:n v="1200"/>
    <x:x v="9"/>
    <x:s v="İzmir"/>
  </x:r>
  <x:r>
    <x:m/>
    <x:x v="2"/>
    <x:x v="0"/>
    <x:x v="3"/>
    <x:n v="6000"/>
    <x:n v="30000"/>
    <x:n v="10000"/>
    <x:x v="9"/>
    <x:s v="Ankara"/>
  </x:r>
  <x:r>
    <x:m/>
    <x:x v="9"/>
    <x:x v="14"/>
    <x:x v="1"/>
    <x:n v="1490"/>
    <x:n v="4470"/>
    <x:n v="2070"/>
    <x:x v="9"/>
    <x:s v="Kocaeli"/>
  </x:r>
  <x:r>
    <x:m/>
    <x:x v="8"/>
    <x:x v="13"/>
    <x:x v="0"/>
    <x:n v="10590"/>
    <x:n v="21180"/>
    <x:n v="9180"/>
    <x:x v="9"/>
    <x:s v="Bursa"/>
  </x:r>
  <x:r>
    <x:m/>
    <x:x v="2"/>
    <x:x v="12"/>
    <x:x v="3"/>
    <x:n v="8000"/>
    <x:n v="40000"/>
    <x:n v="10000"/>
    <x:x v="9"/>
    <x:s v="Ankara"/>
  </x:r>
  <x:r>
    <x:m/>
    <x:x v="6"/>
    <x:x v="7"/>
    <x:x v="3"/>
    <x:n v="1100"/>
    <x:n v="5500"/>
    <x:n v="1500"/>
    <x:x v="9"/>
    <x:s v="Antalya"/>
  </x:r>
  <x:r>
    <x:m/>
    <x:x v="9"/>
    <x:x v="9"/>
    <x:x v="4"/>
    <x:n v="1200"/>
    <x:n v="4800"/>
    <x:n v="1600"/>
    <x:x v="9"/>
    <x:s v="Kocaeli"/>
  </x:r>
  <x:r>
    <x:m/>
    <x:x v="4"/>
    <x:x v="15"/>
    <x:x v="1"/>
    <x:n v="4200"/>
    <x:n v="12600"/>
    <x:n v="3600"/>
    <x:x v="9"/>
    <x:s v="Hatay"/>
  </x:r>
  <x:r>
    <x:m/>
    <x:x v="1"/>
    <x:x v="16"/>
    <x:x v="0"/>
    <x:n v="5775"/>
    <x:n v="11550"/>
    <x:n v="3550"/>
    <x:x v="9"/>
    <x:s v="Hatay"/>
  </x:r>
  <x:r>
    <x:m/>
    <x:x v="10"/>
    <x:x v="5"/>
    <x:x v="4"/>
    <x:n v="7600"/>
    <x:n v="30400"/>
    <x:n v="6400"/>
    <x:x v="9"/>
    <x:s v="İstanbul"/>
  </x:r>
  <x:r>
    <x:m/>
    <x:x v="1"/>
    <x:x v="6"/>
    <x:x v="0"/>
    <x:n v="7250"/>
    <x:n v="14500"/>
    <x:n v="4500"/>
    <x:x v="9"/>
    <x:s v="İzmir"/>
  </x:r>
  <x:r>
    <x:m/>
    <x:x v="0"/>
    <x:x v="6"/>
    <x:x v="1"/>
    <x:n v="7250"/>
    <x:n v="21750"/>
    <x:n v="6750"/>
    <x:x v="9"/>
    <x:s v="İzmir"/>
  </x:r>
  <x:r>
    <x:m/>
    <x:x v="8"/>
    <x:x v="6"/>
    <x:x v="1"/>
    <x:n v="7250"/>
    <x:n v="21750"/>
    <x:n v="6750"/>
    <x:x v="9"/>
    <x:s v="Konya"/>
  </x:r>
  <x:r>
    <x:m/>
    <x:x v="5"/>
    <x:x v="3"/>
    <x:x v="1"/>
    <x:n v="1350"/>
    <x:n v="4050"/>
    <x:n v="1650"/>
    <x:x v="9"/>
    <x:s v="Antalya"/>
  </x:r>
  <x:r>
    <x:m/>
    <x:x v="1"/>
    <x:x v="6"/>
    <x:x v="0"/>
    <x:n v="7250"/>
    <x:n v="14500"/>
    <x:n v="4500"/>
    <x:x v="9"/>
    <x:s v="Adana"/>
  </x:r>
  <x:r>
    <x:m/>
    <x:x v="6"/>
    <x:x v="5"/>
    <x:x v="3"/>
    <x:n v="7600"/>
    <x:n v="38000"/>
    <x:n v="8000"/>
    <x:x v="9"/>
    <x:s v="Hatay"/>
  </x:r>
  <x:r>
    <x:m/>
    <x:x v="11"/>
    <x:x v="5"/>
    <x:x v="4"/>
    <x:n v="7600"/>
    <x:n v="30400"/>
    <x:n v="6400"/>
    <x:x v="9"/>
    <x:s v="Antalya"/>
  </x:r>
  <x:r>
    <x:m/>
    <x:x v="1"/>
    <x:x v="14"/>
    <x:x v="1"/>
    <x:n v="1490"/>
    <x:n v="4470"/>
    <x:n v="2070"/>
    <x:x v="9"/>
    <x:s v="Adana"/>
  </x:r>
  <x:r>
    <x:m/>
    <x:x v="5"/>
    <x:x v="17"/>
    <x:x v="3"/>
    <x:n v="2900"/>
    <x:n v="14500"/>
    <x:n v="4500"/>
    <x:x v="9"/>
    <x:s v="Diyarbakır"/>
  </x:r>
  <x:r>
    <x:m/>
    <x:x v="9"/>
    <x:x v="14"/>
    <x:x v="4"/>
    <x:n v="1490"/>
    <x:n v="5960"/>
    <x:n v="2760"/>
    <x:x v="9"/>
    <x:s v="Bursa"/>
  </x:r>
  <x:r>
    <x:m/>
    <x:x v="9"/>
    <x:x v="11"/>
    <x:x v="0"/>
    <x:n v="1090"/>
    <x:n v="2180"/>
    <x:n v="580"/>
    <x:x v="9"/>
    <x:s v="Şanlıurfa"/>
  </x:r>
  <x:r>
    <x:m/>
    <x:x v="5"/>
    <x:x v="9"/>
    <x:x v="0"/>
    <x:n v="1200"/>
    <x:n v="2400"/>
    <x:n v="800"/>
    <x:x v="9"/>
    <x:s v="Kocaeli"/>
  </x:r>
  <x:r>
    <x:m/>
    <x:x v="8"/>
    <x:x v="13"/>
    <x:x v="4"/>
    <x:n v="10590"/>
    <x:n v="42360"/>
    <x:n v="18360"/>
    <x:x v="9"/>
    <x:s v="Bursa"/>
  </x:r>
  <x:r>
    <x:m/>
    <x:x v="6"/>
    <x:x v="15"/>
    <x:x v="0"/>
    <x:n v="4200"/>
    <x:n v="8400"/>
    <x:n v="2400"/>
    <x:x v="9"/>
    <x:s v="Kocaeli"/>
  </x:r>
  <x:r>
    <x:m/>
    <x:x v="3"/>
    <x:x v="15"/>
    <x:x v="0"/>
    <x:n v="4200"/>
    <x:n v="8400"/>
    <x:n v="2400"/>
    <x:x v="9"/>
    <x:s v="Diyarbakır"/>
  </x:r>
  <x:r>
    <x:m/>
    <x:x v="7"/>
    <x:x v="13"/>
    <x:x v="4"/>
    <x:n v="10590"/>
    <x:n v="42360"/>
    <x:n v="18360"/>
    <x:x v="9"/>
    <x:s v="Bursa"/>
  </x:r>
  <x:r>
    <x:m/>
    <x:x v="11"/>
    <x:x v="18"/>
    <x:x v="1"/>
    <x:n v="1250"/>
    <x:n v="3750"/>
    <x:n v="1350"/>
    <x:x v="9"/>
    <x:s v="İzmir"/>
  </x:r>
  <x:r>
    <x:m/>
    <x:x v="0"/>
    <x:x v="14"/>
    <x:x v="3"/>
    <x:n v="1490"/>
    <x:n v="7450"/>
    <x:n v="3450"/>
    <x:x v="9"/>
    <x:s v="Diyarbakır"/>
  </x:r>
  <x:r>
    <x:m/>
    <x:x v="6"/>
    <x:x v="9"/>
    <x:x v="3"/>
    <x:n v="1200"/>
    <x:n v="6000"/>
    <x:n v="2000"/>
    <x:x v="9"/>
    <x:s v="Hatay"/>
  </x:r>
  <x:r>
    <x:m/>
    <x:x v="2"/>
    <x:x v="4"/>
    <x:x v="3"/>
    <x:n v="2180"/>
    <x:n v="10900"/>
    <x:n v="3400"/>
    <x:x v="9"/>
    <x:s v="Kocaeli"/>
  </x:r>
  <x:r>
    <x:m/>
    <x:x v="9"/>
    <x:x v="19"/>
    <x:x v="0"/>
    <x:n v="1200"/>
    <x:n v="2400"/>
    <x:n v="800"/>
    <x:x v="9"/>
    <x:s v="Ankara"/>
  </x:r>
  <x:r>
    <x:m/>
    <x:x v="0"/>
    <x:x v="10"/>
    <x:x v="0"/>
    <x:n v="1800"/>
    <x:n v="3600"/>
    <x:n v="2000"/>
    <x:x v="9"/>
    <x:s v="Gaziantep"/>
  </x:r>
  <x:r>
    <x:m/>
    <x:x v="2"/>
    <x:x v="5"/>
    <x:x v="4"/>
    <x:n v="7600"/>
    <x:n v="30400"/>
    <x:n v="6400"/>
    <x:x v="9"/>
    <x:s v="İzmir"/>
  </x:r>
  <x:r>
    <x:m/>
    <x:x v="7"/>
    <x:x v="20"/>
    <x:x v="3"/>
    <x:n v="7530"/>
    <x:n v="37650"/>
    <x:n v="7650"/>
    <x:x v="9"/>
    <x:s v="Diyarbakır"/>
  </x:r>
  <x:r>
    <x:m/>
    <x:x v="11"/>
    <x:x v="14"/>
    <x:x v="0"/>
    <x:n v="1490"/>
    <x:n v="2980"/>
    <x:n v="1380"/>
    <x:x v="9"/>
    <x:s v="Antalya"/>
  </x:r>
  <x:r>
    <x:m/>
    <x:x v="0"/>
    <x:x v="21"/>
    <x:x v="3"/>
    <x:n v="5300"/>
    <x:n v="26500"/>
    <x:n v="6500"/>
    <x:x v="9"/>
    <x:s v="Şanlıurfa"/>
  </x:r>
  <x:r>
    <x:m/>
    <x:x v="4"/>
    <x:x v="9"/>
    <x:x v="0"/>
    <x:n v="1200"/>
    <x:n v="2400"/>
    <x:n v="800"/>
    <x:x v="9"/>
    <x:s v="Kocaeli"/>
  </x:r>
  <x:r>
    <x:m/>
    <x:x v="9"/>
    <x:x v="11"/>
    <x:x v="1"/>
    <x:n v="1090"/>
    <x:n v="3270"/>
    <x:n v="870"/>
    <x:x v="9"/>
    <x:s v="Antalya"/>
  </x:r>
  <x:r>
    <x:m/>
    <x:x v="4"/>
    <x:x v="6"/>
    <x:x v="3"/>
    <x:n v="7250"/>
    <x:n v="36250"/>
    <x:n v="11250"/>
    <x:x v="9"/>
    <x:s v="Kocaeli"/>
  </x:r>
  <x:r>
    <x:m/>
    <x:x v="10"/>
    <x:x v="1"/>
    <x:x v="0"/>
    <x:n v="1400"/>
    <x:n v="2800"/>
    <x:n v="1200"/>
    <x:x v="9"/>
    <x:s v="İstanbul"/>
  </x:r>
  <x:r>
    <x:m/>
    <x:x v="2"/>
    <x:x v="22"/>
    <x:x v="4"/>
    <x:n v="1500"/>
    <x:n v="6000"/>
    <x:n v="2800"/>
    <x:x v="9"/>
    <x:s v="Mersin"/>
  </x:r>
  <x:r>
    <x:m/>
    <x:x v="7"/>
    <x:x v="3"/>
    <x:x v="3"/>
    <x:n v="1350"/>
    <x:n v="6750"/>
    <x:n v="2750"/>
    <x:x v="9"/>
    <x:s v="Ankara"/>
  </x:r>
  <x:r>
    <x:m/>
    <x:x v="7"/>
    <x:x v="9"/>
    <x:x v="0"/>
    <x:n v="1200"/>
    <x:n v="2400"/>
    <x:n v="800"/>
    <x:x v="9"/>
    <x:s v="Hatay"/>
  </x:r>
  <x:r>
    <x:m/>
    <x:x v="1"/>
    <x:x v="20"/>
    <x:x v="0"/>
    <x:n v="7530"/>
    <x:n v="15060"/>
    <x:n v="3060"/>
    <x:x v="9"/>
    <x:s v="Antalya"/>
  </x:r>
  <x:r>
    <x:m/>
    <x:x v="10"/>
    <x:x v="9"/>
    <x:x v="0"/>
    <x:n v="1200"/>
    <x:n v="2400"/>
    <x:n v="800"/>
    <x:x v="9"/>
    <x:s v="Diyarbakır"/>
  </x:r>
  <x:r>
    <x:m/>
    <x:x v="8"/>
    <x:x v="10"/>
    <x:x v="1"/>
    <x:n v="1800"/>
    <x:n v="5400"/>
    <x:n v="3000"/>
    <x:x v="9"/>
    <x:s v="Mersin"/>
  </x:r>
  <x:r>
    <x:m/>
    <x:x v="0"/>
    <x:x v="6"/>
    <x:x v="0"/>
    <x:n v="7250"/>
    <x:n v="14500"/>
    <x:n v="4500"/>
    <x:x v="9"/>
    <x:s v="Kocaeli"/>
  </x:r>
  <x:r>
    <x:m/>
    <x:x v="9"/>
    <x:x v="14"/>
    <x:x v="1"/>
    <x:n v="1490"/>
    <x:n v="4470"/>
    <x:n v="2070"/>
    <x:x v="9"/>
    <x:s v="Diyarbakır"/>
  </x:r>
  <x:r>
    <x:m/>
    <x:x v="9"/>
    <x:x v="19"/>
    <x:x v="4"/>
    <x:n v="1200"/>
    <x:n v="4800"/>
    <x:n v="1600"/>
    <x:x v="9"/>
    <x:s v="Diyarbakır"/>
  </x:r>
  <x:r>
    <x:m/>
    <x:x v="1"/>
    <x:x v="12"/>
    <x:x v="4"/>
    <x:n v="8000"/>
    <x:n v="32000"/>
    <x:n v="8000"/>
    <x:x v="9"/>
    <x:s v="Mersin"/>
  </x:r>
  <x:r>
    <x:m/>
    <x:x v="6"/>
    <x:x v="1"/>
    <x:x v="4"/>
    <x:n v="1400"/>
    <x:n v="5600"/>
    <x:n v="2400"/>
    <x:x v="9"/>
    <x:s v="Adana"/>
  </x:r>
  <x:r>
    <x:m/>
    <x:x v="5"/>
    <x:x v="3"/>
    <x:x v="4"/>
    <x:n v="1350"/>
    <x:n v="5400"/>
    <x:n v="2200"/>
    <x:x v="9"/>
    <x:s v="Gaziantep"/>
  </x:r>
  <x:r>
    <x:m/>
    <x:x v="8"/>
    <x:x v="19"/>
    <x:x v="1"/>
    <x:n v="1200"/>
    <x:n v="3600"/>
    <x:n v="1200"/>
    <x:x v="9"/>
    <x:s v="Konya"/>
  </x:r>
  <x:r>
    <x:m/>
    <x:x v="6"/>
    <x:x v="21"/>
    <x:x v="3"/>
    <x:n v="5300"/>
    <x:n v="26500"/>
    <x:n v="6500"/>
    <x:x v="9"/>
    <x:s v="İzmir"/>
  </x:r>
  <x:r>
    <x:m/>
    <x:x v="9"/>
    <x:x v="13"/>
    <x:x v="3"/>
    <x:n v="10590"/>
    <x:n v="52950"/>
    <x:n v="22950"/>
    <x:x v="9"/>
    <x:s v="İstanbul"/>
  </x:r>
  <x:r>
    <x:m/>
    <x:x v="4"/>
    <x:x v="18"/>
    <x:x v="0"/>
    <x:n v="1250"/>
    <x:n v="2500"/>
    <x:n v="900"/>
    <x:x v="9"/>
    <x:s v="Hatay"/>
  </x:r>
  <x:r>
    <x:m/>
    <x:x v="11"/>
    <x:x v="19"/>
    <x:x v="1"/>
    <x:n v="1200"/>
    <x:n v="3600"/>
    <x:n v="1200"/>
    <x:x v="9"/>
    <x:s v="Şanlıurfa"/>
  </x:r>
  <x:r>
    <x:m/>
    <x:x v="4"/>
    <x:x v="1"/>
    <x:x v="4"/>
    <x:n v="1400"/>
    <x:n v="5600"/>
    <x:n v="2400"/>
    <x:x v="9"/>
    <x:s v="İzmir"/>
  </x:r>
  <x:r>
    <x:m/>
    <x:x v="11"/>
    <x:x v="20"/>
    <x:x v="0"/>
    <x:n v="7530"/>
    <x:n v="15060"/>
    <x:n v="3060"/>
    <x:x v="9"/>
    <x:s v="Adana"/>
  </x:r>
  <x:r>
    <x:m/>
    <x:x v="6"/>
    <x:x v="5"/>
    <x:x v="4"/>
    <x:n v="7600"/>
    <x:n v="30400"/>
    <x:n v="6400"/>
    <x:x v="9"/>
    <x:s v="Şanlıurfa"/>
  </x:r>
  <x:r>
    <x:m/>
    <x:x v="11"/>
    <x:x v="22"/>
    <x:x v="3"/>
    <x:n v="1500"/>
    <x:n v="7500"/>
    <x:n v="3500"/>
    <x:x v="9"/>
    <x:s v="Ankara"/>
  </x:r>
  <x:r>
    <x:m/>
    <x:x v="9"/>
    <x:x v="4"/>
    <x:x v="1"/>
    <x:n v="2180"/>
    <x:n v="6540"/>
    <x:n v="2040"/>
    <x:x v="9"/>
    <x:s v="Konya"/>
  </x:r>
  <x:r>
    <x:m/>
    <x:x v="3"/>
    <x:x v="4"/>
    <x:x v="4"/>
    <x:n v="2180"/>
    <x:n v="8720"/>
    <x:n v="2720"/>
    <x:x v="9"/>
    <x:s v="Kocaeli"/>
  </x:r>
  <x:r>
    <x:m/>
    <x:x v="9"/>
    <x:x v="16"/>
    <x:x v="1"/>
    <x:n v="5775"/>
    <x:n v="17325"/>
    <x:n v="5325"/>
    <x:x v="9"/>
    <x:s v="Konya"/>
  </x:r>
  <x:r>
    <x:m/>
    <x:x v="9"/>
    <x:x v="7"/>
    <x:x v="0"/>
    <x:n v="1100"/>
    <x:n v="2200"/>
    <x:n v="600"/>
    <x:x v="9"/>
    <x:s v="Kocaeli"/>
  </x:r>
  <x:r>
    <x:m/>
    <x:x v="10"/>
    <x:x v="16"/>
    <x:x v="3"/>
    <x:n v="5775"/>
    <x:n v="28875"/>
    <x:n v="8875"/>
    <x:x v="9"/>
    <x:s v="Konya"/>
  </x:r>
  <x:r>
    <x:m/>
    <x:x v="7"/>
    <x:x v="3"/>
    <x:x v="3"/>
    <x:n v="1350"/>
    <x:n v="6750"/>
    <x:n v="2750"/>
    <x:x v="9"/>
    <x:s v="Bursa"/>
  </x:r>
  <x:r>
    <x:m/>
    <x:x v="0"/>
    <x:x v="5"/>
    <x:x v="1"/>
    <x:n v="7600"/>
    <x:n v="22800"/>
    <x:n v="4800"/>
    <x:x v="9"/>
    <x:s v="Ankara"/>
  </x:r>
  <x:r>
    <x:m/>
    <x:x v="2"/>
    <x:x v="6"/>
    <x:x v="1"/>
    <x:n v="7250"/>
    <x:n v="21750"/>
    <x:n v="6750"/>
    <x:x v="9"/>
    <x:s v="İzmir"/>
  </x:r>
  <x:r>
    <x:m/>
    <x:x v="11"/>
    <x:x v="14"/>
    <x:x v="3"/>
    <x:n v="1490"/>
    <x:n v="7450"/>
    <x:n v="3450"/>
    <x:x v="9"/>
    <x:s v="Gaziantep"/>
  </x:r>
  <x:r>
    <x:m/>
    <x:x v="3"/>
    <x:x v="14"/>
    <x:x v="1"/>
    <x:n v="1490"/>
    <x:n v="4470"/>
    <x:n v="2070"/>
    <x:x v="9"/>
    <x:s v="Diyarbakır"/>
  </x:r>
  <x:r>
    <x:m/>
    <x:x v="8"/>
    <x:x v="11"/>
    <x:x v="4"/>
    <x:n v="1090"/>
    <x:n v="4360"/>
    <x:n v="1160"/>
    <x:x v="9"/>
    <x:s v="İzmir"/>
  </x:r>
  <x:r>
    <x:m/>
    <x:x v="8"/>
    <x:x v="9"/>
    <x:x v="3"/>
    <x:n v="1200"/>
    <x:n v="6000"/>
    <x:n v="2000"/>
    <x:x v="9"/>
    <x:s v="İzmir"/>
  </x:r>
  <x:r>
    <x:m/>
    <x:x v="11"/>
    <x:x v="11"/>
    <x:x v="1"/>
    <x:n v="1090"/>
    <x:n v="3270"/>
    <x:n v="870"/>
    <x:x v="9"/>
    <x:s v="Mersin"/>
  </x:r>
  <x:r>
    <x:m/>
    <x:x v="11"/>
    <x:x v="4"/>
    <x:x v="0"/>
    <x:n v="2180"/>
    <x:n v="4360"/>
    <x:n v="1360"/>
    <x:x v="9"/>
    <x:s v="Bursa"/>
  </x:r>
  <x:r>
    <x:m/>
    <x:x v="2"/>
    <x:x v="21"/>
    <x:x v="3"/>
    <x:n v="5300"/>
    <x:n v="26500"/>
    <x:n v="6500"/>
    <x:x v="9"/>
    <x:s v="Gaziantep"/>
  </x:r>
  <x:r>
    <x:m/>
    <x:x v="11"/>
    <x:x v="21"/>
    <x:x v="1"/>
    <x:n v="5300"/>
    <x:n v="15900"/>
    <x:n v="3900"/>
    <x:x v="9"/>
    <x:s v="Şanlıurfa"/>
  </x:r>
  <x:r>
    <x:m/>
    <x:x v="5"/>
    <x:x v="6"/>
    <x:x v="3"/>
    <x:n v="7250"/>
    <x:n v="36250"/>
    <x:n v="11250"/>
    <x:x v="9"/>
    <x:s v="İzmir"/>
  </x:r>
  <x:r>
    <x:m/>
    <x:x v="5"/>
    <x:x v="19"/>
    <x:x v="1"/>
    <x:n v="1200"/>
    <x:n v="3600"/>
    <x:n v="1200"/>
    <x:x v="9"/>
    <x:s v="Mersin"/>
  </x:r>
  <x:r>
    <x:m/>
    <x:x v="3"/>
    <x:x v="0"/>
    <x:x v="4"/>
    <x:n v="6000"/>
    <x:n v="24000"/>
    <x:n v="8000"/>
    <x:x v="9"/>
    <x:s v="Adana"/>
  </x:r>
  <x:r>
    <x:m/>
    <x:x v="2"/>
    <x:x v="2"/>
    <x:x v="1"/>
    <x:n v="8450"/>
    <x:n v="25350"/>
    <x:n v="7350"/>
    <x:x v="9"/>
    <x:s v="Kocaeli"/>
  </x:r>
  <x:r>
    <x:m/>
    <x:x v="6"/>
    <x:x v="15"/>
    <x:x v="1"/>
    <x:n v="4200"/>
    <x:n v="12600"/>
    <x:n v="3600"/>
    <x:x v="9"/>
    <x:s v="Kocaeli"/>
  </x:r>
  <x:r>
    <x:m/>
    <x:x v="6"/>
    <x:x v="13"/>
    <x:x v="0"/>
    <x:n v="10590"/>
    <x:n v="21180"/>
    <x:n v="9180"/>
    <x:x v="9"/>
    <x:s v="İzmir"/>
  </x:r>
  <x:r>
    <x:m/>
    <x:x v="5"/>
    <x:x v="19"/>
    <x:x v="4"/>
    <x:n v="1200"/>
    <x:n v="4800"/>
    <x:n v="1600"/>
    <x:x v="9"/>
    <x:s v="Bursa"/>
  </x:r>
  <x:r>
    <x:m/>
    <x:x v="10"/>
    <x:x v="7"/>
    <x:x v="4"/>
    <x:n v="1100"/>
    <x:n v="4400"/>
    <x:n v="1200"/>
    <x:x v="9"/>
    <x:s v="Hatay"/>
  </x:r>
  <x:r>
    <x:m/>
    <x:x v="9"/>
    <x:x v="23"/>
    <x:x v="3"/>
    <x:n v="3700"/>
    <x:n v="18500"/>
    <x:n v="3500"/>
    <x:x v="9"/>
    <x:s v="Gaziantep"/>
  </x:r>
  <x:r>
    <x:m/>
    <x:x v="1"/>
    <x:x v="23"/>
    <x:x v="3"/>
    <x:n v="3700"/>
    <x:n v="18500"/>
    <x:n v="3500"/>
    <x:x v="9"/>
    <x:s v="Adana"/>
  </x:r>
  <x:r>
    <x:m/>
    <x:x v="6"/>
    <x:x v="7"/>
    <x:x v="3"/>
    <x:n v="1100"/>
    <x:n v="5500"/>
    <x:n v="1500"/>
    <x:x v="10"/>
    <x:s v="Hatay"/>
  </x:r>
  <x:r>
    <x:m/>
    <x:x v="5"/>
    <x:x v="23"/>
    <x:x v="3"/>
    <x:n v="3700"/>
    <x:n v="18500"/>
    <x:n v="3500"/>
    <x:x v="10"/>
    <x:s v="Bursa"/>
  </x:r>
  <x:r>
    <x:m/>
    <x:x v="10"/>
    <x:x v="14"/>
    <x:x v="4"/>
    <x:n v="1490"/>
    <x:n v="5960"/>
    <x:n v="2760"/>
    <x:x v="10"/>
    <x:s v="Antalya"/>
  </x:r>
  <x:r>
    <x:m/>
    <x:x v="9"/>
    <x:x v="22"/>
    <x:x v="0"/>
    <x:n v="1500"/>
    <x:n v="3000"/>
    <x:n v="1400"/>
    <x:x v="10"/>
    <x:s v="Antalya"/>
  </x:r>
  <x:r>
    <x:m/>
    <x:x v="8"/>
    <x:x v="11"/>
    <x:x v="4"/>
    <x:n v="1090"/>
    <x:n v="4360"/>
    <x:n v="1160"/>
    <x:x v="10"/>
    <x:s v="İstanbul"/>
  </x:r>
  <x:r>
    <x:m/>
    <x:x v="10"/>
    <x:x v="10"/>
    <x:x v="1"/>
    <x:n v="1800"/>
    <x:n v="5400"/>
    <x:n v="3000"/>
    <x:x v="10"/>
    <x:s v="İstanbul"/>
  </x:r>
  <x:r>
    <x:m/>
    <x:x v="7"/>
    <x:x v="20"/>
    <x:x v="0"/>
    <x:n v="7530"/>
    <x:n v="15060"/>
    <x:n v="3060"/>
    <x:x v="10"/>
    <x:s v="Şanlıurfa"/>
  </x:r>
  <x:r>
    <x:m/>
    <x:x v="6"/>
    <x:x v="7"/>
    <x:x v="0"/>
    <x:n v="1100"/>
    <x:n v="2200"/>
    <x:n v="600"/>
    <x:x v="10"/>
    <x:s v="Adana"/>
  </x:r>
  <x:r>
    <x:m/>
    <x:x v="9"/>
    <x:x v="3"/>
    <x:x v="4"/>
    <x:n v="1350"/>
    <x:n v="5400"/>
    <x:n v="2200"/>
    <x:x v="10"/>
    <x:s v="Diyarbakır"/>
  </x:r>
  <x:r>
    <x:m/>
    <x:x v="8"/>
    <x:x v="3"/>
    <x:x v="1"/>
    <x:n v="1350"/>
    <x:n v="4050"/>
    <x:n v="1650"/>
    <x:x v="10"/>
    <x:s v="Diyarbakır"/>
  </x:r>
  <x:r>
    <x:m/>
    <x:x v="7"/>
    <x:x v="11"/>
    <x:x v="3"/>
    <x:n v="1090"/>
    <x:n v="5450"/>
    <x:n v="1450"/>
    <x:x v="10"/>
    <x:s v="Gaziantep"/>
  </x:r>
  <x:r>
    <x:m/>
    <x:x v="7"/>
    <x:x v="15"/>
    <x:x v="3"/>
    <x:n v="4200"/>
    <x:n v="21000"/>
    <x:n v="6000"/>
    <x:x v="10"/>
    <x:s v="Diyarbakır"/>
  </x:r>
  <x:r>
    <x:m/>
    <x:x v="9"/>
    <x:x v="10"/>
    <x:x v="1"/>
    <x:n v="1800"/>
    <x:n v="5400"/>
    <x:n v="3000"/>
    <x:x v="10"/>
    <x:s v="Gaziantep"/>
  </x:r>
  <x:r>
    <x:m/>
    <x:x v="11"/>
    <x:x v="11"/>
    <x:x v="3"/>
    <x:n v="1090"/>
    <x:n v="5450"/>
    <x:n v="1450"/>
    <x:x v="10"/>
    <x:s v="İzmir"/>
  </x:r>
  <x:r>
    <x:m/>
    <x:x v="0"/>
    <x:x v="5"/>
    <x:x v="1"/>
    <x:n v="7600"/>
    <x:n v="22800"/>
    <x:n v="4800"/>
    <x:x v="10"/>
    <x:s v="Gaziantep"/>
  </x:r>
  <x:r>
    <x:m/>
    <x:x v="8"/>
    <x:x v="5"/>
    <x:x v="4"/>
    <x:n v="7600"/>
    <x:n v="30400"/>
    <x:n v="6400"/>
    <x:x v="10"/>
    <x:s v="Konya"/>
  </x:r>
  <x:r>
    <x:m/>
    <x:x v="2"/>
    <x:x v="23"/>
    <x:x v="4"/>
    <x:n v="3700"/>
    <x:n v="14800"/>
    <x:n v="2800"/>
    <x:x v="10"/>
    <x:s v="İzmir"/>
  </x:r>
  <x:r>
    <x:m/>
    <x:x v="4"/>
    <x:x v="6"/>
    <x:x v="3"/>
    <x:n v="7250"/>
    <x:n v="36250"/>
    <x:n v="11250"/>
    <x:x v="10"/>
    <x:s v="Antalya"/>
  </x:r>
  <x:r>
    <x:m/>
    <x:x v="1"/>
    <x:x v="5"/>
    <x:x v="1"/>
    <x:n v="7600"/>
    <x:n v="22800"/>
    <x:n v="4800"/>
    <x:x v="10"/>
    <x:s v="Antalya"/>
  </x:r>
  <x:r>
    <x:m/>
    <x:x v="10"/>
    <x:x v="15"/>
    <x:x v="1"/>
    <x:n v="4200"/>
    <x:n v="12600"/>
    <x:n v="3600"/>
    <x:x v="10"/>
    <x:s v="Mersin"/>
  </x:r>
  <x:r>
    <x:m/>
    <x:x v="6"/>
    <x:x v="18"/>
    <x:x v="1"/>
    <x:n v="1250"/>
    <x:n v="3750"/>
    <x:n v="1350"/>
    <x:x v="10"/>
    <x:s v="Kocaeli"/>
  </x:r>
  <x:r>
    <x:m/>
    <x:x v="8"/>
    <x:x v="11"/>
    <x:x v="1"/>
    <x:n v="1090"/>
    <x:n v="3270"/>
    <x:n v="870"/>
    <x:x v="10"/>
    <x:s v="İzmir"/>
  </x:r>
  <x:r>
    <x:m/>
    <x:x v="3"/>
    <x:x v="4"/>
    <x:x v="3"/>
    <x:n v="2180"/>
    <x:n v="10900"/>
    <x:n v="3400"/>
    <x:x v="10"/>
    <x:s v="Şanlıurfa"/>
  </x:r>
  <x:r>
    <x:m/>
    <x:x v="11"/>
    <x:x v="23"/>
    <x:x v="0"/>
    <x:n v="3700"/>
    <x:n v="7400"/>
    <x:n v="1400"/>
    <x:x v="10"/>
    <x:s v="Adana"/>
  </x:r>
  <x:r>
    <x:m/>
    <x:x v="9"/>
    <x:x v="0"/>
    <x:x v="3"/>
    <x:n v="6000"/>
    <x:n v="30000"/>
    <x:n v="10000"/>
    <x:x v="10"/>
    <x:s v="Hatay"/>
  </x:r>
  <x:r>
    <x:m/>
    <x:x v="10"/>
    <x:x v="18"/>
    <x:x v="1"/>
    <x:n v="1250"/>
    <x:n v="3750"/>
    <x:n v="1350"/>
    <x:x v="10"/>
    <x:s v="İzmir"/>
  </x:r>
  <x:r>
    <x:m/>
    <x:x v="11"/>
    <x:x v="5"/>
    <x:x v="0"/>
    <x:n v="7600"/>
    <x:n v="15200"/>
    <x:n v="3200"/>
    <x:x v="10"/>
    <x:s v="Adana"/>
  </x:r>
  <x:r>
    <x:m/>
    <x:x v="0"/>
    <x:x v="1"/>
    <x:x v="0"/>
    <x:n v="1400"/>
    <x:n v="2800"/>
    <x:n v="1200"/>
    <x:x v="10"/>
    <x:s v="Ankara"/>
  </x:r>
  <x:r>
    <x:m/>
    <x:x v="4"/>
    <x:x v="4"/>
    <x:x v="4"/>
    <x:n v="2180"/>
    <x:n v="8720"/>
    <x:n v="2720"/>
    <x:x v="10"/>
    <x:s v="Diyarbakır"/>
  </x:r>
  <x:r>
    <x:m/>
    <x:x v="0"/>
    <x:x v="10"/>
    <x:x v="4"/>
    <x:n v="1800"/>
    <x:n v="7200"/>
    <x:n v="4000"/>
    <x:x v="10"/>
    <x:s v="İzmir"/>
  </x:r>
  <x:r>
    <x:m/>
    <x:x v="2"/>
    <x:x v="22"/>
    <x:x v="4"/>
    <x:n v="1500"/>
    <x:n v="6000"/>
    <x:n v="2800"/>
    <x:x v="10"/>
    <x:s v="Konya"/>
  </x:r>
  <x:r>
    <x:m/>
    <x:x v="6"/>
    <x:x v="2"/>
    <x:x v="0"/>
    <x:n v="8450"/>
    <x:n v="16900"/>
    <x:n v="4900"/>
    <x:x v="10"/>
    <x:s v="İstanbul"/>
  </x:r>
  <x:r>
    <x:m/>
    <x:x v="9"/>
    <x:x v="22"/>
    <x:x v="4"/>
    <x:n v="1500"/>
    <x:n v="6000"/>
    <x:n v="2800"/>
    <x:x v="10"/>
    <x:s v="İstanbul"/>
  </x:r>
  <x:r>
    <x:m/>
    <x:x v="5"/>
    <x:x v="0"/>
    <x:x v="0"/>
    <x:n v="6000"/>
    <x:n v="12000"/>
    <x:n v="4000"/>
    <x:x v="10"/>
    <x:s v="Bursa"/>
  </x:r>
  <x:r>
    <x:m/>
    <x:x v="11"/>
    <x:x v="19"/>
    <x:x v="0"/>
    <x:n v="1200"/>
    <x:n v="2400"/>
    <x:n v="800"/>
    <x:x v="10"/>
    <x:s v="Konya"/>
  </x:r>
  <x:r>
    <x:m/>
    <x:x v="0"/>
    <x:x v="15"/>
    <x:x v="4"/>
    <x:n v="4200"/>
    <x:n v="16800"/>
    <x:n v="4800"/>
    <x:x v="10"/>
    <x:s v="İzmir"/>
  </x:r>
  <x:r>
    <x:m/>
    <x:x v="10"/>
    <x:x v="5"/>
    <x:x v="0"/>
    <x:n v="7600"/>
    <x:n v="15200"/>
    <x:n v="3200"/>
    <x:x v="10"/>
    <x:s v="Şanlıurfa"/>
  </x:r>
  <x:r>
    <x:m/>
    <x:x v="5"/>
    <x:x v="6"/>
    <x:x v="0"/>
    <x:n v="7250"/>
    <x:n v="14500"/>
    <x:n v="4500"/>
    <x:x v="10"/>
    <x:s v="Hatay"/>
  </x:r>
  <x:r>
    <x:m/>
    <x:x v="1"/>
    <x:x v="20"/>
    <x:x v="4"/>
    <x:n v="7530"/>
    <x:n v="30120"/>
    <x:n v="6120"/>
    <x:x v="10"/>
    <x:s v="Hatay"/>
  </x:r>
  <x:r>
    <x:m/>
    <x:x v="2"/>
    <x:x v="6"/>
    <x:x v="0"/>
    <x:n v="7250"/>
    <x:n v="14500"/>
    <x:n v="4500"/>
    <x:x v="10"/>
    <x:s v="Konya"/>
  </x:r>
  <x:r>
    <x:m/>
    <x:x v="1"/>
    <x:x v="0"/>
    <x:x v="3"/>
    <x:n v="6000"/>
    <x:n v="30000"/>
    <x:n v="10000"/>
    <x:x v="10"/>
    <x:s v="Gaziantep"/>
  </x:r>
  <x:r>
    <x:m/>
    <x:x v="5"/>
    <x:x v="19"/>
    <x:x v="1"/>
    <x:n v="1200"/>
    <x:n v="3600"/>
    <x:n v="1200"/>
    <x:x v="10"/>
    <x:s v="Gaziantep"/>
  </x:r>
  <x:r>
    <x:m/>
    <x:x v="11"/>
    <x:x v="21"/>
    <x:x v="0"/>
    <x:n v="5300"/>
    <x:n v="10600"/>
    <x:n v="2600"/>
    <x:x v="10"/>
    <x:s v="Adana"/>
  </x:r>
  <x:r>
    <x:m/>
    <x:x v="8"/>
    <x:x v="2"/>
    <x:x v="4"/>
    <x:n v="8450"/>
    <x:n v="33800"/>
    <x:n v="9800"/>
    <x:x v="10"/>
    <x:s v="Diyarbakır"/>
  </x:r>
  <x:r>
    <x:m/>
    <x:x v="4"/>
    <x:x v="3"/>
    <x:x v="1"/>
    <x:n v="1350"/>
    <x:n v="4050"/>
    <x:n v="1650"/>
    <x:x v="10"/>
    <x:s v="Mersin"/>
  </x:r>
  <x:r>
    <x:m/>
    <x:x v="6"/>
    <x:x v="11"/>
    <x:x v="0"/>
    <x:n v="1090"/>
    <x:n v="2180"/>
    <x:n v="580"/>
    <x:x v="10"/>
    <x:s v="Kocaeli"/>
  </x:r>
  <x:r>
    <x:m/>
    <x:x v="4"/>
    <x:x v="4"/>
    <x:x v="4"/>
    <x:n v="2180"/>
    <x:n v="8720"/>
    <x:n v="2720"/>
    <x:x v="10"/>
    <x:s v="Diyarbakır"/>
  </x:r>
  <x:r>
    <x:m/>
    <x:x v="1"/>
    <x:x v="23"/>
    <x:x v="0"/>
    <x:n v="3700"/>
    <x:n v="7400"/>
    <x:n v="1400"/>
    <x:x v="10"/>
    <x:s v="İstanbul"/>
  </x:r>
  <x:r>
    <x:m/>
    <x:x v="6"/>
    <x:x v="7"/>
    <x:x v="1"/>
    <x:n v="1100"/>
    <x:n v="3300"/>
    <x:n v="900"/>
    <x:x v="10"/>
    <x:s v="Kocaeli"/>
  </x:r>
  <x:r>
    <x:m/>
    <x:x v="5"/>
    <x:x v="23"/>
    <x:x v="0"/>
    <x:n v="3700"/>
    <x:n v="7400"/>
    <x:n v="1400"/>
    <x:x v="10"/>
    <x:s v="İzmir"/>
  </x:r>
  <x:r>
    <x:m/>
    <x:x v="10"/>
    <x:x v="14"/>
    <x:x v="1"/>
    <x:n v="1490"/>
    <x:n v="4470"/>
    <x:n v="2070"/>
    <x:x v="10"/>
    <x:s v="Diyarbakır"/>
  </x:r>
  <x:r>
    <x:m/>
    <x:x v="9"/>
    <x:x v="22"/>
    <x:x v="1"/>
    <x:n v="1500"/>
    <x:n v="4500"/>
    <x:n v="2100"/>
    <x:x v="10"/>
    <x:s v="İzmir"/>
  </x:r>
  <x:r>
    <x:m/>
    <x:x v="8"/>
    <x:x v="11"/>
    <x:x v="4"/>
    <x:n v="1090"/>
    <x:n v="4360"/>
    <x:n v="1160"/>
    <x:x v="10"/>
    <x:s v="Ankara"/>
  </x:r>
  <x:r>
    <x:m/>
    <x:x v="10"/>
    <x:x v="10"/>
    <x:x v="4"/>
    <x:n v="1800"/>
    <x:n v="7200"/>
    <x:n v="4000"/>
    <x:x v="10"/>
    <x:s v="Adana"/>
  </x:r>
  <x:r>
    <x:m/>
    <x:x v="7"/>
    <x:x v="20"/>
    <x:x v="3"/>
    <x:n v="7530"/>
    <x:n v="37650"/>
    <x:n v="7650"/>
    <x:x v="10"/>
    <x:s v="Adana"/>
  </x:r>
  <x:r>
    <x:m/>
    <x:x v="6"/>
    <x:x v="7"/>
    <x:x v="0"/>
    <x:n v="1100"/>
    <x:n v="2200"/>
    <x:n v="600"/>
    <x:x v="10"/>
    <x:s v="Bursa"/>
  </x:r>
  <x:r>
    <x:m/>
    <x:x v="9"/>
    <x:x v="3"/>
    <x:x v="0"/>
    <x:n v="1350"/>
    <x:n v="2700"/>
    <x:n v="1100"/>
    <x:x v="10"/>
    <x:s v="Bursa"/>
  </x:r>
  <x:r>
    <x:m/>
    <x:x v="8"/>
    <x:x v="3"/>
    <x:x v="0"/>
    <x:n v="1350"/>
    <x:n v="2700"/>
    <x:n v="1100"/>
    <x:x v="10"/>
    <x:s v="Antalya"/>
  </x:r>
  <x:r>
    <x:m/>
    <x:x v="7"/>
    <x:x v="11"/>
    <x:x v="0"/>
    <x:n v="1090"/>
    <x:n v="2180"/>
    <x:n v="580"/>
    <x:x v="10"/>
    <x:s v="Bursa"/>
  </x:r>
  <x:r>
    <x:m/>
    <x:x v="7"/>
    <x:x v="15"/>
    <x:x v="1"/>
    <x:n v="4200"/>
    <x:n v="12600"/>
    <x:n v="3600"/>
    <x:x v="10"/>
    <x:s v="Konya"/>
  </x:r>
  <x:r>
    <x:m/>
    <x:x v="9"/>
    <x:x v="10"/>
    <x:x v="3"/>
    <x:n v="1800"/>
    <x:n v="9000"/>
    <x:n v="5000"/>
    <x:x v="10"/>
    <x:s v="Kocaeli"/>
  </x:r>
  <x:r>
    <x:m/>
    <x:x v="11"/>
    <x:x v="11"/>
    <x:x v="3"/>
    <x:n v="1090"/>
    <x:n v="5450"/>
    <x:n v="1450"/>
    <x:x v="10"/>
    <x:s v="Kocaeli"/>
  </x:r>
  <x:r>
    <x:m/>
    <x:x v="0"/>
    <x:x v="5"/>
    <x:x v="3"/>
    <x:n v="7600"/>
    <x:n v="38000"/>
    <x:n v="8000"/>
    <x:x v="10"/>
    <x:s v="İstanbul"/>
  </x:r>
  <x:r>
    <x:m/>
    <x:x v="8"/>
    <x:x v="5"/>
    <x:x v="0"/>
    <x:n v="7600"/>
    <x:n v="15200"/>
    <x:n v="3200"/>
    <x:x v="10"/>
    <x:s v="Ankara"/>
  </x:r>
  <x:r>
    <x:m/>
    <x:x v="2"/>
    <x:x v="23"/>
    <x:x v="4"/>
    <x:n v="3700"/>
    <x:n v="14800"/>
    <x:n v="2800"/>
    <x:x v="10"/>
    <x:s v="Hatay"/>
  </x:r>
  <x:r>
    <x:m/>
    <x:x v="4"/>
    <x:x v="6"/>
    <x:x v="0"/>
    <x:n v="7250"/>
    <x:n v="14500"/>
    <x:n v="4500"/>
    <x:x v="10"/>
    <x:s v="İstanbul"/>
  </x:r>
  <x:r>
    <x:m/>
    <x:x v="1"/>
    <x:x v="5"/>
    <x:x v="4"/>
    <x:n v="7600"/>
    <x:n v="30400"/>
    <x:n v="6400"/>
    <x:x v="10"/>
    <x:s v="Mersin"/>
  </x:r>
  <x:r>
    <x:m/>
    <x:x v="10"/>
    <x:x v="15"/>
    <x:x v="0"/>
    <x:n v="4200"/>
    <x:n v="8400"/>
    <x:n v="2400"/>
    <x:x v="10"/>
    <x:s v="Konya"/>
  </x:r>
  <x:r>
    <x:m/>
    <x:x v="6"/>
    <x:x v="18"/>
    <x:x v="3"/>
    <x:n v="1250"/>
    <x:n v="6250"/>
    <x:n v="2250"/>
    <x:x v="10"/>
    <x:s v="Şanlıurfa"/>
  </x:r>
  <x:r>
    <x:m/>
    <x:x v="8"/>
    <x:x v="11"/>
    <x:x v="3"/>
    <x:n v="1090"/>
    <x:n v="5450"/>
    <x:n v="1450"/>
    <x:x v="10"/>
    <x:s v="Şanlıurfa"/>
  </x:r>
  <x:r>
    <x:m/>
    <x:x v="3"/>
    <x:x v="4"/>
    <x:x v="1"/>
    <x:n v="2180"/>
    <x:n v="6540"/>
    <x:n v="2040"/>
    <x:x v="10"/>
    <x:s v="Diyarbakır"/>
  </x:r>
  <x:r>
    <x:m/>
    <x:x v="11"/>
    <x:x v="23"/>
    <x:x v="3"/>
    <x:n v="3700"/>
    <x:n v="18500"/>
    <x:n v="3500"/>
    <x:x v="10"/>
    <x:s v="Adana"/>
  </x:r>
  <x:r>
    <x:m/>
    <x:x v="9"/>
    <x:x v="0"/>
    <x:x v="1"/>
    <x:n v="6000"/>
    <x:n v="18000"/>
    <x:n v="6000"/>
    <x:x v="10"/>
    <x:s v="Bursa"/>
  </x:r>
  <x:r>
    <x:m/>
    <x:x v="10"/>
    <x:x v="18"/>
    <x:x v="3"/>
    <x:n v="1250"/>
    <x:n v="6250"/>
    <x:n v="2250"/>
    <x:x v="10"/>
    <x:s v="Bursa"/>
  </x:r>
  <x:r>
    <x:m/>
    <x:x v="11"/>
    <x:x v="5"/>
    <x:x v="1"/>
    <x:n v="7600"/>
    <x:n v="22800"/>
    <x:n v="4800"/>
    <x:x v="10"/>
    <x:s v="Bursa"/>
  </x:r>
  <x:r>
    <x:m/>
    <x:x v="0"/>
    <x:x v="1"/>
    <x:x v="0"/>
    <x:n v="1400"/>
    <x:n v="2800"/>
    <x:n v="1200"/>
    <x:x v="10"/>
    <x:s v="Adana"/>
  </x:r>
  <x:r>
    <x:m/>
    <x:x v="4"/>
    <x:x v="4"/>
    <x:x v="1"/>
    <x:n v="2180"/>
    <x:n v="6540"/>
    <x:n v="2040"/>
    <x:x v="10"/>
    <x:s v="Şanlıurfa"/>
  </x:r>
  <x:r>
    <x:m/>
    <x:x v="0"/>
    <x:x v="10"/>
    <x:x v="4"/>
    <x:n v="1800"/>
    <x:n v="7200"/>
    <x:n v="4000"/>
    <x:x v="10"/>
    <x:s v="Şanlıurfa"/>
  </x:r>
  <x:r>
    <x:m/>
    <x:x v="2"/>
    <x:x v="22"/>
    <x:x v="1"/>
    <x:n v="1500"/>
    <x:n v="4500"/>
    <x:n v="2100"/>
    <x:x v="10"/>
    <x:s v="İzmir"/>
  </x:r>
  <x:r>
    <x:m/>
    <x:x v="6"/>
    <x:x v="2"/>
    <x:x v="0"/>
    <x:n v="8450"/>
    <x:n v="16900"/>
    <x:n v="4900"/>
    <x:x v="10"/>
    <x:s v="Konya"/>
  </x:r>
  <x:r>
    <x:m/>
    <x:x v="9"/>
    <x:x v="22"/>
    <x:x v="1"/>
    <x:n v="1500"/>
    <x:n v="4500"/>
    <x:n v="2100"/>
    <x:x v="10"/>
    <x:s v="Adana"/>
  </x:r>
  <x:r>
    <x:m/>
    <x:x v="5"/>
    <x:x v="0"/>
    <x:x v="0"/>
    <x:n v="6000"/>
    <x:n v="12000"/>
    <x:n v="4000"/>
    <x:x v="10"/>
    <x:s v="Adana"/>
  </x:r>
  <x:r>
    <x:m/>
    <x:x v="11"/>
    <x:x v="19"/>
    <x:x v="0"/>
    <x:n v="1200"/>
    <x:n v="2400"/>
    <x:n v="800"/>
    <x:x v="10"/>
    <x:s v="Antalya"/>
  </x:r>
  <x:r>
    <x:m/>
    <x:x v="0"/>
    <x:x v="15"/>
    <x:x v="4"/>
    <x:n v="4200"/>
    <x:n v="16800"/>
    <x:n v="4800"/>
    <x:x v="10"/>
    <x:s v="Şanlıurfa"/>
  </x:r>
  <x:r>
    <x:m/>
    <x:x v="10"/>
    <x:x v="5"/>
    <x:x v="4"/>
    <x:n v="7600"/>
    <x:n v="30400"/>
    <x:n v="6400"/>
    <x:x v="10"/>
    <x:s v="İzmir"/>
  </x:r>
  <x:r>
    <x:m/>
    <x:x v="5"/>
    <x:x v="6"/>
    <x:x v="3"/>
    <x:n v="7250"/>
    <x:n v="36250"/>
    <x:n v="11250"/>
    <x:x v="10"/>
    <x:s v="Diyarbakır"/>
  </x:r>
  <x:r>
    <x:m/>
    <x:x v="1"/>
    <x:x v="20"/>
    <x:x v="4"/>
    <x:n v="7530"/>
    <x:n v="30120"/>
    <x:n v="6120"/>
    <x:x v="10"/>
    <x:s v="İzmir"/>
  </x:r>
  <x:r>
    <x:m/>
    <x:x v="2"/>
    <x:x v="6"/>
    <x:x v="1"/>
    <x:n v="7250"/>
    <x:n v="21750"/>
    <x:n v="6750"/>
    <x:x v="10"/>
    <x:s v="Adana"/>
  </x:r>
  <x:r>
    <x:m/>
    <x:x v="1"/>
    <x:x v="0"/>
    <x:x v="0"/>
    <x:n v="6000"/>
    <x:n v="12000"/>
    <x:n v="4000"/>
    <x:x v="10"/>
    <x:s v="Konya"/>
  </x:r>
  <x:r>
    <x:m/>
    <x:x v="5"/>
    <x:x v="19"/>
    <x:x v="1"/>
    <x:n v="1200"/>
    <x:n v="3600"/>
    <x:n v="1200"/>
    <x:x v="10"/>
    <x:s v="Gaziantep"/>
  </x:r>
  <x:r>
    <x:m/>
    <x:x v="11"/>
    <x:x v="21"/>
    <x:x v="0"/>
    <x:n v="5300"/>
    <x:n v="10600"/>
    <x:n v="2600"/>
    <x:x v="10"/>
    <x:s v="Konya"/>
  </x:r>
  <x:r>
    <x:m/>
    <x:x v="8"/>
    <x:x v="2"/>
    <x:x v="0"/>
    <x:n v="8450"/>
    <x:n v="16900"/>
    <x:n v="4900"/>
    <x:x v="10"/>
    <x:s v="Hatay"/>
  </x:r>
  <x:r>
    <x:m/>
    <x:x v="4"/>
    <x:x v="3"/>
    <x:x v="3"/>
    <x:n v="1350"/>
    <x:n v="6750"/>
    <x:n v="2750"/>
    <x:x v="10"/>
    <x:s v="Ankara"/>
  </x:r>
  <x:r>
    <x:m/>
    <x:x v="6"/>
    <x:x v="11"/>
    <x:x v="3"/>
    <x:n v="1090"/>
    <x:n v="5450"/>
    <x:n v="1450"/>
    <x:x v="10"/>
    <x:s v="Diyarbakır"/>
  </x:r>
  <x:r>
    <x:m/>
    <x:x v="4"/>
    <x:x v="4"/>
    <x:x v="3"/>
    <x:n v="2180"/>
    <x:n v="10900"/>
    <x:n v="3400"/>
    <x:x v="10"/>
    <x:s v="Konya"/>
  </x:r>
  <x:r>
    <x:m/>
    <x:x v="0"/>
    <x:x v="0"/>
    <x:x v="4"/>
    <x:n v="6000"/>
    <x:n v="24000"/>
    <x:n v="8000"/>
    <x:x v="10"/>
    <x:s v="Kocaeli"/>
  </x:r>
  <x:r>
    <x:m/>
    <x:x v="1"/>
    <x:x v="1"/>
    <x:x v="4"/>
    <x:n v="1400"/>
    <x:n v="5600"/>
    <x:n v="2400"/>
    <x:x v="10"/>
    <x:s v="Bursa"/>
  </x:r>
  <x:r>
    <x:m/>
    <x:x v="2"/>
    <x:x v="2"/>
    <x:x v="3"/>
    <x:n v="8450"/>
    <x:n v="42250"/>
    <x:n v="12250"/>
    <x:x v="10"/>
    <x:s v="Diyarbakır"/>
  </x:r>
  <x:r>
    <x:m/>
    <x:x v="3"/>
    <x:x v="3"/>
    <x:x v="1"/>
    <x:n v="1350"/>
    <x:n v="4050"/>
    <x:n v="1650"/>
    <x:x v="10"/>
    <x:s v="Antalya"/>
  </x:r>
  <x:r>
    <x:m/>
    <x:x v="0"/>
    <x:x v="4"/>
    <x:x v="0"/>
    <x:n v="2180"/>
    <x:n v="4360"/>
    <x:n v="1360"/>
    <x:x v="10"/>
    <x:s v="Gaziantep"/>
  </x:r>
  <x:r>
    <x:m/>
    <x:x v="4"/>
    <x:x v="5"/>
    <x:x v="4"/>
    <x:n v="7600"/>
    <x:n v="30400"/>
    <x:n v="6400"/>
    <x:x v="10"/>
    <x:s v="Hatay"/>
  </x:r>
  <x:r>
    <x:m/>
    <x:x v="1"/>
    <x:x v="6"/>
    <x:x v="4"/>
    <x:n v="7250"/>
    <x:n v="29000"/>
    <x:n v="9000"/>
    <x:x v="10"/>
    <x:s v="Konya"/>
  </x:r>
  <x:r>
    <x:m/>
    <x:x v="3"/>
    <x:x v="7"/>
    <x:x v="1"/>
    <x:n v="1100"/>
    <x:n v="3300"/>
    <x:n v="900"/>
    <x:x v="10"/>
    <x:s v="Şanlıurfa"/>
  </x:r>
  <x:r>
    <x:m/>
    <x:x v="5"/>
    <x:x v="0"/>
    <x:x v="1"/>
    <x:n v="6000"/>
    <x:n v="18000"/>
    <x:n v="6000"/>
    <x:x v="11"/>
    <x:s v="Ankara"/>
  </x:r>
  <x:r>
    <x:m/>
    <x:x v="0"/>
    <x:x v="9"/>
    <x:x v="4"/>
    <x:n v="1200"/>
    <x:n v="4800"/>
    <x:n v="1600"/>
    <x:x v="11"/>
    <x:s v="İzmir"/>
  </x:r>
  <x:r>
    <x:m/>
    <x:x v="6"/>
    <x:x v="10"/>
    <x:x v="0"/>
    <x:n v="1800"/>
    <x:n v="3600"/>
    <x:n v="2000"/>
    <x:x v="11"/>
    <x:s v="Antalya"/>
  </x:r>
  <x:r>
    <x:m/>
    <x:x v="6"/>
    <x:x v="11"/>
    <x:x v="3"/>
    <x:n v="1090"/>
    <x:n v="5450"/>
    <x:n v="1450"/>
    <x:x v="11"/>
    <x:s v="Gaziantep"/>
  </x:r>
  <x:r>
    <x:m/>
    <x:x v="5"/>
    <x:x v="4"/>
    <x:x v="4"/>
    <x:n v="2180"/>
    <x:n v="8720"/>
    <x:n v="2720"/>
    <x:x v="11"/>
    <x:s v="Mersin"/>
  </x:r>
  <x:r>
    <x:m/>
    <x:x v="7"/>
    <x:x v="10"/>
    <x:x v="0"/>
    <x:n v="1800"/>
    <x:n v="3600"/>
    <x:n v="2000"/>
    <x:x v="11"/>
    <x:s v="Kocaeli"/>
  </x:r>
  <x:r>
    <x:m/>
    <x:x v="4"/>
    <x:x v="12"/>
    <x:x v="3"/>
    <x:n v="8000"/>
    <x:n v="40000"/>
    <x:n v="10000"/>
    <x:x v="11"/>
    <x:s v="İstanbul"/>
  </x:r>
  <x:r>
    <x:m/>
    <x:x v="5"/>
    <x:x v="1"/>
    <x:x v="1"/>
    <x:n v="1400"/>
    <x:n v="4200"/>
    <x:n v="1800"/>
    <x:x v="11"/>
    <x:s v="Bursa"/>
  </x:r>
  <x:r>
    <x:m/>
    <x:x v="8"/>
    <x:x v="13"/>
    <x:x v="4"/>
    <x:n v="10590"/>
    <x:n v="42360"/>
    <x:n v="18360"/>
    <x:x v="11"/>
    <x:s v="Adana"/>
  </x:r>
  <x:r>
    <x:m/>
    <x:x v="9"/>
    <x:x v="3"/>
    <x:x v="1"/>
    <x:n v="1350"/>
    <x:n v="4050"/>
    <x:n v="1650"/>
    <x:x v="11"/>
    <x:s v="Konya"/>
  </x:r>
  <x:r>
    <x:m/>
    <x:x v="6"/>
    <x:x v="1"/>
    <x:x v="1"/>
    <x:n v="1400"/>
    <x:n v="4200"/>
    <x:n v="1800"/>
    <x:x v="11"/>
    <x:s v="Ankara"/>
  </x:r>
  <x:r>
    <x:m/>
    <x:x v="3"/>
    <x:x v="0"/>
    <x:x v="0"/>
    <x:n v="6000"/>
    <x:n v="12000"/>
    <x:n v="4000"/>
    <x:x v="11"/>
    <x:s v="Hatay"/>
  </x:r>
  <x:r>
    <x:m/>
    <x:x v="8"/>
    <x:x v="7"/>
    <x:x v="1"/>
    <x:n v="1100"/>
    <x:n v="3300"/>
    <x:n v="900"/>
    <x:x v="11"/>
    <x:s v="Antalya"/>
  </x:r>
  <x:r>
    <x:m/>
    <x:x v="2"/>
    <x:x v="0"/>
    <x:x v="4"/>
    <x:n v="6000"/>
    <x:n v="24000"/>
    <x:n v="8000"/>
    <x:x v="11"/>
    <x:s v="Şanlıurfa"/>
  </x:r>
  <x:r>
    <x:m/>
    <x:x v="9"/>
    <x:x v="14"/>
    <x:x v="3"/>
    <x:n v="1490"/>
    <x:n v="7450"/>
    <x:n v="3450"/>
    <x:x v="11"/>
    <x:s v="Diyarbakır"/>
  </x:r>
  <x:r>
    <x:m/>
    <x:x v="8"/>
    <x:x v="13"/>
    <x:x v="1"/>
    <x:n v="10590"/>
    <x:n v="31770"/>
    <x:n v="13770"/>
    <x:x v="11"/>
    <x:s v="Adana"/>
  </x:r>
  <x:r>
    <x:m/>
    <x:x v="2"/>
    <x:x v="12"/>
    <x:x v="3"/>
    <x:n v="8000"/>
    <x:n v="40000"/>
    <x:n v="10000"/>
    <x:x v="11"/>
    <x:s v="Konya"/>
  </x:r>
  <x:r>
    <x:m/>
    <x:x v="6"/>
    <x:x v="7"/>
    <x:x v="3"/>
    <x:n v="1100"/>
    <x:n v="5500"/>
    <x:n v="1500"/>
    <x:x v="11"/>
    <x:s v="Diyarbakır"/>
  </x:r>
  <x:r>
    <x:m/>
    <x:x v="9"/>
    <x:x v="9"/>
    <x:x v="4"/>
    <x:n v="1200"/>
    <x:n v="4800"/>
    <x:n v="1600"/>
    <x:x v="11"/>
    <x:s v="Şanlıurfa"/>
  </x:r>
  <x:r>
    <x:m/>
    <x:x v="4"/>
    <x:x v="15"/>
    <x:x v="1"/>
    <x:n v="4200"/>
    <x:n v="12600"/>
    <x:n v="3600"/>
    <x:x v="11"/>
    <x:s v="Bursa"/>
  </x:r>
  <x:r>
    <x:m/>
    <x:x v="1"/>
    <x:x v="16"/>
    <x:x v="1"/>
    <x:n v="5775"/>
    <x:n v="17325"/>
    <x:n v="5325"/>
    <x:x v="11"/>
    <x:s v="Kocaeli"/>
  </x:r>
  <x:r>
    <x:m/>
    <x:x v="10"/>
    <x:x v="5"/>
    <x:x v="1"/>
    <x:n v="7600"/>
    <x:n v="22800"/>
    <x:n v="4800"/>
    <x:x v="11"/>
    <x:s v="İzmir"/>
  </x:r>
  <x:r>
    <x:m/>
    <x:x v="1"/>
    <x:x v="6"/>
    <x:x v="4"/>
    <x:n v="7250"/>
    <x:n v="29000"/>
    <x:n v="9000"/>
    <x:x v="11"/>
    <x:s v="İstanbul"/>
  </x:r>
  <x:r>
    <x:m/>
    <x:x v="0"/>
    <x:x v="6"/>
    <x:x v="4"/>
    <x:n v="7250"/>
    <x:n v="29000"/>
    <x:n v="9000"/>
    <x:x v="11"/>
    <x:s v="İzmir"/>
  </x:r>
  <x:r>
    <x:m/>
    <x:x v="8"/>
    <x:x v="6"/>
    <x:x v="4"/>
    <x:n v="7250"/>
    <x:n v="29000"/>
    <x:n v="9000"/>
    <x:x v="11"/>
    <x:s v="İstanbul"/>
  </x:r>
  <x:r>
    <x:m/>
    <x:x v="5"/>
    <x:x v="3"/>
    <x:x v="1"/>
    <x:n v="1350"/>
    <x:n v="4050"/>
    <x:n v="1650"/>
    <x:x v="11"/>
    <x:s v="Konya"/>
  </x:r>
  <x:r>
    <x:m/>
    <x:x v="1"/>
    <x:x v="6"/>
    <x:x v="4"/>
    <x:n v="7250"/>
    <x:n v="29000"/>
    <x:n v="9000"/>
    <x:x v="11"/>
    <x:s v="Bursa"/>
  </x:r>
  <x:r>
    <x:m/>
    <x:x v="6"/>
    <x:x v="5"/>
    <x:x v="0"/>
    <x:n v="7600"/>
    <x:n v="15200"/>
    <x:n v="3200"/>
    <x:x v="11"/>
    <x:s v="Şanlıurfa"/>
  </x:r>
  <x:r>
    <x:m/>
    <x:x v="11"/>
    <x:x v="5"/>
    <x:x v="0"/>
    <x:n v="7600"/>
    <x:n v="15200"/>
    <x:n v="3200"/>
    <x:x v="11"/>
    <x:s v="Diyarbakır"/>
  </x:r>
  <x:r>
    <x:m/>
    <x:x v="1"/>
    <x:x v="14"/>
    <x:x v="0"/>
    <x:n v="1490"/>
    <x:n v="2980"/>
    <x:n v="1380"/>
    <x:x v="11"/>
    <x:s v="İzmir"/>
  </x:r>
  <x:r>
    <x:m/>
    <x:x v="5"/>
    <x:x v="17"/>
    <x:x v="0"/>
    <x:n v="2900"/>
    <x:n v="5800"/>
    <x:n v="1800"/>
    <x:x v="11"/>
    <x:s v="Kocaeli"/>
  </x:r>
  <x:r>
    <x:m/>
    <x:x v="9"/>
    <x:x v="14"/>
    <x:x v="4"/>
    <x:n v="1490"/>
    <x:n v="5960"/>
    <x:n v="2760"/>
    <x:x v="11"/>
    <x:s v="Mersin"/>
  </x:r>
  <x:r>
    <x:m/>
    <x:x v="9"/>
    <x:x v="11"/>
    <x:x v="4"/>
    <x:n v="1090"/>
    <x:n v="4360"/>
    <x:n v="1160"/>
    <x:x v="11"/>
    <x:s v="Mersin"/>
  </x:r>
  <x:r>
    <x:m/>
    <x:x v="5"/>
    <x:x v="9"/>
    <x:x v="3"/>
    <x:n v="1200"/>
    <x:n v="6000"/>
    <x:n v="2000"/>
    <x:x v="11"/>
    <x:s v="Mersin"/>
  </x:r>
  <x:r>
    <x:m/>
    <x:x v="8"/>
    <x:x v="13"/>
    <x:x v="0"/>
    <x:n v="10590"/>
    <x:n v="21180"/>
    <x:n v="9180"/>
    <x:x v="11"/>
    <x:s v="Şanlıurfa"/>
  </x:r>
  <x:r>
    <x:m/>
    <x:x v="6"/>
    <x:x v="15"/>
    <x:x v="4"/>
    <x:n v="4200"/>
    <x:n v="16800"/>
    <x:n v="4800"/>
    <x:x v="11"/>
    <x:s v="Antalya"/>
  </x:r>
  <x:r>
    <x:m/>
    <x:x v="3"/>
    <x:x v="15"/>
    <x:x v="0"/>
    <x:n v="4200"/>
    <x:n v="8400"/>
    <x:n v="2400"/>
    <x:x v="11"/>
    <x:s v="Mersin"/>
  </x:r>
  <x:r>
    <x:m/>
    <x:x v="7"/>
    <x:x v="13"/>
    <x:x v="3"/>
    <x:n v="10590"/>
    <x:n v="52950"/>
    <x:n v="22950"/>
    <x:x v="11"/>
    <x:s v="Mersin"/>
  </x:r>
  <x:r>
    <x:m/>
    <x:x v="11"/>
    <x:x v="18"/>
    <x:x v="1"/>
    <x:n v="1250"/>
    <x:n v="3750"/>
    <x:n v="1350"/>
    <x:x v="11"/>
    <x:s v="İstanbul"/>
  </x:r>
  <x:r>
    <x:m/>
    <x:x v="0"/>
    <x:x v="14"/>
    <x:x v="1"/>
    <x:n v="1490"/>
    <x:n v="4470"/>
    <x:n v="2070"/>
    <x:x v="11"/>
    <x:s v="Gaziantep"/>
  </x:r>
  <x:r>
    <x:m/>
    <x:x v="6"/>
    <x:x v="9"/>
    <x:x v="3"/>
    <x:n v="1200"/>
    <x:n v="6000"/>
    <x:n v="2000"/>
    <x:x v="11"/>
    <x:s v="Gaziantep"/>
  </x:r>
  <x:r>
    <x:m/>
    <x:x v="2"/>
    <x:x v="4"/>
    <x:x v="3"/>
    <x:n v="2180"/>
    <x:n v="10900"/>
    <x:n v="3400"/>
    <x:x v="11"/>
    <x:s v="Ankara"/>
  </x:r>
  <x:r>
    <x:m/>
    <x:x v="9"/>
    <x:x v="19"/>
    <x:x v="0"/>
    <x:n v="1200"/>
    <x:n v="2400"/>
    <x:n v="800"/>
    <x:x v="11"/>
    <x:s v="Mersin"/>
  </x:r>
  <x:r>
    <x:m/>
    <x:x v="0"/>
    <x:x v="10"/>
    <x:x v="0"/>
    <x:n v="1800"/>
    <x:n v="3600"/>
    <x:n v="2000"/>
    <x:x v="11"/>
    <x:s v="Adana"/>
  </x:r>
  <x:r>
    <x:m/>
    <x:x v="2"/>
    <x:x v="5"/>
    <x:x v="0"/>
    <x:n v="7600"/>
    <x:n v="15200"/>
    <x:n v="3200"/>
    <x:x v="11"/>
    <x:s v="Antalya"/>
  </x:r>
  <x:r>
    <x:m/>
    <x:x v="7"/>
    <x:x v="20"/>
    <x:x v="4"/>
    <x:n v="7530"/>
    <x:n v="30120"/>
    <x:n v="6120"/>
    <x:x v="11"/>
    <x:s v="İzmir"/>
  </x:r>
  <x:r>
    <x:m/>
    <x:x v="11"/>
    <x:x v="14"/>
    <x:x v="3"/>
    <x:n v="1490"/>
    <x:n v="7450"/>
    <x:n v="3450"/>
    <x:x v="11"/>
    <x:s v="Antalya"/>
  </x:r>
  <x:r>
    <x:m/>
    <x:x v="0"/>
    <x:x v="21"/>
    <x:x v="1"/>
    <x:n v="5300"/>
    <x:n v="15900"/>
    <x:n v="3900"/>
    <x:x v="11"/>
    <x:s v="Bursa"/>
  </x:r>
  <x:r>
    <x:m/>
    <x:x v="4"/>
    <x:x v="9"/>
    <x:x v="0"/>
    <x:n v="1200"/>
    <x:n v="2400"/>
    <x:n v="800"/>
    <x:x v="11"/>
    <x:s v="Ankara"/>
  </x:r>
  <x:r>
    <x:m/>
    <x:x v="9"/>
    <x:x v="11"/>
    <x:x v="1"/>
    <x:n v="1090"/>
    <x:n v="3270"/>
    <x:n v="870"/>
    <x:x v="11"/>
    <x:s v="Adana"/>
  </x:r>
  <x:r>
    <x:m/>
    <x:x v="4"/>
    <x:x v="6"/>
    <x:x v="4"/>
    <x:n v="7250"/>
    <x:n v="29000"/>
    <x:n v="9000"/>
    <x:x v="11"/>
    <x:s v="Şanlıurfa"/>
  </x:r>
  <x:r>
    <x:m/>
    <x:x v="10"/>
    <x:x v="1"/>
    <x:x v="4"/>
    <x:n v="1400"/>
    <x:n v="5600"/>
    <x:n v="2400"/>
    <x:x v="11"/>
    <x:s v="Hatay"/>
  </x:r>
  <x:r>
    <x:m/>
    <x:x v="2"/>
    <x:x v="22"/>
    <x:x v="1"/>
    <x:n v="1500"/>
    <x:n v="4500"/>
    <x:n v="2100"/>
    <x:x v="11"/>
    <x:s v="İstanbul"/>
  </x:r>
  <x:r>
    <x:m/>
    <x:x v="7"/>
    <x:x v="3"/>
    <x:x v="1"/>
    <x:n v="1350"/>
    <x:n v="4050"/>
    <x:n v="1650"/>
    <x:x v="11"/>
    <x:s v="Gaziantep"/>
  </x:r>
  <x:r>
    <x:m/>
    <x:x v="7"/>
    <x:x v="9"/>
    <x:x v="0"/>
    <x:n v="1200"/>
    <x:n v="2400"/>
    <x:n v="800"/>
    <x:x v="11"/>
    <x:s v="Bursa"/>
  </x:r>
  <x:r>
    <x:m/>
    <x:x v="1"/>
    <x:x v="20"/>
    <x:x v="0"/>
    <x:n v="7530"/>
    <x:n v="15060"/>
    <x:n v="3060"/>
    <x:x v="11"/>
    <x:s v="Diyarbakır"/>
  </x:r>
  <x:r>
    <x:m/>
    <x:x v="10"/>
    <x:x v="9"/>
    <x:x v="0"/>
    <x:n v="1200"/>
    <x:n v="2400"/>
    <x:n v="800"/>
    <x:x v="11"/>
    <x:s v="Kocaeli"/>
  </x:r>
  <x:r>
    <x:m/>
    <x:x v="8"/>
    <x:x v="10"/>
    <x:x v="0"/>
    <x:n v="1800"/>
    <x:n v="3600"/>
    <x:n v="2000"/>
    <x:x v="11"/>
    <x:s v="Şanlıurfa"/>
  </x:r>
  <x:r>
    <x:m/>
    <x:x v="0"/>
    <x:x v="6"/>
    <x:x v="0"/>
    <x:n v="7250"/>
    <x:n v="14500"/>
    <x:n v="4500"/>
    <x:x v="11"/>
    <x:s v="Hatay"/>
  </x:r>
  <x:r>
    <x:m/>
    <x:x v="9"/>
    <x:x v="14"/>
    <x:x v="4"/>
    <x:n v="1490"/>
    <x:n v="5960"/>
    <x:n v="2760"/>
    <x:x v="11"/>
    <x:s v="Gaziantep"/>
  </x:r>
  <x:r>
    <x:m/>
    <x:x v="9"/>
    <x:x v="19"/>
    <x:x v="0"/>
    <x:n v="1200"/>
    <x:n v="2400"/>
    <x:n v="800"/>
    <x:x v="11"/>
    <x:s v="Konya"/>
  </x:r>
  <x:r>
    <x:m/>
    <x:x v="1"/>
    <x:x v="12"/>
    <x:x v="3"/>
    <x:n v="8000"/>
    <x:n v="40000"/>
    <x:n v="10000"/>
    <x:x v="11"/>
    <x:s v="Konya"/>
  </x:r>
  <x:r>
    <x:m/>
    <x:x v="6"/>
    <x:x v="1"/>
    <x:x v="3"/>
    <x:n v="1400"/>
    <x:n v="7000"/>
    <x:n v="3000"/>
    <x:x v="11"/>
    <x:s v="Diyarbakır"/>
  </x:r>
  <x:r>
    <x:m/>
    <x:x v="5"/>
    <x:x v="3"/>
    <x:x v="4"/>
    <x:n v="1350"/>
    <x:n v="5400"/>
    <x:n v="2200"/>
    <x:x v="11"/>
    <x:s v="Bursa"/>
  </x:r>
  <x:r>
    <x:m/>
    <x:x v="8"/>
    <x:x v="19"/>
    <x:x v="4"/>
    <x:n v="1200"/>
    <x:n v="4800"/>
    <x:n v="1600"/>
    <x:x v="11"/>
    <x:s v="İstanbul"/>
  </x:r>
  <x:r>
    <x:m/>
    <x:x v="6"/>
    <x:x v="21"/>
    <x:x v="0"/>
    <x:n v="5300"/>
    <x:n v="10600"/>
    <x:n v="2600"/>
    <x:x v="11"/>
    <x:s v="Diyarbakır"/>
  </x:r>
  <x:r>
    <x:m/>
    <x:x v="9"/>
    <x:x v="13"/>
    <x:x v="1"/>
    <x:n v="10590"/>
    <x:n v="31770"/>
    <x:n v="13770"/>
    <x:x v="11"/>
    <x:s v="İstanbul"/>
  </x:r>
  <x:r>
    <x:m/>
    <x:x v="4"/>
    <x:x v="18"/>
    <x:x v="0"/>
    <x:n v="1250"/>
    <x:n v="2500"/>
    <x:n v="900"/>
    <x:x v="11"/>
    <x:s v="Mersin"/>
  </x:r>
  <x:r>
    <x:m/>
    <x:x v="11"/>
    <x:x v="19"/>
    <x:x v="3"/>
    <x:n v="1200"/>
    <x:n v="6000"/>
    <x:n v="2000"/>
    <x:x v="11"/>
    <x:s v="Şanlıurfa"/>
  </x:r>
  <x:r>
    <x:m/>
    <x:x v="4"/>
    <x:x v="1"/>
    <x:x v="1"/>
    <x:n v="1400"/>
    <x:n v="4200"/>
    <x:n v="1800"/>
    <x:x v="11"/>
    <x:s v="Gaziantep"/>
  </x:r>
  <x:r>
    <x:m/>
    <x:x v="11"/>
    <x:x v="20"/>
    <x:x v="3"/>
    <x:n v="7530"/>
    <x:n v="37650"/>
    <x:n v="7650"/>
    <x:x v="11"/>
    <x:s v="Gaziantep"/>
  </x:r>
  <x:r>
    <x:m/>
    <x:x v="6"/>
    <x:x v="5"/>
    <x:x v="4"/>
    <x:n v="7600"/>
    <x:n v="30400"/>
    <x:n v="6400"/>
    <x:x v="11"/>
    <x:s v="Adana"/>
  </x:r>
  <x:r>
    <x:m/>
    <x:x v="11"/>
    <x:x v="22"/>
    <x:x v="4"/>
    <x:n v="1500"/>
    <x:n v="6000"/>
    <x:n v="2800"/>
    <x:x v="11"/>
    <x:s v="Ankara"/>
  </x:r>
  <x:r>
    <x:m/>
    <x:x v="9"/>
    <x:x v="4"/>
    <x:x v="0"/>
    <x:n v="2180"/>
    <x:n v="4360"/>
    <x:n v="1360"/>
    <x:x v="11"/>
    <x:s v="Kocaeli"/>
  </x:r>
  <x:r>
    <x:m/>
    <x:x v="3"/>
    <x:x v="4"/>
    <x:x v="3"/>
    <x:n v="2180"/>
    <x:n v="10900"/>
    <x:n v="3400"/>
    <x:x v="11"/>
    <x:s v="Bursa"/>
  </x:r>
  <x:r>
    <x:m/>
    <x:x v="9"/>
    <x:x v="16"/>
    <x:x v="0"/>
    <x:n v="5775"/>
    <x:n v="11550"/>
    <x:n v="3550"/>
    <x:x v="11"/>
    <x:s v="Bursa"/>
  </x:r>
  <x:r>
    <x:m/>
    <x:x v="9"/>
    <x:x v="7"/>
    <x:x v="3"/>
    <x:n v="1100"/>
    <x:n v="5500"/>
    <x:n v="1500"/>
    <x:x v="11"/>
    <x:s v="Diyarbakır"/>
  </x:r>
  <x:r>
    <x:m/>
    <x:x v="10"/>
    <x:x v="16"/>
    <x:x v="1"/>
    <x:n v="5775"/>
    <x:n v="17325"/>
    <x:n v="5325"/>
    <x:x v="11"/>
    <x:s v="İzmir"/>
  </x:r>
  <x:r>
    <x:m/>
    <x:x v="7"/>
    <x:x v="3"/>
    <x:x v="0"/>
    <x:n v="1350"/>
    <x:n v="2700"/>
    <x:n v="1100"/>
    <x:x v="11"/>
    <x:s v="Mersin"/>
  </x:r>
  <x:r>
    <x:m/>
    <x:x v="0"/>
    <x:x v="5"/>
    <x:x v="3"/>
    <x:n v="7600"/>
    <x:n v="38000"/>
    <x:n v="8000"/>
    <x:x v="11"/>
    <x:s v="Ankara"/>
  </x:r>
  <x:r>
    <x:m/>
    <x:x v="2"/>
    <x:x v="6"/>
    <x:x v="3"/>
    <x:n v="7250"/>
    <x:n v="36250"/>
    <x:n v="11250"/>
    <x:x v="11"/>
    <x:s v="Şanlıurfa"/>
  </x:r>
  <x:r>
    <x:m/>
    <x:x v="11"/>
    <x:x v="14"/>
    <x:x v="1"/>
    <x:n v="1490"/>
    <x:n v="4470"/>
    <x:n v="2070"/>
    <x:x v="11"/>
    <x:s v="Adana"/>
  </x:r>
  <x:r>
    <x:m/>
    <x:x v="3"/>
    <x:x v="14"/>
    <x:x v="0"/>
    <x:n v="1490"/>
    <x:n v="2980"/>
    <x:n v="1380"/>
    <x:x v="11"/>
    <x:s v="Mersin"/>
  </x:r>
  <x:r>
    <x:m/>
    <x:x v="8"/>
    <x:x v="11"/>
    <x:x v="1"/>
    <x:n v="1090"/>
    <x:n v="3270"/>
    <x:n v="870"/>
    <x:x v="11"/>
    <x:s v="Adana"/>
  </x:r>
  <x:r>
    <x:m/>
    <x:x v="8"/>
    <x:x v="9"/>
    <x:x v="1"/>
    <x:n v="1200"/>
    <x:n v="3600"/>
    <x:n v="1200"/>
    <x:x v="11"/>
    <x:s v="İzmir"/>
  </x:r>
  <x:r>
    <x:m/>
    <x:x v="11"/>
    <x:x v="11"/>
    <x:x v="0"/>
    <x:n v="1090"/>
    <x:n v="2180"/>
    <x:n v="580"/>
    <x:x v="11"/>
    <x:s v="İstanbul"/>
  </x:r>
  <x:r>
    <x:m/>
    <x:x v="11"/>
    <x:x v="4"/>
    <x:x v="0"/>
    <x:n v="2180"/>
    <x:n v="4360"/>
    <x:n v="1360"/>
    <x:x v="11"/>
    <x:s v="Konya"/>
  </x:r>
  <x:r>
    <x:m/>
    <x:x v="2"/>
    <x:x v="21"/>
    <x:x v="0"/>
    <x:n v="5300"/>
    <x:n v="10600"/>
    <x:n v="2600"/>
    <x:x v="11"/>
    <x:s v="İstanbul"/>
  </x:r>
  <x:r>
    <x:m/>
    <x:x v="11"/>
    <x:x v="21"/>
    <x:x v="4"/>
    <x:n v="5300"/>
    <x:n v="21200"/>
    <x:n v="5200"/>
    <x:x v="11"/>
    <x:s v="Adana"/>
  </x:r>
  <x:r>
    <x:m/>
    <x:x v="5"/>
    <x:x v="6"/>
    <x:x v="3"/>
    <x:n v="7250"/>
    <x:n v="36250"/>
    <x:n v="11250"/>
    <x:x v="11"/>
    <x:s v="Kocaeli"/>
  </x:r>
  <x:r>
    <x:m/>
    <x:x v="5"/>
    <x:x v="19"/>
    <x:x v="4"/>
    <x:n v="1200"/>
    <x:n v="4800"/>
    <x:n v="1600"/>
    <x:x v="11"/>
    <x:s v="Bursa"/>
  </x:r>
  <x:r>
    <x:m/>
    <x:x v="3"/>
    <x:x v="0"/>
    <x:x v="1"/>
    <x:n v="6000"/>
    <x:n v="18000"/>
    <x:n v="6000"/>
    <x:x v="11"/>
    <x:s v="Antalya"/>
  </x:r>
  <x:r>
    <x:m/>
    <x:x v="2"/>
    <x:x v="2"/>
    <x:x v="4"/>
    <x:n v="8450"/>
    <x:n v="33800"/>
    <x:n v="9800"/>
    <x:x v="11"/>
    <x:s v="Gaziantep"/>
  </x:r>
  <x:r>
    <x:m/>
    <x:x v="6"/>
    <x:x v="15"/>
    <x:x v="4"/>
    <x:n v="4200"/>
    <x:n v="16800"/>
    <x:n v="4800"/>
    <x:x v="11"/>
    <x:s v="Konya"/>
  </x:r>
  <x:r>
    <x:m/>
    <x:x v="6"/>
    <x:x v="13"/>
    <x:x v="0"/>
    <x:n v="10590"/>
    <x:n v="21180"/>
    <x:n v="9180"/>
    <x:x v="11"/>
    <x:s v="Ankara"/>
  </x:r>
  <x:r>
    <x:m/>
    <x:x v="5"/>
    <x:x v="19"/>
    <x:x v="3"/>
    <x:n v="1200"/>
    <x:n v="6000"/>
    <x:n v="2000"/>
    <x:x v="11"/>
    <x:s v="Kocaeli"/>
  </x:r>
  <x:r>
    <x:m/>
    <x:x v="10"/>
    <x:x v="7"/>
    <x:x v="0"/>
    <x:n v="1100"/>
    <x:n v="2200"/>
    <x:n v="600"/>
    <x:x v="11"/>
    <x:s v="Hatay"/>
  </x:r>
  <x:r>
    <x:m/>
    <x:x v="9"/>
    <x:x v="23"/>
    <x:x v="1"/>
    <x:n v="3700"/>
    <x:n v="11100"/>
    <x:n v="2100"/>
    <x:x v="11"/>
    <x:s v="Adana"/>
  </x:r>
  <x:r>
    <x:m/>
    <x:x v="1"/>
    <x:x v="23"/>
    <x:x v="1"/>
    <x:n v="3700"/>
    <x:n v="11100"/>
    <x:n v="2100"/>
    <x:x v="11"/>
    <x:s v="Antalya"/>
  </x:r>
  <x:r>
    <x:m/>
    <x:x v="6"/>
    <x:x v="7"/>
    <x:x v="4"/>
    <x:n v="1100"/>
    <x:n v="4400"/>
    <x:n v="1200"/>
    <x:x v="11"/>
    <x:s v="Mersin"/>
  </x:r>
  <x:r>
    <x:m/>
    <x:x v="5"/>
    <x:x v="23"/>
    <x:x v="0"/>
    <x:n v="3700"/>
    <x:n v="7400"/>
    <x:n v="1400"/>
    <x:x v="11"/>
    <x:s v="Ankara"/>
  </x:r>
  <x:r>
    <x:m/>
    <x:x v="10"/>
    <x:x v="14"/>
    <x:x v="3"/>
    <x:n v="1490"/>
    <x:n v="7450"/>
    <x:n v="3450"/>
    <x:x v="11"/>
    <x:s v="İstanbul"/>
  </x:r>
  <x:r>
    <x:m/>
    <x:x v="9"/>
    <x:x v="22"/>
    <x:x v="3"/>
    <x:n v="1500"/>
    <x:n v="7500"/>
    <x:n v="3500"/>
    <x:x v="11"/>
    <x:s v="Mersin"/>
  </x:r>
  <x:r>
    <x:m/>
    <x:x v="8"/>
    <x:x v="11"/>
    <x:x v="3"/>
    <x:n v="1090"/>
    <x:n v="5450"/>
    <x:n v="1450"/>
    <x:x v="11"/>
    <x:s v="İzmir"/>
  </x:r>
  <x:r>
    <x:m/>
    <x:x v="10"/>
    <x:x v="10"/>
    <x:x v="0"/>
    <x:n v="1800"/>
    <x:n v="3600"/>
    <x:n v="2000"/>
    <x:x v="11"/>
    <x:s v="Hatay"/>
  </x:r>
  <x:r>
    <x:m/>
    <x:x v="7"/>
    <x:x v="20"/>
    <x:x v="4"/>
    <x:n v="7530"/>
    <x:n v="30120"/>
    <x:n v="6120"/>
    <x:x v="11"/>
    <x:s v="İstanbul"/>
  </x:r>
  <x:r>
    <x:m/>
    <x:x v="6"/>
    <x:x v="7"/>
    <x:x v="1"/>
    <x:n v="1100"/>
    <x:n v="3300"/>
    <x:n v="900"/>
    <x:x v="11"/>
    <x:s v="Bursa"/>
  </x:r>
  <x:r>
    <x:m/>
    <x:x v="9"/>
    <x:x v="3"/>
    <x:x v="0"/>
    <x:n v="1350"/>
    <x:n v="2700"/>
    <x:n v="1100"/>
    <x:x v="11"/>
    <x:s v="Şanlıurfa"/>
  </x:r>
  <x:r>
    <x:m/>
    <x:x v="8"/>
    <x:x v="3"/>
    <x:x v="1"/>
    <x:n v="1350"/>
    <x:n v="4050"/>
    <x:n v="1650"/>
    <x:x v="11"/>
    <x:s v="Bursa"/>
  </x:r>
  <x:r>
    <x:m/>
    <x:x v="7"/>
    <x:x v="11"/>
    <x:x v="0"/>
    <x:n v="1090"/>
    <x:n v="2180"/>
    <x:n v="580"/>
    <x:x v="11"/>
    <x:s v="Bursa"/>
  </x:r>
  <x:r>
    <x:m/>
    <x:x v="7"/>
    <x:x v="15"/>
    <x:x v="1"/>
    <x:n v="4200"/>
    <x:n v="12600"/>
    <x:n v="3600"/>
    <x:x v="11"/>
    <x:s v="Bursa"/>
  </x:r>
  <x:r>
    <x:m/>
    <x:x v="9"/>
    <x:x v="10"/>
    <x:x v="3"/>
    <x:n v="1800"/>
    <x:n v="9000"/>
    <x:n v="5000"/>
    <x:x v="11"/>
    <x:s v="Mersin"/>
  </x:r>
  <x:r>
    <x:m/>
    <x:x v="11"/>
    <x:x v="11"/>
    <x:x v="1"/>
    <x:n v="1090"/>
    <x:n v="3270"/>
    <x:n v="870"/>
    <x:x v="11"/>
    <x:s v="Gaziantep"/>
  </x:r>
  <x:r>
    <x:m/>
    <x:x v="0"/>
    <x:x v="5"/>
    <x:x v="4"/>
    <x:n v="7600"/>
    <x:n v="30400"/>
    <x:n v="6400"/>
    <x:x v="11"/>
    <x:s v="Adana"/>
  </x:r>
  <x:r>
    <x:m/>
    <x:x v="8"/>
    <x:x v="5"/>
    <x:x v="0"/>
    <x:n v="7600"/>
    <x:n v="15200"/>
    <x:n v="3200"/>
    <x:x v="11"/>
    <x:s v="İzmir"/>
  </x:r>
  <x:r>
    <x:m/>
    <x:x v="2"/>
    <x:x v="23"/>
    <x:x v="1"/>
    <x:n v="3700"/>
    <x:n v="11100"/>
    <x:n v="2100"/>
    <x:x v="11"/>
    <x:s v="Diyarbakır"/>
  </x:r>
  <x:r>
    <x:m/>
    <x:x v="4"/>
    <x:x v="6"/>
    <x:x v="1"/>
    <x:n v="7250"/>
    <x:n v="21750"/>
    <x:n v="6750"/>
    <x:x v="11"/>
    <x:s v="Ankara"/>
  </x:r>
  <x:r>
    <x:m/>
    <x:x v="1"/>
    <x:x v="5"/>
    <x:x v="3"/>
    <x:n v="7600"/>
    <x:n v="38000"/>
    <x:n v="8000"/>
    <x:x v="11"/>
    <x:s v="Adana"/>
  </x:r>
  <x:r>
    <x:m/>
    <x:x v="10"/>
    <x:x v="15"/>
    <x:x v="4"/>
    <x:n v="4200"/>
    <x:n v="16800"/>
    <x:n v="4800"/>
    <x:x v="11"/>
    <x:s v="Antalya"/>
  </x:r>
  <x:r>
    <x:m/>
    <x:x v="6"/>
    <x:x v="18"/>
    <x:x v="0"/>
    <x:n v="1250"/>
    <x:n v="2500"/>
    <x:n v="900"/>
    <x:x v="11"/>
    <x:s v="Adana"/>
  </x:r>
  <x:r>
    <x:m/>
    <x:x v="8"/>
    <x:x v="11"/>
    <x:x v="0"/>
    <x:n v="1090"/>
    <x:n v="2180"/>
    <x:n v="580"/>
    <x:x v="11"/>
    <x:s v="Şanlıurfa"/>
  </x:r>
  <x:r>
    <x:m/>
    <x:x v="3"/>
    <x:x v="4"/>
    <x:x v="0"/>
    <x:n v="2180"/>
    <x:n v="4360"/>
    <x:n v="1360"/>
    <x:x v="11"/>
    <x:s v="Konya"/>
  </x:r>
  <x:r>
    <x:m/>
    <x:x v="11"/>
    <x:x v="23"/>
    <x:x v="4"/>
    <x:n v="3700"/>
    <x:n v="14800"/>
    <x:n v="2800"/>
    <x:x v="11"/>
    <x:s v="Bursa"/>
  </x:r>
  <x:r>
    <x:m/>
    <x:x v="9"/>
    <x:x v="0"/>
    <x:x v="1"/>
    <x:n v="6000"/>
    <x:n v="18000"/>
    <x:n v="6000"/>
    <x:x v="11"/>
    <x:s v="Ankara"/>
  </x:r>
  <x:r>
    <x:m/>
    <x:x v="10"/>
    <x:x v="18"/>
    <x:x v="1"/>
    <x:n v="1250"/>
    <x:n v="3750"/>
    <x:n v="1350"/>
    <x:x v="11"/>
    <x:s v="Kocaeli"/>
  </x:r>
  <x:r>
    <x:m/>
    <x:x v="11"/>
    <x:x v="5"/>
    <x:x v="3"/>
    <x:n v="7600"/>
    <x:n v="38000"/>
    <x:n v="8000"/>
    <x:x v="11"/>
    <x:s v="Konya"/>
  </x:r>
  <x:r>
    <x:m/>
    <x:x v="0"/>
    <x:x v="1"/>
    <x:x v="3"/>
    <x:n v="1400"/>
    <x:n v="7000"/>
    <x:n v="3000"/>
    <x:x v="11"/>
    <x:s v="İstanbul"/>
  </x:r>
  <x:r>
    <x:m/>
    <x:x v="4"/>
    <x:x v="4"/>
    <x:x v="4"/>
    <x:n v="2180"/>
    <x:n v="8720"/>
    <x:n v="2720"/>
    <x:x v="11"/>
    <x:s v="Adana"/>
  </x:r>
  <x:r>
    <x:m/>
    <x:x v="0"/>
    <x:x v="10"/>
    <x:x v="4"/>
    <x:n v="1800"/>
    <x:n v="7200"/>
    <x:n v="4000"/>
    <x:x v="11"/>
    <x:s v="Kocaeli"/>
  </x:r>
  <x:r>
    <x:m/>
    <x:x v="2"/>
    <x:x v="22"/>
    <x:x v="4"/>
    <x:n v="1500"/>
    <x:n v="6000"/>
    <x:n v="2800"/>
    <x:x v="11"/>
    <x:s v="İzmir"/>
  </x:r>
  <x:r>
    <x:m/>
    <x:x v="6"/>
    <x:x v="2"/>
    <x:x v="4"/>
    <x:n v="8450"/>
    <x:n v="33800"/>
    <x:n v="9800"/>
    <x:x v="11"/>
    <x:s v="Konya"/>
  </x:r>
  <x:r>
    <x:m/>
    <x:x v="9"/>
    <x:x v="22"/>
    <x:x v="4"/>
    <x:n v="1500"/>
    <x:n v="6000"/>
    <x:n v="2800"/>
    <x:x v="11"/>
    <x:s v="İstanbul"/>
  </x:r>
  <x:r>
    <x:m/>
    <x:x v="5"/>
    <x:x v="0"/>
    <x:x v="4"/>
    <x:n v="6000"/>
    <x:n v="24000"/>
    <x:n v="8000"/>
    <x:x v="11"/>
    <x:s v="Şanlıurfa"/>
  </x:r>
  <x:r>
    <x:m/>
    <x:x v="11"/>
    <x:x v="19"/>
    <x:x v="0"/>
    <x:n v="1200"/>
    <x:n v="2400"/>
    <x:n v="800"/>
    <x:x v="11"/>
    <x:s v="Şanlıurfa"/>
  </x:r>
  <x:r>
    <x:m/>
    <x:x v="0"/>
    <x:x v="15"/>
    <x:x v="4"/>
    <x:n v="4200"/>
    <x:n v="16800"/>
    <x:n v="4800"/>
    <x:x v="11"/>
    <x:s v="İstanbul"/>
  </x:r>
  <x:r>
    <x:m/>
    <x:x v="10"/>
    <x:x v="5"/>
    <x:x v="3"/>
    <x:n v="7600"/>
    <x:n v="38000"/>
    <x:n v="8000"/>
    <x:x v="11"/>
    <x:s v="Antalya"/>
  </x:r>
  <x:r>
    <x:n v="2829"/>
    <x:x v="5"/>
    <x:x v="3"/>
    <x:x v="2"/>
    <x:n v="1350"/>
    <x:n v="1350"/>
    <x:n v="550"/>
    <x:x v="0"/>
    <x:s v="Şanlıurfa"/>
  </x:r>
  <x:r>
    <x:n v="2830"/>
    <x:x v="1"/>
    <x:x v="6"/>
    <x:x v="0"/>
    <x:n v="7250"/>
    <x:n v="14500"/>
    <x:n v="4500"/>
    <x:x v="0"/>
    <x:s v="İzmir"/>
  </x:r>
  <x:r>
    <x:n v="2831"/>
    <x:x v="6"/>
    <x:x v="5"/>
    <x:x v="2"/>
    <x:n v="7600"/>
    <x:n v="7600"/>
    <x:n v="1600"/>
    <x:x v="0"/>
    <x:s v="Şanlıurfa"/>
  </x:r>
  <x:r>
    <x:n v="2832"/>
    <x:x v="11"/>
    <x:x v="5"/>
    <x:x v="1"/>
    <x:n v="7600"/>
    <x:n v="22800"/>
    <x:n v="4800"/>
    <x:x v="0"/>
    <x:s v="Hatay"/>
  </x:r>
  <x:r>
    <x:n v="2833"/>
    <x:x v="1"/>
    <x:x v="14"/>
    <x:x v="1"/>
    <x:n v="1490"/>
    <x:n v="4470"/>
    <x:n v="2070"/>
    <x:x v="0"/>
    <x:s v="Konya"/>
  </x:r>
  <x:r>
    <x:n v="2834"/>
    <x:x v="5"/>
    <x:x v="17"/>
    <x:x v="0"/>
    <x:n v="2900"/>
    <x:n v="5800"/>
    <x:n v="1800"/>
    <x:x v="0"/>
    <x:s v="Antalya"/>
  </x:r>
  <x:r>
    <x:n v="2835"/>
    <x:x v="9"/>
    <x:x v="14"/>
    <x:x v="2"/>
    <x:n v="1490"/>
    <x:n v="1490"/>
    <x:n v="690"/>
    <x:x v="0"/>
    <x:s v="Hatay"/>
  </x:r>
  <x:r>
    <x:n v="2836"/>
    <x:x v="9"/>
    <x:x v="11"/>
    <x:x v="0"/>
    <x:n v="1090"/>
    <x:n v="2180"/>
    <x:n v="580"/>
    <x:x v="0"/>
    <x:s v="İzmir"/>
  </x:r>
  <x:r>
    <x:n v="2837"/>
    <x:x v="5"/>
    <x:x v="9"/>
    <x:x v="0"/>
    <x:n v="1200"/>
    <x:n v="2400"/>
    <x:n v="800"/>
    <x:x v="0"/>
    <x:s v="Konya"/>
  </x:r>
  <x:r>
    <x:n v="2838"/>
    <x:x v="8"/>
    <x:x v="13"/>
    <x:x v="0"/>
    <x:n v="10590"/>
    <x:n v="21180"/>
    <x:n v="9180"/>
    <x:x v="0"/>
    <x:s v="Mersin"/>
  </x:r>
  <x:r>
    <x:n v="2839"/>
    <x:x v="6"/>
    <x:x v="15"/>
    <x:x v="1"/>
    <x:n v="4200"/>
    <x:n v="12600"/>
    <x:n v="3600"/>
    <x:x v="0"/>
    <x:s v="İstanbul"/>
  </x:r>
  <x:r>
    <x:n v="2840"/>
    <x:x v="3"/>
    <x:x v="15"/>
    <x:x v="1"/>
    <x:n v="4200"/>
    <x:n v="12600"/>
    <x:n v="3600"/>
    <x:x v="0"/>
    <x:s v="Bursa"/>
  </x:r>
  <x:r>
    <x:n v="2841"/>
    <x:x v="7"/>
    <x:x v="13"/>
    <x:x v="0"/>
    <x:n v="10590"/>
    <x:n v="21180"/>
    <x:n v="9180"/>
    <x:x v="0"/>
    <x:s v="Ankara"/>
  </x:r>
  <x:r>
    <x:n v="2842"/>
    <x:x v="11"/>
    <x:x v="18"/>
    <x:x v="2"/>
    <x:n v="1250"/>
    <x:n v="1250"/>
    <x:n v="450"/>
    <x:x v="0"/>
    <x:s v="Adana"/>
  </x:r>
  <x:r>
    <x:n v="2843"/>
    <x:x v="0"/>
    <x:x v="14"/>
    <x:x v="1"/>
    <x:n v="1490"/>
    <x:n v="4470"/>
    <x:n v="2070"/>
    <x:x v="0"/>
    <x:s v="İzmir"/>
  </x:r>
  <x:r>
    <x:n v="2844"/>
    <x:x v="6"/>
    <x:x v="9"/>
    <x:x v="0"/>
    <x:n v="1200"/>
    <x:n v="2400"/>
    <x:n v="800"/>
    <x:x v="0"/>
    <x:s v="Diyarbakır"/>
  </x:r>
  <x:r>
    <x:n v="2845"/>
    <x:x v="2"/>
    <x:x v="4"/>
    <x:x v="1"/>
    <x:n v="2180"/>
    <x:n v="6540"/>
    <x:n v="2040"/>
    <x:x v="0"/>
    <x:s v="Antalya"/>
  </x:r>
  <x:r>
    <x:n v="2846"/>
    <x:x v="9"/>
    <x:x v="19"/>
    <x:x v="1"/>
    <x:n v="1200"/>
    <x:n v="3600"/>
    <x:n v="1200"/>
    <x:x v="0"/>
    <x:s v="Antalya"/>
  </x:r>
  <x:r>
    <x:n v="2847"/>
    <x:x v="0"/>
    <x:x v="10"/>
    <x:x v="2"/>
    <x:n v="1800"/>
    <x:n v="1800"/>
    <x:n v="1000"/>
    <x:x v="0"/>
    <x:s v="Hatay"/>
  </x:r>
  <x:r>
    <x:n v="2848"/>
    <x:x v="2"/>
    <x:x v="5"/>
    <x:x v="2"/>
    <x:n v="7600"/>
    <x:n v="7600"/>
    <x:n v="1600"/>
    <x:x v="0"/>
    <x:s v="Antalya"/>
  </x:r>
  <x:r>
    <x:n v="2849"/>
    <x:x v="7"/>
    <x:x v="20"/>
    <x:x v="2"/>
    <x:n v="7530"/>
    <x:n v="7530"/>
    <x:n v="1530"/>
    <x:x v="0"/>
    <x:s v="Antalya"/>
  </x:r>
  <x:r>
    <x:n v="2850"/>
    <x:x v="11"/>
    <x:x v="14"/>
    <x:x v="0"/>
    <x:n v="1490"/>
    <x:n v="2980"/>
    <x:n v="1380"/>
    <x:x v="0"/>
    <x:s v="Diyarbakır"/>
  </x:r>
  <x:r>
    <x:n v="2851"/>
    <x:x v="0"/>
    <x:x v="21"/>
    <x:x v="2"/>
    <x:n v="5300"/>
    <x:n v="5300"/>
    <x:n v="1300"/>
    <x:x v="0"/>
    <x:s v="İzmir"/>
  </x:r>
  <x:r>
    <x:n v="2852"/>
    <x:x v="4"/>
    <x:x v="9"/>
    <x:x v="0"/>
    <x:n v="1200"/>
    <x:n v="2400"/>
    <x:n v="800"/>
    <x:x v="0"/>
    <x:s v="Bursa"/>
  </x:r>
  <x:r>
    <x:n v="2853"/>
    <x:x v="9"/>
    <x:x v="11"/>
    <x:x v="2"/>
    <x:n v="1090"/>
    <x:n v="1090"/>
    <x:n v="290"/>
    <x:x v="0"/>
    <x:s v="Hatay"/>
  </x:r>
  <x:r>
    <x:n v="2854"/>
    <x:x v="4"/>
    <x:x v="6"/>
    <x:x v="2"/>
    <x:n v="7250"/>
    <x:n v="7250"/>
    <x:n v="2250"/>
    <x:x v="0"/>
    <x:s v="Mersin"/>
  </x:r>
  <x:r>
    <x:n v="2855"/>
    <x:x v="10"/>
    <x:x v="1"/>
    <x:x v="1"/>
    <x:n v="1400"/>
    <x:n v="4200"/>
    <x:n v="1800"/>
    <x:x v="0"/>
    <x:s v="Şanlıurfa"/>
  </x:r>
  <x:r>
    <x:n v="2856"/>
    <x:x v="2"/>
    <x:x v="22"/>
    <x:x v="2"/>
    <x:n v="1500"/>
    <x:n v="1500"/>
    <x:n v="700"/>
    <x:x v="0"/>
    <x:s v="Antalya"/>
  </x:r>
  <x:r>
    <x:n v="2857"/>
    <x:x v="7"/>
    <x:x v="3"/>
    <x:x v="2"/>
    <x:n v="1350"/>
    <x:n v="1350"/>
    <x:n v="550"/>
    <x:x v="0"/>
    <x:s v="Ankara"/>
  </x:r>
  <x:r>
    <x:n v="2858"/>
    <x:x v="7"/>
    <x:x v="9"/>
    <x:x v="1"/>
    <x:n v="1200"/>
    <x:n v="3600"/>
    <x:n v="1200"/>
    <x:x v="0"/>
    <x:s v="Hatay"/>
  </x:r>
  <x:r>
    <x:n v="2859"/>
    <x:x v="1"/>
    <x:x v="20"/>
    <x:x v="1"/>
    <x:n v="7530"/>
    <x:n v="22590"/>
    <x:n v="4590"/>
    <x:x v="0"/>
    <x:s v="Hatay"/>
  </x:r>
  <x:r>
    <x:n v="2860"/>
    <x:x v="10"/>
    <x:x v="9"/>
    <x:x v="2"/>
    <x:n v="1200"/>
    <x:n v="1200"/>
    <x:n v="400"/>
    <x:x v="0"/>
    <x:s v="Gaziantep"/>
  </x:r>
  <x:r>
    <x:n v="2861"/>
    <x:x v="8"/>
    <x:x v="10"/>
    <x:x v="1"/>
    <x:n v="1800"/>
    <x:n v="5400"/>
    <x:n v="3000"/>
    <x:x v="0"/>
    <x:s v="Mersin"/>
  </x:r>
  <x:r>
    <x:n v="2862"/>
    <x:x v="0"/>
    <x:x v="6"/>
    <x:x v="2"/>
    <x:n v="7250"/>
    <x:n v="7250"/>
    <x:n v="2250"/>
    <x:x v="0"/>
    <x:s v="İstanbul"/>
  </x:r>
  <x:r>
    <x:n v="2863"/>
    <x:x v="9"/>
    <x:x v="14"/>
    <x:x v="1"/>
    <x:n v="1490"/>
    <x:n v="4470"/>
    <x:n v="2070"/>
    <x:x v="0"/>
    <x:s v="İstanbul"/>
  </x:r>
  <x:r>
    <x:n v="2864"/>
    <x:x v="9"/>
    <x:x v="19"/>
    <x:x v="2"/>
    <x:n v="1200"/>
    <x:n v="1200"/>
    <x:n v="400"/>
    <x:x v="0"/>
    <x:s v="Mersin"/>
  </x:r>
  <x:r>
    <x:n v="2865"/>
    <x:x v="1"/>
    <x:x v="12"/>
    <x:x v="2"/>
    <x:n v="8000"/>
    <x:n v="8000"/>
    <x:n v="2000"/>
    <x:x v="0"/>
    <x:s v="Mersin"/>
  </x:r>
  <x:r>
    <x:n v="2866"/>
    <x:x v="6"/>
    <x:x v="1"/>
    <x:x v="2"/>
    <x:n v="1400"/>
    <x:n v="1400"/>
    <x:n v="600"/>
    <x:x v="0"/>
    <x:s v="Bursa"/>
  </x:r>
  <x:r>
    <x:n v="2867"/>
    <x:x v="5"/>
    <x:x v="3"/>
    <x:x v="2"/>
    <x:n v="1350"/>
    <x:n v="1350"/>
    <x:n v="550"/>
    <x:x v="0"/>
    <x:s v="Antalya"/>
  </x:r>
  <x:r>
    <x:n v="2868"/>
    <x:x v="8"/>
    <x:x v="19"/>
    <x:x v="2"/>
    <x:n v="1200"/>
    <x:n v="1200"/>
    <x:n v="400"/>
    <x:x v="0"/>
    <x:s v="Antalya"/>
  </x:r>
  <x:r>
    <x:n v="2869"/>
    <x:x v="6"/>
    <x:x v="21"/>
    <x:x v="2"/>
    <x:n v="5300"/>
    <x:n v="5300"/>
    <x:n v="1300"/>
    <x:x v="0"/>
    <x:s v="Konya"/>
  </x:r>
  <x:r>
    <x:n v="2870"/>
    <x:x v="9"/>
    <x:x v="13"/>
    <x:x v="1"/>
    <x:n v="10590"/>
    <x:n v="31770"/>
    <x:n v="13770"/>
    <x:x v="0"/>
    <x:s v="Kocaeli"/>
  </x:r>
  <x:r>
    <x:n v="2871"/>
    <x:x v="4"/>
    <x:x v="18"/>
    <x:x v="2"/>
    <x:n v="1250"/>
    <x:n v="1250"/>
    <x:n v="450"/>
    <x:x v="0"/>
    <x:s v="Bursa"/>
  </x:r>
  <x:r>
    <x:n v="2872"/>
    <x:x v="11"/>
    <x:x v="19"/>
    <x:x v="2"/>
    <x:n v="1200"/>
    <x:n v="1200"/>
    <x:n v="400"/>
    <x:x v="0"/>
    <x:s v="Konya"/>
  </x:r>
  <x:r>
    <x:n v="2873"/>
    <x:x v="4"/>
    <x:x v="1"/>
    <x:x v="1"/>
    <x:n v="1400"/>
    <x:n v="4200"/>
    <x:n v="1800"/>
    <x:x v="0"/>
    <x:s v="Şanlıurfa"/>
  </x:r>
  <x:r>
    <x:n v="2874"/>
    <x:x v="11"/>
    <x:x v="20"/>
    <x:x v="0"/>
    <x:n v="7530"/>
    <x:n v="15060"/>
    <x:n v="3060"/>
    <x:x v="0"/>
    <x:s v="Hatay"/>
  </x:r>
  <x:r>
    <x:n v="2875"/>
    <x:x v="6"/>
    <x:x v="5"/>
    <x:x v="2"/>
    <x:n v="7600"/>
    <x:n v="7600"/>
    <x:n v="1600"/>
    <x:x v="0"/>
    <x:s v="Antalya"/>
  </x:r>
  <x:r>
    <x:n v="2876"/>
    <x:x v="11"/>
    <x:x v="22"/>
    <x:x v="2"/>
    <x:n v="1500"/>
    <x:n v="1500"/>
    <x:n v="700"/>
    <x:x v="0"/>
    <x:s v="Ankara"/>
  </x:r>
  <x:r>
    <x:n v="2877"/>
    <x:x v="9"/>
    <x:x v="4"/>
    <x:x v="0"/>
    <x:n v="2180"/>
    <x:n v="4360"/>
    <x:n v="1360"/>
    <x:x v="0"/>
    <x:s v="Kocaeli"/>
  </x:r>
  <x:r>
    <x:n v="2878"/>
    <x:x v="3"/>
    <x:x v="4"/>
    <x:x v="2"/>
    <x:n v="2180"/>
    <x:n v="2180"/>
    <x:n v="680"/>
    <x:x v="0"/>
    <x:s v="İzmir"/>
  </x:r>
  <x:r>
    <x:n v="2879"/>
    <x:x v="9"/>
    <x:x v="16"/>
    <x:x v="2"/>
    <x:n v="5775"/>
    <x:n v="5775"/>
    <x:n v="1775"/>
    <x:x v="0"/>
    <x:s v="Mersin"/>
  </x:r>
  <x:r>
    <x:n v="2880"/>
    <x:x v="9"/>
    <x:x v="7"/>
    <x:x v="1"/>
    <x:n v="1100"/>
    <x:n v="3300"/>
    <x:n v="900"/>
    <x:x v="0"/>
    <x:s v="Kocaeli"/>
  </x:r>
  <x:r>
    <x:n v="2881"/>
    <x:x v="10"/>
    <x:x v="16"/>
    <x:x v="2"/>
    <x:n v="5775"/>
    <x:n v="5775"/>
    <x:n v="1775"/>
    <x:x v="0"/>
    <x:s v="Bursa"/>
  </x:r>
  <x:r>
    <x:n v="2882"/>
    <x:x v="7"/>
    <x:x v="3"/>
    <x:x v="2"/>
    <x:n v="1350"/>
    <x:n v="1350"/>
    <x:n v="550"/>
    <x:x v="0"/>
    <x:s v="Ankara"/>
  </x:r>
  <x:r>
    <x:n v="2883"/>
    <x:x v="0"/>
    <x:x v="5"/>
    <x:x v="1"/>
    <x:n v="7600"/>
    <x:n v="22800"/>
    <x:n v="4800"/>
    <x:x v="0"/>
    <x:s v="Bursa"/>
  </x:r>
  <x:r>
    <x:n v="2884"/>
    <x:x v="2"/>
    <x:x v="6"/>
    <x:x v="1"/>
    <x:n v="7250"/>
    <x:n v="21750"/>
    <x:n v="6750"/>
    <x:x v="0"/>
    <x:s v="Diyarbakır"/>
  </x:r>
  <x:r>
    <x:n v="2885"/>
    <x:x v="11"/>
    <x:x v="14"/>
    <x:x v="0"/>
    <x:n v="1490"/>
    <x:n v="2980"/>
    <x:n v="1380"/>
    <x:x v="0"/>
    <x:s v="Mersin"/>
  </x:r>
  <x:r>
    <x:n v="2886"/>
    <x:x v="3"/>
    <x:x v="14"/>
    <x:x v="0"/>
    <x:n v="1490"/>
    <x:n v="2980"/>
    <x:n v="1380"/>
    <x:x v="0"/>
    <x:s v="Hatay"/>
  </x:r>
  <x:r>
    <x:n v="2887"/>
    <x:x v="8"/>
    <x:x v="11"/>
    <x:x v="0"/>
    <x:n v="1090"/>
    <x:n v="2180"/>
    <x:n v="580"/>
    <x:x v="0"/>
    <x:s v="Bursa"/>
  </x:r>
  <x:r>
    <x:n v="2888"/>
    <x:x v="8"/>
    <x:x v="9"/>
    <x:x v="1"/>
    <x:n v="1200"/>
    <x:n v="3600"/>
    <x:n v="1200"/>
    <x:x v="0"/>
    <x:s v="Gaziantep"/>
  </x:r>
  <x:r>
    <x:n v="2889"/>
    <x:x v="11"/>
    <x:x v="11"/>
    <x:x v="0"/>
    <x:n v="1090"/>
    <x:n v="2180"/>
    <x:n v="580"/>
    <x:x v="0"/>
    <x:s v="Konya"/>
  </x:r>
</x:pivotCacheRecords>
</file>